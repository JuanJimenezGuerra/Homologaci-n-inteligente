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n\Downloads\"/>
    </mc:Choice>
  </mc:AlternateContent>
  <xr:revisionPtr revIDLastSave="0" documentId="13_ncr:1_{C9C703EB-5A56-4046-BA1F-AEA26DE7A7C0}" xr6:coauthVersionLast="47" xr6:coauthVersionMax="47" xr10:uidLastSave="{00000000-0000-0000-0000-000000000000}"/>
  <bookViews>
    <workbookView xWindow="-23148" yWindow="-108" windowWidth="23256" windowHeight="13896" activeTab="2" xr2:uid="{00000000-000D-0000-FFFF-FFFF00000000}"/>
  </bookViews>
  <sheets>
    <sheet name="Duplas" sheetId="2" r:id="rId1"/>
    <sheet name="Datos" sheetId="4" r:id="rId2"/>
    <sheet name="Regresiones" sheetId="1" r:id="rId3"/>
  </sheets>
  <externalReferences>
    <externalReference r:id="rId4"/>
  </externalReferences>
  <definedNames>
    <definedName name="_xlnm._FilterDatabase" localSheetId="2" hidden="1">Regresiones!$B$42:$E$2254</definedName>
    <definedName name="SerieSize">[1]Variables!$F$42</definedName>
  </definedNames>
  <calcPr calcId="191028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95" i="2" l="1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F4" i="2"/>
  <c r="H137" i="4" l="1"/>
  <c r="I137" i="4"/>
  <c r="J137" i="4"/>
  <c r="K137" i="4"/>
  <c r="R137" i="4"/>
  <c r="S137" i="4"/>
  <c r="T137" i="4"/>
  <c r="H138" i="4"/>
  <c r="I138" i="4"/>
  <c r="J138" i="4"/>
  <c r="K138" i="4"/>
  <c r="R138" i="4"/>
  <c r="S138" i="4"/>
  <c r="T138" i="4"/>
  <c r="H139" i="4"/>
  <c r="I139" i="4"/>
  <c r="J139" i="4"/>
  <c r="K139" i="4"/>
  <c r="R139" i="4"/>
  <c r="S139" i="4"/>
  <c r="T139" i="4"/>
  <c r="H140" i="4"/>
  <c r="I140" i="4"/>
  <c r="J140" i="4"/>
  <c r="K140" i="4"/>
  <c r="H141" i="4"/>
  <c r="I141" i="4"/>
  <c r="J141" i="4"/>
  <c r="K141" i="4"/>
  <c r="H142" i="4"/>
  <c r="I142" i="4"/>
  <c r="J142" i="4"/>
  <c r="K142" i="4"/>
  <c r="R142" i="4"/>
  <c r="S142" i="4"/>
  <c r="T142" i="4"/>
  <c r="H143" i="4"/>
  <c r="I143" i="4"/>
  <c r="J143" i="4"/>
  <c r="K143" i="4"/>
  <c r="H144" i="4"/>
  <c r="I144" i="4"/>
  <c r="J144" i="4"/>
  <c r="K144" i="4"/>
  <c r="L4" i="2" l="1"/>
  <c r="L5" i="2" s="1"/>
  <c r="L6" i="2" s="1"/>
  <c r="L7" i="2" l="1"/>
  <c r="L8" i="2" s="1"/>
  <c r="L9" i="2" l="1"/>
  <c r="L10" i="2" s="1"/>
  <c r="R8" i="4"/>
  <c r="S8" i="4"/>
  <c r="T8" i="4"/>
  <c r="R9" i="4"/>
  <c r="S9" i="4"/>
  <c r="T9" i="4"/>
  <c r="R10" i="4"/>
  <c r="S10" i="4"/>
  <c r="T10" i="4"/>
  <c r="R11" i="4"/>
  <c r="S11" i="4"/>
  <c r="T11" i="4"/>
  <c r="R12" i="4"/>
  <c r="S12" i="4"/>
  <c r="T12" i="4"/>
  <c r="R13" i="4"/>
  <c r="S13" i="4"/>
  <c r="T13" i="4"/>
  <c r="R15" i="4"/>
  <c r="S15" i="4"/>
  <c r="T15" i="4"/>
  <c r="R16" i="4"/>
  <c r="S16" i="4"/>
  <c r="T16" i="4"/>
  <c r="R17" i="4"/>
  <c r="S17" i="4"/>
  <c r="T17" i="4"/>
  <c r="R18" i="4"/>
  <c r="S18" i="4"/>
  <c r="T18" i="4"/>
  <c r="R19" i="4"/>
  <c r="S19" i="4"/>
  <c r="T19" i="4"/>
  <c r="R20" i="4"/>
  <c r="S20" i="4"/>
  <c r="T20" i="4"/>
  <c r="R21" i="4"/>
  <c r="S21" i="4"/>
  <c r="T21" i="4"/>
  <c r="R22" i="4"/>
  <c r="S22" i="4"/>
  <c r="T22" i="4"/>
  <c r="R23" i="4"/>
  <c r="S23" i="4"/>
  <c r="T23" i="4"/>
  <c r="R24" i="4"/>
  <c r="S24" i="4"/>
  <c r="T24" i="4"/>
  <c r="R26" i="4"/>
  <c r="S26" i="4"/>
  <c r="T26" i="4"/>
  <c r="R27" i="4"/>
  <c r="S27" i="4"/>
  <c r="T27" i="4"/>
  <c r="R28" i="4"/>
  <c r="S28" i="4"/>
  <c r="T28" i="4"/>
  <c r="R29" i="4"/>
  <c r="S29" i="4"/>
  <c r="T29" i="4"/>
  <c r="R30" i="4"/>
  <c r="S30" i="4"/>
  <c r="T30" i="4"/>
  <c r="R31" i="4"/>
  <c r="S31" i="4"/>
  <c r="T31" i="4"/>
  <c r="R32" i="4"/>
  <c r="S32" i="4"/>
  <c r="T32" i="4"/>
  <c r="R33" i="4"/>
  <c r="S33" i="4"/>
  <c r="T33" i="4"/>
  <c r="R34" i="4"/>
  <c r="S34" i="4"/>
  <c r="T34" i="4"/>
  <c r="R35" i="4"/>
  <c r="S35" i="4"/>
  <c r="T35" i="4"/>
  <c r="R36" i="4"/>
  <c r="S36" i="4"/>
  <c r="T36" i="4"/>
  <c r="R37" i="4"/>
  <c r="S37" i="4"/>
  <c r="T37" i="4"/>
  <c r="R38" i="4"/>
  <c r="S38" i="4"/>
  <c r="T38" i="4"/>
  <c r="R39" i="4"/>
  <c r="S39" i="4"/>
  <c r="T39" i="4"/>
  <c r="R40" i="4"/>
  <c r="S40" i="4"/>
  <c r="T40" i="4"/>
  <c r="R41" i="4"/>
  <c r="S41" i="4"/>
  <c r="T41" i="4"/>
  <c r="R42" i="4"/>
  <c r="S42" i="4"/>
  <c r="T42" i="4"/>
  <c r="R44" i="4"/>
  <c r="S44" i="4"/>
  <c r="T44" i="4"/>
  <c r="R45" i="4"/>
  <c r="S45" i="4"/>
  <c r="T45" i="4"/>
  <c r="R46" i="4"/>
  <c r="S46" i="4"/>
  <c r="T46" i="4"/>
  <c r="R48" i="4"/>
  <c r="S48" i="4"/>
  <c r="T48" i="4"/>
  <c r="R49" i="4"/>
  <c r="S49" i="4"/>
  <c r="T49" i="4"/>
  <c r="R50" i="4"/>
  <c r="S50" i="4"/>
  <c r="T50" i="4"/>
  <c r="R51" i="4"/>
  <c r="S51" i="4"/>
  <c r="T51" i="4"/>
  <c r="R52" i="4"/>
  <c r="S52" i="4"/>
  <c r="T52" i="4"/>
  <c r="R53" i="4"/>
  <c r="S53" i="4"/>
  <c r="T53" i="4"/>
  <c r="R54" i="4"/>
  <c r="S54" i="4"/>
  <c r="T54" i="4"/>
  <c r="R55" i="4"/>
  <c r="S55" i="4"/>
  <c r="T55" i="4"/>
  <c r="R56" i="4"/>
  <c r="S56" i="4"/>
  <c r="T56" i="4"/>
  <c r="R57" i="4"/>
  <c r="S57" i="4"/>
  <c r="T57" i="4"/>
  <c r="R58" i="4"/>
  <c r="S58" i="4"/>
  <c r="T58" i="4"/>
  <c r="R59" i="4"/>
  <c r="S59" i="4"/>
  <c r="T59" i="4"/>
  <c r="R60" i="4"/>
  <c r="S60" i="4"/>
  <c r="T60" i="4"/>
  <c r="R62" i="4"/>
  <c r="S62" i="4"/>
  <c r="T62" i="4"/>
  <c r="R63" i="4"/>
  <c r="S63" i="4"/>
  <c r="T63" i="4"/>
  <c r="R64" i="4"/>
  <c r="S64" i="4"/>
  <c r="T64" i="4"/>
  <c r="R65" i="4"/>
  <c r="S65" i="4"/>
  <c r="T65" i="4"/>
  <c r="R66" i="4"/>
  <c r="S66" i="4"/>
  <c r="T66" i="4"/>
  <c r="R68" i="4"/>
  <c r="S68" i="4"/>
  <c r="T68" i="4"/>
  <c r="R69" i="4"/>
  <c r="S69" i="4"/>
  <c r="T69" i="4"/>
  <c r="R70" i="4"/>
  <c r="S70" i="4"/>
  <c r="T70" i="4"/>
  <c r="R71" i="4"/>
  <c r="S71" i="4"/>
  <c r="T71" i="4"/>
  <c r="R72" i="4"/>
  <c r="S72" i="4"/>
  <c r="T72" i="4"/>
  <c r="R73" i="4"/>
  <c r="S73" i="4"/>
  <c r="T73" i="4"/>
  <c r="R74" i="4"/>
  <c r="S74" i="4"/>
  <c r="T74" i="4"/>
  <c r="R75" i="4"/>
  <c r="S75" i="4"/>
  <c r="T75" i="4"/>
  <c r="R76" i="4"/>
  <c r="S76" i="4"/>
  <c r="T76" i="4"/>
  <c r="R77" i="4"/>
  <c r="S77" i="4"/>
  <c r="T77" i="4"/>
  <c r="R81" i="4"/>
  <c r="S81" i="4"/>
  <c r="T81" i="4"/>
  <c r="R82" i="4"/>
  <c r="S82" i="4"/>
  <c r="T82" i="4"/>
  <c r="R83" i="4"/>
  <c r="S83" i="4"/>
  <c r="T83" i="4"/>
  <c r="R84" i="4"/>
  <c r="S84" i="4"/>
  <c r="T84" i="4"/>
  <c r="R85" i="4"/>
  <c r="S85" i="4"/>
  <c r="T85" i="4"/>
  <c r="R86" i="4"/>
  <c r="S86" i="4"/>
  <c r="T86" i="4"/>
  <c r="R87" i="4"/>
  <c r="S87" i="4"/>
  <c r="T87" i="4"/>
  <c r="R88" i="4"/>
  <c r="S88" i="4"/>
  <c r="T88" i="4"/>
  <c r="R90" i="4"/>
  <c r="S90" i="4"/>
  <c r="T90" i="4"/>
  <c r="R91" i="4"/>
  <c r="S91" i="4"/>
  <c r="T91" i="4"/>
  <c r="R92" i="4"/>
  <c r="S92" i="4"/>
  <c r="T92" i="4"/>
  <c r="R93" i="4"/>
  <c r="S93" i="4"/>
  <c r="T93" i="4"/>
  <c r="R94" i="4"/>
  <c r="S94" i="4"/>
  <c r="T94" i="4"/>
  <c r="R95" i="4"/>
  <c r="S95" i="4"/>
  <c r="T95" i="4"/>
  <c r="R96" i="4"/>
  <c r="S96" i="4"/>
  <c r="T96" i="4"/>
  <c r="R97" i="4"/>
  <c r="S97" i="4"/>
  <c r="T97" i="4"/>
  <c r="R99" i="4"/>
  <c r="S99" i="4"/>
  <c r="T99" i="4"/>
  <c r="R100" i="4"/>
  <c r="S100" i="4"/>
  <c r="T100" i="4"/>
  <c r="R102" i="4"/>
  <c r="S102" i="4"/>
  <c r="T102" i="4"/>
  <c r="R103" i="4"/>
  <c r="S103" i="4"/>
  <c r="T103" i="4"/>
  <c r="R104" i="4"/>
  <c r="S104" i="4"/>
  <c r="T104" i="4"/>
  <c r="R105" i="4"/>
  <c r="S105" i="4"/>
  <c r="T105" i="4"/>
  <c r="R106" i="4"/>
  <c r="S106" i="4"/>
  <c r="T106" i="4"/>
  <c r="R107" i="4"/>
  <c r="S107" i="4"/>
  <c r="T107" i="4"/>
  <c r="R108" i="4"/>
  <c r="S108" i="4"/>
  <c r="T108" i="4"/>
  <c r="R109" i="4"/>
  <c r="S109" i="4"/>
  <c r="T109" i="4"/>
  <c r="R110" i="4"/>
  <c r="S110" i="4"/>
  <c r="T110" i="4"/>
  <c r="R112" i="4"/>
  <c r="S112" i="4"/>
  <c r="T112" i="4"/>
  <c r="R113" i="4"/>
  <c r="S113" i="4"/>
  <c r="T113" i="4"/>
  <c r="R114" i="4"/>
  <c r="S114" i="4"/>
  <c r="T114" i="4"/>
  <c r="R115" i="4"/>
  <c r="S115" i="4"/>
  <c r="T115" i="4"/>
  <c r="R116" i="4"/>
  <c r="S116" i="4"/>
  <c r="T116" i="4"/>
  <c r="R117" i="4"/>
  <c r="S117" i="4"/>
  <c r="T117" i="4"/>
  <c r="R119" i="4"/>
  <c r="S119" i="4"/>
  <c r="T119" i="4"/>
  <c r="R121" i="4"/>
  <c r="S121" i="4"/>
  <c r="T121" i="4"/>
  <c r="R122" i="4"/>
  <c r="S122" i="4"/>
  <c r="T122" i="4"/>
  <c r="R123" i="4"/>
  <c r="S123" i="4"/>
  <c r="T123" i="4"/>
  <c r="R126" i="4"/>
  <c r="S126" i="4"/>
  <c r="T126" i="4"/>
  <c r="R127" i="4"/>
  <c r="S127" i="4"/>
  <c r="T127" i="4"/>
  <c r="R128" i="4"/>
  <c r="S128" i="4"/>
  <c r="T128" i="4"/>
  <c r="R129" i="4"/>
  <c r="S129" i="4"/>
  <c r="T129" i="4"/>
  <c r="R130" i="4"/>
  <c r="S130" i="4"/>
  <c r="T130" i="4"/>
  <c r="R131" i="4"/>
  <c r="S131" i="4"/>
  <c r="T131" i="4"/>
  <c r="R133" i="4"/>
  <c r="S133" i="4"/>
  <c r="T133" i="4"/>
  <c r="R134" i="4"/>
  <c r="S134" i="4"/>
  <c r="T134" i="4"/>
  <c r="R135" i="4"/>
  <c r="S135" i="4"/>
  <c r="T135" i="4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H126" i="4"/>
  <c r="H127" i="4"/>
  <c r="H128" i="4"/>
  <c r="H129" i="4"/>
  <c r="H130" i="4"/>
  <c r="H131" i="4"/>
  <c r="H132" i="4"/>
  <c r="H133" i="4"/>
  <c r="H134" i="4"/>
  <c r="H135" i="4"/>
  <c r="H136" i="4"/>
  <c r="I126" i="4"/>
  <c r="I127" i="4"/>
  <c r="I128" i="4"/>
  <c r="I129" i="4"/>
  <c r="I130" i="4"/>
  <c r="I131" i="4"/>
  <c r="I132" i="4"/>
  <c r="I133" i="4"/>
  <c r="I134" i="4"/>
  <c r="I135" i="4"/>
  <c r="I136" i="4"/>
  <c r="J126" i="4"/>
  <c r="J127" i="4"/>
  <c r="J128" i="4"/>
  <c r="J129" i="4"/>
  <c r="J130" i="4"/>
  <c r="J131" i="4"/>
  <c r="J132" i="4"/>
  <c r="J133" i="4"/>
  <c r="J134" i="4"/>
  <c r="J135" i="4"/>
  <c r="J136" i="4"/>
  <c r="K126" i="4"/>
  <c r="K127" i="4"/>
  <c r="K128" i="4"/>
  <c r="K129" i="4"/>
  <c r="K130" i="4"/>
  <c r="K131" i="4"/>
  <c r="K132" i="4"/>
  <c r="K133" i="4"/>
  <c r="K134" i="4"/>
  <c r="K135" i="4"/>
  <c r="K136" i="4"/>
  <c r="C7" i="1"/>
  <c r="E15" i="1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H44" i="4"/>
  <c r="H45" i="4"/>
  <c r="H46" i="4"/>
  <c r="H47" i="4"/>
  <c r="H48" i="4"/>
  <c r="I44" i="4"/>
  <c r="I45" i="4"/>
  <c r="I46" i="4"/>
  <c r="I47" i="4"/>
  <c r="I48" i="4"/>
  <c r="J44" i="4"/>
  <c r="J45" i="4"/>
  <c r="J46" i="4"/>
  <c r="J47" i="4"/>
  <c r="J48" i="4"/>
  <c r="K44" i="4"/>
  <c r="K45" i="4"/>
  <c r="K46" i="4"/>
  <c r="K47" i="4"/>
  <c r="K48" i="4"/>
  <c r="D9" i="1"/>
  <c r="E19" i="1"/>
  <c r="L11" i="2" l="1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L12" i="2" l="1"/>
  <c r="C3" i="1"/>
  <c r="L13" i="2" l="1"/>
  <c r="L14" i="2" s="1"/>
  <c r="B5" i="2"/>
  <c r="B4" i="2"/>
  <c r="H16" i="1"/>
  <c r="H21" i="1"/>
  <c r="E145" i="4"/>
  <c r="H28" i="1" s="1"/>
  <c r="D145" i="4"/>
  <c r="C145" i="4"/>
  <c r="K11" i="4"/>
  <c r="J11" i="4"/>
  <c r="I11" i="4"/>
  <c r="H11" i="4"/>
  <c r="K10" i="4"/>
  <c r="J10" i="4"/>
  <c r="I10" i="4"/>
  <c r="H10" i="4"/>
  <c r="K9" i="4"/>
  <c r="J9" i="4"/>
  <c r="I9" i="4"/>
  <c r="H9" i="4"/>
  <c r="K8" i="4"/>
  <c r="J8" i="4"/>
  <c r="I8" i="4"/>
  <c r="H8" i="4"/>
  <c r="K7" i="4"/>
  <c r="J7" i="4"/>
  <c r="I7" i="4"/>
  <c r="H7" i="4"/>
  <c r="K6" i="4"/>
  <c r="J6" i="4"/>
  <c r="I6" i="4"/>
  <c r="H6" i="4"/>
  <c r="I2" i="2"/>
  <c r="D4" i="2" s="1"/>
  <c r="E4" i="2" s="1"/>
  <c r="L15" i="2" l="1"/>
  <c r="G28" i="1"/>
  <c r="D3" i="4"/>
  <c r="G21" i="1" s="1"/>
  <c r="F28" i="1"/>
  <c r="C3" i="4"/>
  <c r="F16" i="1" s="1"/>
  <c r="F17" i="1" s="1"/>
  <c r="C5" i="2"/>
  <c r="F5" i="2" s="1"/>
  <c r="D5" i="2"/>
  <c r="E5" i="2" s="1"/>
  <c r="G16" i="1" l="1"/>
  <c r="G17" i="1" s="1"/>
  <c r="F21" i="1"/>
  <c r="F20" i="1" s="1"/>
  <c r="L16" i="2"/>
  <c r="G20" i="1"/>
  <c r="G22" i="1"/>
  <c r="C6" i="2"/>
  <c r="F6" i="2" s="1"/>
  <c r="D6" i="2"/>
  <c r="E6" i="2" s="1"/>
  <c r="F22" i="1" l="1"/>
  <c r="L17" i="2"/>
  <c r="C7" i="2"/>
  <c r="F7" i="2" s="1"/>
  <c r="D7" i="2"/>
  <c r="E7" i="2" s="1"/>
  <c r="H17" i="1"/>
  <c r="H22" i="1"/>
  <c r="L18" i="2" l="1"/>
  <c r="C8" i="2"/>
  <c r="F8" i="2" s="1"/>
  <c r="D8" i="2"/>
  <c r="E8" i="2" s="1"/>
  <c r="H20" i="1"/>
  <c r="L19" i="2" l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C9" i="2"/>
  <c r="F9" i="2" s="1"/>
  <c r="D9" i="2"/>
  <c r="E9" i="2" s="1"/>
  <c r="C10" i="1"/>
  <c r="Z7" i="1"/>
  <c r="T7" i="1"/>
  <c r="W7" i="1"/>
  <c r="O7" i="1"/>
  <c r="J7" i="1"/>
  <c r="E7" i="1"/>
  <c r="C10" i="2" l="1"/>
  <c r="F10" i="2" s="1"/>
  <c r="D10" i="2"/>
  <c r="E10" i="2" s="1"/>
  <c r="Z10" i="1"/>
  <c r="W10" i="1"/>
  <c r="T10" i="1"/>
  <c r="O10" i="1"/>
  <c r="J10" i="1"/>
  <c r="E10" i="1"/>
  <c r="C11" i="2" l="1"/>
  <c r="F11" i="2" s="1"/>
  <c r="D11" i="2"/>
  <c r="E11" i="2" s="1"/>
  <c r="D12" i="2" l="1"/>
  <c r="E12" i="2" s="1"/>
  <c r="C12" i="2"/>
  <c r="F12" i="2" s="1"/>
  <c r="S6" i="4"/>
  <c r="R6" i="4"/>
  <c r="T6" i="4"/>
  <c r="C13" i="2" l="1"/>
  <c r="F13" i="2" s="1"/>
  <c r="D13" i="2"/>
  <c r="E13" i="2" s="1"/>
  <c r="D14" i="2" l="1"/>
  <c r="E14" i="2" s="1"/>
  <c r="C14" i="2"/>
  <c r="F14" i="2" s="1"/>
  <c r="D15" i="2" l="1"/>
  <c r="E15" i="2" s="1"/>
  <c r="C15" i="2"/>
  <c r="F15" i="2" s="1"/>
  <c r="D16" i="2" l="1"/>
  <c r="E16" i="2" s="1"/>
  <c r="C16" i="2"/>
  <c r="F16" i="2" s="1"/>
  <c r="D17" i="2" l="1"/>
  <c r="E17" i="2" s="1"/>
  <c r="C17" i="2"/>
  <c r="F17" i="2" s="1"/>
  <c r="D18" i="2" l="1"/>
  <c r="E18" i="2" s="1"/>
  <c r="C18" i="2"/>
  <c r="F18" i="2" s="1"/>
  <c r="C19" i="2" l="1"/>
  <c r="F19" i="2" s="1"/>
  <c r="D19" i="2"/>
  <c r="E19" i="2" s="1"/>
  <c r="D20" i="2" l="1"/>
  <c r="E20" i="2" s="1"/>
  <c r="C20" i="2"/>
  <c r="F20" i="2" s="1"/>
  <c r="D21" i="2" l="1"/>
  <c r="C21" i="2"/>
  <c r="F21" i="2" s="1"/>
  <c r="D3" i="1" l="1"/>
  <c r="E21" i="2"/>
  <c r="C22" i="2"/>
  <c r="F22" i="2" s="1"/>
  <c r="D22" i="2"/>
  <c r="E22" i="2" s="1"/>
  <c r="C23" i="2" l="1"/>
  <c r="F23" i="2" s="1"/>
  <c r="D23" i="2"/>
  <c r="E23" i="2" s="1"/>
  <c r="D24" i="2" l="1"/>
  <c r="E24" i="2" s="1"/>
  <c r="C24" i="2"/>
  <c r="F24" i="2" s="1"/>
  <c r="D25" i="2" l="1"/>
  <c r="E25" i="2" s="1"/>
  <c r="C25" i="2"/>
  <c r="F25" i="2" s="1"/>
  <c r="C26" i="2" l="1"/>
  <c r="F26" i="2" s="1"/>
  <c r="D26" i="2"/>
  <c r="E26" i="2" s="1"/>
  <c r="D27" i="2" l="1"/>
  <c r="E27" i="2" s="1"/>
  <c r="C27" i="2"/>
  <c r="F27" i="2" s="1"/>
  <c r="C28" i="2" l="1"/>
  <c r="F28" i="2" s="1"/>
  <c r="D28" i="2"/>
  <c r="E28" i="2" s="1"/>
  <c r="C29" i="2" l="1"/>
  <c r="F29" i="2" s="1"/>
  <c r="D29" i="2"/>
  <c r="E29" i="2" s="1"/>
  <c r="C30" i="2" l="1"/>
  <c r="F30" i="2" s="1"/>
  <c r="D30" i="2"/>
  <c r="E30" i="2" s="1"/>
  <c r="D31" i="2" l="1"/>
  <c r="E31" i="2" s="1"/>
  <c r="C31" i="2"/>
  <c r="F31" i="2" s="1"/>
  <c r="C32" i="2" l="1"/>
  <c r="F32" i="2" s="1"/>
  <c r="D32" i="2"/>
  <c r="E32" i="2" s="1"/>
  <c r="C33" i="2" l="1"/>
  <c r="F33" i="2" s="1"/>
  <c r="D33" i="2"/>
  <c r="E33" i="2" s="1"/>
  <c r="D34" i="2" l="1"/>
  <c r="E34" i="2" s="1"/>
  <c r="C34" i="2"/>
  <c r="F34" i="2" s="1"/>
  <c r="C35" i="2" l="1"/>
  <c r="F35" i="2" s="1"/>
  <c r="D35" i="2"/>
  <c r="E35" i="2" s="1"/>
  <c r="D36" i="2" l="1"/>
  <c r="E36" i="2" s="1"/>
  <c r="C36" i="2"/>
  <c r="F36" i="2" s="1"/>
  <c r="C37" i="2" l="1"/>
  <c r="F37" i="2" s="1"/>
  <c r="D37" i="2"/>
  <c r="E37" i="2" s="1"/>
  <c r="C38" i="2" l="1"/>
  <c r="F38" i="2" s="1"/>
  <c r="D38" i="2"/>
  <c r="E38" i="2" s="1"/>
  <c r="D39" i="2" l="1"/>
  <c r="E39" i="2" s="1"/>
  <c r="C39" i="2"/>
  <c r="F39" i="2" s="1"/>
  <c r="D40" i="2" l="1"/>
  <c r="E40" i="2" s="1"/>
  <c r="C40" i="2"/>
  <c r="F40" i="2" s="1"/>
  <c r="D41" i="2" l="1"/>
  <c r="E41" i="2" s="1"/>
  <c r="C41" i="2"/>
  <c r="F41" i="2" s="1"/>
  <c r="C42" i="2" l="1"/>
  <c r="F42" i="2" s="1"/>
  <c r="D42" i="2"/>
  <c r="E42" i="2" s="1"/>
  <c r="C43" i="2" l="1"/>
  <c r="F43" i="2" s="1"/>
  <c r="D43" i="2"/>
  <c r="E43" i="2" s="1"/>
  <c r="D44" i="2" l="1"/>
  <c r="E44" i="2" s="1"/>
  <c r="C44" i="2"/>
  <c r="F44" i="2" s="1"/>
  <c r="D45" i="2" l="1"/>
  <c r="E45" i="2" s="1"/>
  <c r="C45" i="2"/>
  <c r="F45" i="2" s="1"/>
  <c r="C46" i="2" l="1"/>
  <c r="F46" i="2" s="1"/>
  <c r="D46" i="2"/>
  <c r="E46" i="2" s="1"/>
  <c r="D47" i="2" l="1"/>
  <c r="E47" i="2" s="1"/>
  <c r="C47" i="2"/>
  <c r="F47" i="2" s="1"/>
  <c r="C48" i="2" l="1"/>
  <c r="F48" i="2" s="1"/>
  <c r="D48" i="2"/>
  <c r="E48" i="2" s="1"/>
  <c r="C49" i="2" l="1"/>
  <c r="F49" i="2" s="1"/>
  <c r="D49" i="2"/>
  <c r="E49" i="2" s="1"/>
  <c r="C50" i="2" l="1"/>
  <c r="F50" i="2" s="1"/>
  <c r="D50" i="2"/>
  <c r="E50" i="2" s="1"/>
  <c r="D51" i="2" l="1"/>
  <c r="E51" i="2" s="1"/>
  <c r="C51" i="2"/>
  <c r="F51" i="2" s="1"/>
  <c r="D52" i="2" l="1"/>
  <c r="E52" i="2" s="1"/>
  <c r="C52" i="2"/>
  <c r="F52" i="2" s="1"/>
  <c r="C53" i="2" l="1"/>
  <c r="F53" i="2" s="1"/>
  <c r="D53" i="2"/>
  <c r="E53" i="2" s="1"/>
  <c r="C54" i="2" l="1"/>
  <c r="F54" i="2" s="1"/>
  <c r="D54" i="2"/>
  <c r="E54" i="2" s="1"/>
  <c r="D55" i="2" l="1"/>
  <c r="E55" i="2" s="1"/>
  <c r="C55" i="2"/>
  <c r="F55" i="2" s="1"/>
  <c r="D56" i="2" l="1"/>
  <c r="E56" i="2" s="1"/>
  <c r="C56" i="2"/>
  <c r="F56" i="2" s="1"/>
  <c r="C57" i="2" l="1"/>
  <c r="F57" i="2" s="1"/>
  <c r="D57" i="2"/>
  <c r="E57" i="2" s="1"/>
  <c r="C58" i="2" l="1"/>
  <c r="F58" i="2" s="1"/>
  <c r="D58" i="2"/>
  <c r="E58" i="2" s="1"/>
  <c r="D59" i="2" l="1"/>
  <c r="E59" i="2" s="1"/>
  <c r="C59" i="2"/>
  <c r="F59" i="2" s="1"/>
  <c r="D60" i="2" l="1"/>
  <c r="E60" i="2" s="1"/>
  <c r="C60" i="2"/>
  <c r="F60" i="2" s="1"/>
  <c r="D61" i="2" l="1"/>
  <c r="E61" i="2" s="1"/>
  <c r="C61" i="2"/>
  <c r="F61" i="2" s="1"/>
  <c r="C62" i="2" l="1"/>
  <c r="F62" i="2" s="1"/>
  <c r="D62" i="2"/>
  <c r="E62" i="2" s="1"/>
  <c r="C63" i="2" l="1"/>
  <c r="F63" i="2" s="1"/>
  <c r="D63" i="2"/>
  <c r="E63" i="2" s="1"/>
  <c r="C64" i="2" l="1"/>
  <c r="F64" i="2" s="1"/>
  <c r="D64" i="2"/>
  <c r="E64" i="2" s="1"/>
  <c r="D65" i="2" l="1"/>
  <c r="E65" i="2" s="1"/>
  <c r="C65" i="2"/>
  <c r="F65" i="2" s="1"/>
  <c r="C66" i="2" l="1"/>
  <c r="F66" i="2" s="1"/>
  <c r="D66" i="2"/>
  <c r="E66" i="2" s="1"/>
  <c r="C67" i="2" l="1"/>
  <c r="F67" i="2" s="1"/>
  <c r="D67" i="2"/>
  <c r="E67" i="2" s="1"/>
  <c r="D68" i="2" l="1"/>
  <c r="E68" i="2" s="1"/>
  <c r="C68" i="2"/>
  <c r="F68" i="2" s="1"/>
  <c r="C69" i="2" l="1"/>
  <c r="F69" i="2" s="1"/>
  <c r="D69" i="2"/>
  <c r="E69" i="2" s="1"/>
  <c r="D70" i="2" l="1"/>
  <c r="E70" i="2" s="1"/>
  <c r="C70" i="2"/>
  <c r="F70" i="2" s="1"/>
  <c r="C71" i="2" l="1"/>
  <c r="F71" i="2" s="1"/>
  <c r="D71" i="2"/>
  <c r="E71" i="2" s="1"/>
  <c r="D72" i="2" l="1"/>
  <c r="E72" i="2" s="1"/>
  <c r="C72" i="2"/>
  <c r="F72" i="2" s="1"/>
  <c r="D73" i="2" l="1"/>
  <c r="E73" i="2" s="1"/>
  <c r="C73" i="2"/>
  <c r="F73" i="2" s="1"/>
  <c r="D74" i="2" l="1"/>
  <c r="E74" i="2" s="1"/>
  <c r="C74" i="2"/>
  <c r="F74" i="2" s="1"/>
  <c r="D75" i="2" l="1"/>
  <c r="E75" i="2" s="1"/>
  <c r="C75" i="2"/>
  <c r="F75" i="2" s="1"/>
  <c r="D76" i="2" l="1"/>
  <c r="E76" i="2" s="1"/>
  <c r="C76" i="2"/>
  <c r="F76" i="2" s="1"/>
  <c r="C77" i="2" l="1"/>
  <c r="F77" i="2" s="1"/>
  <c r="D77" i="2"/>
  <c r="E77" i="2" s="1"/>
  <c r="D78" i="2" l="1"/>
  <c r="E78" i="2" s="1"/>
  <c r="C78" i="2"/>
  <c r="F78" i="2" s="1"/>
  <c r="C79" i="2" l="1"/>
  <c r="F79" i="2" s="1"/>
  <c r="D79" i="2"/>
  <c r="E79" i="2" s="1"/>
  <c r="C80" i="2" l="1"/>
  <c r="F80" i="2" s="1"/>
  <c r="D80" i="2"/>
  <c r="E80" i="2" s="1"/>
  <c r="D81" i="2" l="1"/>
  <c r="E81" i="2" s="1"/>
  <c r="C81" i="2"/>
  <c r="F81" i="2" s="1"/>
  <c r="C82" i="2" l="1"/>
  <c r="F82" i="2" s="1"/>
  <c r="D82" i="2"/>
  <c r="E82" i="2" s="1"/>
  <c r="C83" i="2" l="1"/>
  <c r="F83" i="2" s="1"/>
  <c r="D83" i="2"/>
  <c r="E83" i="2" s="1"/>
  <c r="D84" i="2" l="1"/>
  <c r="E84" i="2" s="1"/>
  <c r="C84" i="2"/>
  <c r="F84" i="2" s="1"/>
  <c r="D85" i="2" l="1"/>
  <c r="E85" i="2" s="1"/>
  <c r="C85" i="2"/>
  <c r="F85" i="2" s="1"/>
  <c r="C86" i="2" l="1"/>
  <c r="F86" i="2" s="1"/>
  <c r="D86" i="2"/>
  <c r="E86" i="2" s="1"/>
  <c r="D87" i="2" l="1"/>
  <c r="E87" i="2" s="1"/>
  <c r="C87" i="2"/>
  <c r="F87" i="2" s="1"/>
  <c r="C88" i="2" l="1"/>
  <c r="F88" i="2" s="1"/>
  <c r="D88" i="2"/>
  <c r="E88" i="2" s="1"/>
  <c r="D89" i="2" l="1"/>
  <c r="E89" i="2" s="1"/>
  <c r="C89" i="2"/>
  <c r="F89" i="2" s="1"/>
  <c r="D90" i="2" l="1"/>
  <c r="E90" i="2" s="1"/>
  <c r="C90" i="2"/>
  <c r="F90" i="2" s="1"/>
  <c r="C91" i="2" l="1"/>
  <c r="F91" i="2" s="1"/>
  <c r="D91" i="2"/>
  <c r="E91" i="2" s="1"/>
  <c r="D92" i="2" l="1"/>
  <c r="E92" i="2" s="1"/>
  <c r="C92" i="2"/>
  <c r="F92" i="2" s="1"/>
  <c r="C93" i="2" l="1"/>
  <c r="F93" i="2" s="1"/>
  <c r="D93" i="2"/>
  <c r="E93" i="2" s="1"/>
  <c r="C94" i="2" l="1"/>
  <c r="F94" i="2" s="1"/>
  <c r="D94" i="2"/>
  <c r="E94" i="2" s="1"/>
  <c r="C95" i="2" l="1"/>
  <c r="F95" i="2" s="1"/>
  <c r="D95" i="2"/>
  <c r="E95" i="2" s="1"/>
  <c r="D96" i="2" l="1"/>
  <c r="E96" i="2" s="1"/>
  <c r="C96" i="2"/>
  <c r="F96" i="2" s="1"/>
  <c r="C97" i="2" l="1"/>
  <c r="F97" i="2" s="1"/>
  <c r="D97" i="2"/>
  <c r="E97" i="2" s="1"/>
  <c r="C98" i="2" l="1"/>
  <c r="F98" i="2" s="1"/>
  <c r="D98" i="2"/>
  <c r="E98" i="2" s="1"/>
  <c r="C99" i="2" l="1"/>
  <c r="F99" i="2" s="1"/>
  <c r="D99" i="2"/>
  <c r="E99" i="2" s="1"/>
  <c r="C100" i="2" l="1"/>
  <c r="F100" i="2" s="1"/>
  <c r="D100" i="2"/>
  <c r="E100" i="2" s="1"/>
  <c r="D101" i="2" l="1"/>
  <c r="E101" i="2" s="1"/>
  <c r="C101" i="2"/>
  <c r="F101" i="2" s="1"/>
  <c r="C102" i="2" l="1"/>
  <c r="F102" i="2" s="1"/>
  <c r="D102" i="2"/>
  <c r="E102" i="2" s="1"/>
  <c r="C103" i="2" l="1"/>
  <c r="F103" i="2" s="1"/>
  <c r="D103" i="2"/>
  <c r="E103" i="2" s="1"/>
  <c r="D104" i="2" l="1"/>
  <c r="E104" i="2" s="1"/>
  <c r="C104" i="2"/>
  <c r="F104" i="2" s="1"/>
  <c r="C105" i="2" l="1"/>
  <c r="F105" i="2" s="1"/>
  <c r="D105" i="2"/>
  <c r="E105" i="2" s="1"/>
  <c r="D106" i="2" l="1"/>
  <c r="E106" i="2" s="1"/>
  <c r="C106" i="2"/>
  <c r="F106" i="2" s="1"/>
  <c r="C107" i="2" l="1"/>
  <c r="F107" i="2" s="1"/>
  <c r="D107" i="2"/>
  <c r="E107" i="2" s="1"/>
  <c r="D108" i="2" l="1"/>
  <c r="E108" i="2" s="1"/>
  <c r="C108" i="2"/>
  <c r="F108" i="2" s="1"/>
  <c r="D109" i="2" l="1"/>
  <c r="E109" i="2" s="1"/>
  <c r="C109" i="2"/>
  <c r="F109" i="2" s="1"/>
  <c r="D110" i="2" l="1"/>
  <c r="E110" i="2" s="1"/>
  <c r="C110" i="2"/>
  <c r="F110" i="2" s="1"/>
  <c r="D111" i="2" l="1"/>
  <c r="E111" i="2" s="1"/>
  <c r="C111" i="2"/>
  <c r="F111" i="2" s="1"/>
  <c r="C112" i="2" l="1"/>
  <c r="F112" i="2" s="1"/>
  <c r="D112" i="2"/>
  <c r="E112" i="2" s="1"/>
  <c r="C113" i="2" l="1"/>
  <c r="F113" i="2" s="1"/>
  <c r="D113" i="2"/>
  <c r="E113" i="2" s="1"/>
  <c r="D114" i="2" l="1"/>
  <c r="E114" i="2" s="1"/>
  <c r="C114" i="2"/>
  <c r="F114" i="2" s="1"/>
  <c r="C115" i="2" l="1"/>
  <c r="F115" i="2" s="1"/>
  <c r="D115" i="2"/>
  <c r="E115" i="2" s="1"/>
  <c r="D116" i="2" l="1"/>
  <c r="E116" i="2" s="1"/>
  <c r="C116" i="2"/>
  <c r="F116" i="2" s="1"/>
  <c r="C117" i="2" l="1"/>
  <c r="F117" i="2" s="1"/>
  <c r="D117" i="2"/>
  <c r="E117" i="2" s="1"/>
  <c r="C118" i="2" l="1"/>
  <c r="F118" i="2" s="1"/>
  <c r="D118" i="2"/>
  <c r="E118" i="2" s="1"/>
  <c r="C119" i="2" l="1"/>
  <c r="F119" i="2" s="1"/>
  <c r="D119" i="2"/>
  <c r="E119" i="2" s="1"/>
  <c r="C120" i="2" l="1"/>
  <c r="F120" i="2" s="1"/>
  <c r="D120" i="2"/>
  <c r="E120" i="2" s="1"/>
  <c r="D121" i="2" l="1"/>
  <c r="E121" i="2" s="1"/>
  <c r="C121" i="2"/>
  <c r="F121" i="2" s="1"/>
  <c r="C122" i="2" l="1"/>
  <c r="F122" i="2" s="1"/>
  <c r="D122" i="2"/>
  <c r="E122" i="2" s="1"/>
  <c r="C123" i="2" l="1"/>
  <c r="F123" i="2" s="1"/>
  <c r="D123" i="2"/>
  <c r="E123" i="2" s="1"/>
  <c r="D124" i="2" l="1"/>
  <c r="E124" i="2" s="1"/>
  <c r="C124" i="2"/>
  <c r="F124" i="2" s="1"/>
  <c r="C125" i="2" l="1"/>
  <c r="F125" i="2" s="1"/>
  <c r="D125" i="2"/>
  <c r="E125" i="2" s="1"/>
  <c r="C126" i="2" l="1"/>
  <c r="F126" i="2" s="1"/>
  <c r="D126" i="2"/>
  <c r="E126" i="2" s="1"/>
  <c r="C127" i="2" l="1"/>
  <c r="F127" i="2" s="1"/>
  <c r="D127" i="2"/>
  <c r="E127" i="2" s="1"/>
  <c r="C128" i="2" l="1"/>
  <c r="F128" i="2" s="1"/>
  <c r="D128" i="2"/>
  <c r="E128" i="2" s="1"/>
  <c r="C129" i="2" l="1"/>
  <c r="F129" i="2" s="1"/>
  <c r="D129" i="2"/>
  <c r="E129" i="2" s="1"/>
  <c r="C130" i="2" l="1"/>
  <c r="F130" i="2" s="1"/>
  <c r="D130" i="2"/>
  <c r="E130" i="2" s="1"/>
  <c r="C131" i="2" l="1"/>
  <c r="F131" i="2" s="1"/>
  <c r="D131" i="2"/>
  <c r="E131" i="2" s="1"/>
  <c r="D132" i="2" l="1"/>
  <c r="E132" i="2" s="1"/>
  <c r="C132" i="2"/>
  <c r="F132" i="2" s="1"/>
  <c r="C133" i="2" l="1"/>
  <c r="F133" i="2" s="1"/>
  <c r="D133" i="2"/>
  <c r="E133" i="2" s="1"/>
  <c r="C134" i="2" l="1"/>
  <c r="F134" i="2" s="1"/>
  <c r="D134" i="2"/>
  <c r="E134" i="2" s="1"/>
  <c r="C135" i="2" l="1"/>
  <c r="F135" i="2" s="1"/>
  <c r="D135" i="2"/>
  <c r="E135" i="2" s="1"/>
  <c r="C136" i="2" l="1"/>
  <c r="F136" i="2" s="1"/>
  <c r="D136" i="2"/>
  <c r="E136" i="2" s="1"/>
  <c r="C137" i="2" l="1"/>
  <c r="F137" i="2" s="1"/>
  <c r="D137" i="2"/>
  <c r="E137" i="2" s="1"/>
  <c r="C138" i="2" l="1"/>
  <c r="F138" i="2" s="1"/>
  <c r="D138" i="2"/>
  <c r="E138" i="2" s="1"/>
  <c r="C139" i="2" l="1"/>
  <c r="F139" i="2" s="1"/>
  <c r="D139" i="2"/>
  <c r="E139" i="2" s="1"/>
  <c r="D140" i="2" l="1"/>
  <c r="E140" i="2" s="1"/>
  <c r="C140" i="2"/>
  <c r="F140" i="2" s="1"/>
  <c r="C141" i="2" l="1"/>
  <c r="F141" i="2" s="1"/>
  <c r="D141" i="2"/>
  <c r="E141" i="2" s="1"/>
  <c r="C142" i="2" l="1"/>
  <c r="F142" i="2" s="1"/>
  <c r="D142" i="2"/>
  <c r="E142" i="2" s="1"/>
  <c r="C143" i="2" l="1"/>
  <c r="F143" i="2" s="1"/>
  <c r="D143" i="2"/>
  <c r="E143" i="2" s="1"/>
  <c r="C144" i="2" l="1"/>
  <c r="F144" i="2" s="1"/>
  <c r="D144" i="2"/>
  <c r="E144" i="2" s="1"/>
  <c r="C145" i="2" l="1"/>
  <c r="F145" i="2" s="1"/>
  <c r="D145" i="2"/>
  <c r="E145" i="2" s="1"/>
  <c r="C146" i="2" l="1"/>
  <c r="F146" i="2" s="1"/>
  <c r="D146" i="2"/>
  <c r="E146" i="2" s="1"/>
  <c r="C147" i="2" l="1"/>
  <c r="F147" i="2" s="1"/>
  <c r="D147" i="2"/>
  <c r="E147" i="2" s="1"/>
  <c r="D148" i="2" l="1"/>
  <c r="E148" i="2" s="1"/>
  <c r="C148" i="2"/>
  <c r="F148" i="2" s="1"/>
  <c r="C149" i="2" l="1"/>
  <c r="F149" i="2" s="1"/>
  <c r="D149" i="2"/>
  <c r="E149" i="2" s="1"/>
  <c r="C150" i="2" l="1"/>
  <c r="F150" i="2" s="1"/>
  <c r="D150" i="2"/>
  <c r="E150" i="2" s="1"/>
  <c r="C151" i="2" l="1"/>
  <c r="F151" i="2" s="1"/>
  <c r="D151" i="2"/>
  <c r="E151" i="2" s="1"/>
  <c r="C152" i="2" l="1"/>
  <c r="F152" i="2" s="1"/>
  <c r="D152" i="2"/>
  <c r="E152" i="2" s="1"/>
  <c r="C153" i="2" l="1"/>
  <c r="F153" i="2" s="1"/>
  <c r="D153" i="2"/>
  <c r="E153" i="2" s="1"/>
  <c r="C154" i="2" l="1"/>
  <c r="F154" i="2" s="1"/>
  <c r="D154" i="2"/>
  <c r="E154" i="2" s="1"/>
  <c r="D155" i="2" l="1"/>
  <c r="E155" i="2" s="1"/>
  <c r="C155" i="2"/>
  <c r="F155" i="2" s="1"/>
  <c r="D156" i="2" l="1"/>
  <c r="E156" i="2" s="1"/>
  <c r="C156" i="2"/>
  <c r="F156" i="2" s="1"/>
  <c r="D157" i="2" l="1"/>
  <c r="E157" i="2" s="1"/>
  <c r="C157" i="2"/>
  <c r="F157" i="2" s="1"/>
  <c r="C158" i="2" l="1"/>
  <c r="F158" i="2" s="1"/>
  <c r="D158" i="2"/>
  <c r="E158" i="2" s="1"/>
  <c r="C159" i="2" l="1"/>
  <c r="F159" i="2" s="1"/>
  <c r="D159" i="2"/>
  <c r="E159" i="2" s="1"/>
  <c r="C160" i="2" l="1"/>
  <c r="F160" i="2" s="1"/>
  <c r="D160" i="2"/>
  <c r="E160" i="2" s="1"/>
  <c r="D161" i="2" l="1"/>
  <c r="E161" i="2" s="1"/>
  <c r="C161" i="2"/>
  <c r="F161" i="2" s="1"/>
  <c r="D162" i="2" l="1"/>
  <c r="E162" i="2" s="1"/>
  <c r="C162" i="2"/>
  <c r="F162" i="2" s="1"/>
  <c r="C163" i="2" l="1"/>
  <c r="F163" i="2" s="1"/>
  <c r="D163" i="2"/>
  <c r="E163" i="2" s="1"/>
  <c r="C164" i="2" l="1"/>
  <c r="F164" i="2" s="1"/>
  <c r="D164" i="2"/>
  <c r="E164" i="2" s="1"/>
  <c r="C165" i="2" l="1"/>
  <c r="F165" i="2" s="1"/>
  <c r="D165" i="2"/>
  <c r="E165" i="2" s="1"/>
  <c r="C166" i="2" l="1"/>
  <c r="F166" i="2" s="1"/>
  <c r="D166" i="2"/>
  <c r="E166" i="2" s="1"/>
  <c r="D167" i="2" l="1"/>
  <c r="E167" i="2" s="1"/>
  <c r="C167" i="2"/>
  <c r="F167" i="2" s="1"/>
  <c r="C168" i="2" l="1"/>
  <c r="F168" i="2" s="1"/>
  <c r="D168" i="2"/>
  <c r="E168" i="2" s="1"/>
  <c r="C169" i="2" l="1"/>
  <c r="F169" i="2" s="1"/>
  <c r="D169" i="2"/>
  <c r="E169" i="2" s="1"/>
  <c r="C170" i="2" l="1"/>
  <c r="F170" i="2" s="1"/>
  <c r="D170" i="2"/>
  <c r="E170" i="2" s="1"/>
  <c r="D171" i="2" l="1"/>
  <c r="E171" i="2" s="1"/>
  <c r="C171" i="2"/>
  <c r="F171" i="2" s="1"/>
  <c r="D172" i="2" l="1"/>
  <c r="E172" i="2" s="1"/>
  <c r="C172" i="2"/>
  <c r="F172" i="2" s="1"/>
  <c r="C173" i="2" l="1"/>
  <c r="F173" i="2" s="1"/>
  <c r="D173" i="2"/>
  <c r="E173" i="2" s="1"/>
  <c r="C174" i="2" l="1"/>
  <c r="F174" i="2" s="1"/>
  <c r="D174" i="2"/>
  <c r="E174" i="2" s="1"/>
  <c r="D175" i="2" l="1"/>
  <c r="E175" i="2" s="1"/>
  <c r="C175" i="2"/>
  <c r="F175" i="2" s="1"/>
  <c r="C176" i="2" l="1"/>
  <c r="F176" i="2" s="1"/>
  <c r="D176" i="2"/>
  <c r="E176" i="2" s="1"/>
  <c r="C177" i="2" l="1"/>
  <c r="F177" i="2" s="1"/>
  <c r="D177" i="2"/>
  <c r="E177" i="2" s="1"/>
  <c r="D178" i="2" l="1"/>
  <c r="E178" i="2" s="1"/>
  <c r="C178" i="2"/>
  <c r="F178" i="2" s="1"/>
  <c r="C179" i="2" l="1"/>
  <c r="F179" i="2" s="1"/>
  <c r="D179" i="2"/>
  <c r="E179" i="2" s="1"/>
  <c r="C180" i="2" l="1"/>
  <c r="F180" i="2" s="1"/>
  <c r="D180" i="2"/>
  <c r="E180" i="2" s="1"/>
  <c r="D181" i="2" l="1"/>
  <c r="E181" i="2" s="1"/>
  <c r="C181" i="2"/>
  <c r="F181" i="2" s="1"/>
  <c r="C182" i="2" l="1"/>
  <c r="F182" i="2" s="1"/>
  <c r="D182" i="2"/>
  <c r="E182" i="2" s="1"/>
  <c r="D183" i="2" l="1"/>
  <c r="E183" i="2" s="1"/>
  <c r="C183" i="2"/>
  <c r="F183" i="2" s="1"/>
  <c r="C184" i="2" l="1"/>
  <c r="F184" i="2" s="1"/>
  <c r="D184" i="2"/>
  <c r="E184" i="2" s="1"/>
  <c r="C185" i="2" l="1"/>
  <c r="F185" i="2" s="1"/>
  <c r="D185" i="2"/>
  <c r="E185" i="2" s="1"/>
  <c r="D186" i="2" l="1"/>
  <c r="E186" i="2" s="1"/>
  <c r="C186" i="2"/>
  <c r="F186" i="2" s="1"/>
  <c r="C187" i="2" l="1"/>
  <c r="F187" i="2" s="1"/>
  <c r="D187" i="2"/>
  <c r="E187" i="2" s="1"/>
  <c r="C188" i="2" l="1"/>
  <c r="F188" i="2" s="1"/>
  <c r="D188" i="2"/>
  <c r="E188" i="2" s="1"/>
  <c r="D189" i="2" l="1"/>
  <c r="E189" i="2" s="1"/>
  <c r="C189" i="2"/>
  <c r="F189" i="2" s="1"/>
  <c r="C190" i="2" l="1"/>
  <c r="F190" i="2" s="1"/>
  <c r="D190" i="2"/>
  <c r="E190" i="2" s="1"/>
  <c r="D191" i="2" l="1"/>
  <c r="E191" i="2" s="1"/>
  <c r="C191" i="2"/>
  <c r="F191" i="2" s="1"/>
  <c r="C192" i="2" l="1"/>
  <c r="F192" i="2" s="1"/>
  <c r="D192" i="2"/>
  <c r="E192" i="2" s="1"/>
  <c r="C193" i="2" l="1"/>
  <c r="F193" i="2" s="1"/>
  <c r="D193" i="2"/>
  <c r="E193" i="2" s="1"/>
  <c r="D194" i="2" l="1"/>
  <c r="E194" i="2" s="1"/>
  <c r="C194" i="2"/>
  <c r="F194" i="2" s="1"/>
  <c r="D195" i="2" l="1"/>
  <c r="E195" i="2" s="1"/>
  <c r="C195" i="2"/>
  <c r="F195" i="2" s="1"/>
  <c r="C196" i="2" l="1"/>
  <c r="F196" i="2" s="1"/>
  <c r="D196" i="2"/>
  <c r="E196" i="2" s="1"/>
  <c r="D197" i="2" l="1"/>
  <c r="E197" i="2" s="1"/>
  <c r="C197" i="2"/>
  <c r="F197" i="2" s="1"/>
  <c r="C198" i="2" l="1"/>
  <c r="F198" i="2" s="1"/>
  <c r="D198" i="2"/>
  <c r="E198" i="2" s="1"/>
  <c r="D199" i="2" l="1"/>
  <c r="E199" i="2" s="1"/>
  <c r="C199" i="2"/>
  <c r="F199" i="2" s="1"/>
  <c r="D200" i="2" l="1"/>
  <c r="E200" i="2" s="1"/>
  <c r="C200" i="2"/>
  <c r="F200" i="2" s="1"/>
  <c r="C201" i="2" l="1"/>
  <c r="F201" i="2" s="1"/>
  <c r="D201" i="2"/>
  <c r="E201" i="2" s="1"/>
  <c r="C202" i="2" l="1"/>
  <c r="F202" i="2" s="1"/>
  <c r="D202" i="2"/>
  <c r="E202" i="2" s="1"/>
  <c r="D203" i="2" l="1"/>
  <c r="E203" i="2" s="1"/>
  <c r="C203" i="2"/>
  <c r="F203" i="2" s="1"/>
  <c r="D204" i="2" l="1"/>
  <c r="E204" i="2" s="1"/>
  <c r="C204" i="2"/>
  <c r="F204" i="2" s="1"/>
  <c r="C205" i="2" l="1"/>
  <c r="F205" i="2" s="1"/>
  <c r="D205" i="2"/>
  <c r="E205" i="2" s="1"/>
  <c r="C206" i="2" l="1"/>
  <c r="F206" i="2" s="1"/>
  <c r="D206" i="2"/>
  <c r="E206" i="2" s="1"/>
  <c r="D207" i="2" l="1"/>
  <c r="E207" i="2" s="1"/>
  <c r="C207" i="2"/>
  <c r="F207" i="2" s="1"/>
  <c r="C208" i="2" l="1"/>
  <c r="F208" i="2" s="1"/>
  <c r="D208" i="2"/>
  <c r="E208" i="2" s="1"/>
  <c r="D209" i="2" l="1"/>
  <c r="E209" i="2" s="1"/>
  <c r="C209" i="2"/>
  <c r="F209" i="2" s="1"/>
  <c r="D210" i="2" l="1"/>
  <c r="E210" i="2" s="1"/>
  <c r="C210" i="2"/>
  <c r="F210" i="2" s="1"/>
  <c r="D211" i="2" l="1"/>
  <c r="E211" i="2" s="1"/>
  <c r="C211" i="2"/>
  <c r="F211" i="2" s="1"/>
  <c r="C212" i="2" l="1"/>
  <c r="F212" i="2" s="1"/>
  <c r="D212" i="2"/>
  <c r="E212" i="2" s="1"/>
  <c r="C213" i="2" l="1"/>
  <c r="F213" i="2" s="1"/>
  <c r="D213" i="2"/>
  <c r="E213" i="2" s="1"/>
  <c r="C214" i="2" l="1"/>
  <c r="F214" i="2" s="1"/>
  <c r="D214" i="2"/>
  <c r="E214" i="2" s="1"/>
  <c r="C215" i="2" l="1"/>
  <c r="F215" i="2" s="1"/>
  <c r="D215" i="2"/>
  <c r="E215" i="2" s="1"/>
  <c r="C216" i="2" l="1"/>
  <c r="F216" i="2" s="1"/>
  <c r="D216" i="2"/>
  <c r="E216" i="2" s="1"/>
  <c r="D217" i="2" l="1"/>
  <c r="E217" i="2" s="1"/>
  <c r="C217" i="2"/>
  <c r="F217" i="2" s="1"/>
  <c r="C218" i="2" l="1"/>
  <c r="F218" i="2" s="1"/>
  <c r="D218" i="2"/>
  <c r="E218" i="2" s="1"/>
  <c r="D219" i="2" l="1"/>
  <c r="E219" i="2" s="1"/>
  <c r="C219" i="2"/>
  <c r="F219" i="2" s="1"/>
  <c r="C220" i="2" l="1"/>
  <c r="F220" i="2" s="1"/>
  <c r="D220" i="2"/>
  <c r="E220" i="2" s="1"/>
  <c r="D221" i="2" l="1"/>
  <c r="E221" i="2" s="1"/>
  <c r="C221" i="2"/>
  <c r="F221" i="2" s="1"/>
  <c r="D222" i="2" l="1"/>
  <c r="E222" i="2" s="1"/>
  <c r="C222" i="2"/>
  <c r="F222" i="2" s="1"/>
  <c r="D223" i="2" l="1"/>
  <c r="E223" i="2" s="1"/>
  <c r="C223" i="2"/>
  <c r="F223" i="2" s="1"/>
  <c r="D224" i="2" l="1"/>
  <c r="E224" i="2" s="1"/>
  <c r="C224" i="2"/>
  <c r="F224" i="2" s="1"/>
  <c r="D225" i="2" l="1"/>
  <c r="E225" i="2" s="1"/>
  <c r="C225" i="2"/>
  <c r="F225" i="2" s="1"/>
  <c r="C226" i="2" l="1"/>
  <c r="F226" i="2" s="1"/>
  <c r="D226" i="2"/>
  <c r="E226" i="2" s="1"/>
  <c r="D227" i="2" l="1"/>
  <c r="E227" i="2" s="1"/>
  <c r="C227" i="2"/>
  <c r="F227" i="2" s="1"/>
  <c r="C228" i="2" l="1"/>
  <c r="F228" i="2" s="1"/>
  <c r="D228" i="2"/>
  <c r="E228" i="2" s="1"/>
  <c r="C229" i="2" l="1"/>
  <c r="F229" i="2" s="1"/>
  <c r="D229" i="2"/>
  <c r="E229" i="2" s="1"/>
  <c r="C230" i="2" l="1"/>
  <c r="F230" i="2" s="1"/>
  <c r="D230" i="2"/>
  <c r="E230" i="2" s="1"/>
  <c r="D231" i="2" l="1"/>
  <c r="E231" i="2" s="1"/>
  <c r="C231" i="2"/>
  <c r="F231" i="2" s="1"/>
  <c r="C232" i="2" l="1"/>
  <c r="F232" i="2" s="1"/>
  <c r="D232" i="2"/>
  <c r="E232" i="2" s="1"/>
  <c r="D233" i="2" l="1"/>
  <c r="E233" i="2" s="1"/>
  <c r="C233" i="2"/>
  <c r="F233" i="2" s="1"/>
  <c r="D234" i="2" l="1"/>
  <c r="E234" i="2" s="1"/>
  <c r="C234" i="2"/>
  <c r="F234" i="2" s="1"/>
  <c r="D235" i="2" l="1"/>
  <c r="E235" i="2" s="1"/>
  <c r="C235" i="2"/>
  <c r="F235" i="2" s="1"/>
  <c r="C236" i="2" l="1"/>
  <c r="F236" i="2" s="1"/>
  <c r="D236" i="2"/>
  <c r="E236" i="2" s="1"/>
  <c r="D237" i="2" l="1"/>
  <c r="E237" i="2" s="1"/>
  <c r="C237" i="2"/>
  <c r="F237" i="2" s="1"/>
  <c r="C238" i="2" l="1"/>
  <c r="F238" i="2" s="1"/>
  <c r="D238" i="2"/>
  <c r="E238" i="2" s="1"/>
  <c r="D239" i="2" l="1"/>
  <c r="E239" i="2" s="1"/>
  <c r="C239" i="2"/>
  <c r="F239" i="2" s="1"/>
  <c r="C240" i="2" l="1"/>
  <c r="F240" i="2" s="1"/>
  <c r="D240" i="2"/>
  <c r="E240" i="2" s="1"/>
  <c r="C241" i="2" l="1"/>
  <c r="F241" i="2" s="1"/>
  <c r="D241" i="2"/>
  <c r="E241" i="2" s="1"/>
  <c r="C242" i="2" l="1"/>
  <c r="F242" i="2" s="1"/>
  <c r="D242" i="2"/>
  <c r="E242" i="2" s="1"/>
  <c r="C243" i="2" l="1"/>
  <c r="F243" i="2" s="1"/>
  <c r="D243" i="2"/>
  <c r="E243" i="2" s="1"/>
  <c r="C244" i="2" l="1"/>
  <c r="F244" i="2" s="1"/>
  <c r="D244" i="2"/>
  <c r="E244" i="2" s="1"/>
  <c r="C245" i="2" l="1"/>
  <c r="F245" i="2" s="1"/>
  <c r="D245" i="2"/>
  <c r="E245" i="2" s="1"/>
  <c r="C246" i="2" l="1"/>
  <c r="F246" i="2" s="1"/>
  <c r="D246" i="2"/>
  <c r="E246" i="2" s="1"/>
  <c r="C247" i="2" l="1"/>
  <c r="F247" i="2" s="1"/>
  <c r="D247" i="2"/>
  <c r="E247" i="2" s="1"/>
  <c r="D248" i="2" l="1"/>
  <c r="E248" i="2" s="1"/>
  <c r="C248" i="2"/>
  <c r="F248" i="2" s="1"/>
  <c r="C249" i="2" l="1"/>
  <c r="F249" i="2" s="1"/>
  <c r="D249" i="2"/>
  <c r="E249" i="2" s="1"/>
  <c r="C250" i="2" l="1"/>
  <c r="F250" i="2" s="1"/>
  <c r="D250" i="2"/>
  <c r="E250" i="2" s="1"/>
  <c r="C251" i="2" l="1"/>
  <c r="F251" i="2" s="1"/>
  <c r="D251" i="2"/>
  <c r="E251" i="2" s="1"/>
  <c r="C252" i="2" l="1"/>
  <c r="F252" i="2" s="1"/>
  <c r="D252" i="2"/>
  <c r="E252" i="2" s="1"/>
  <c r="D253" i="2" l="1"/>
  <c r="E253" i="2" s="1"/>
  <c r="C253" i="2"/>
  <c r="F253" i="2" s="1"/>
  <c r="C254" i="2" l="1"/>
  <c r="F254" i="2" s="1"/>
  <c r="D254" i="2"/>
  <c r="E254" i="2" s="1"/>
  <c r="D255" i="2" l="1"/>
  <c r="E255" i="2" s="1"/>
  <c r="C255" i="2"/>
  <c r="F255" i="2" s="1"/>
  <c r="C256" i="2" l="1"/>
  <c r="F256" i="2" s="1"/>
  <c r="D256" i="2"/>
  <c r="E256" i="2" s="1"/>
  <c r="C257" i="2" l="1"/>
  <c r="F257" i="2" s="1"/>
  <c r="D257" i="2"/>
  <c r="E257" i="2" s="1"/>
  <c r="C258" i="2" l="1"/>
  <c r="F258" i="2" s="1"/>
  <c r="D258" i="2"/>
  <c r="E258" i="2" s="1"/>
  <c r="D259" i="2" l="1"/>
  <c r="E259" i="2" s="1"/>
  <c r="C259" i="2"/>
  <c r="F259" i="2" s="1"/>
  <c r="C260" i="2" l="1"/>
  <c r="F260" i="2" s="1"/>
  <c r="D260" i="2"/>
  <c r="E260" i="2" s="1"/>
  <c r="C261" i="2" l="1"/>
  <c r="F261" i="2" s="1"/>
  <c r="D261" i="2"/>
  <c r="E261" i="2" s="1"/>
  <c r="D262" i="2" l="1"/>
  <c r="E262" i="2" s="1"/>
  <c r="C262" i="2"/>
  <c r="F262" i="2" s="1"/>
  <c r="D263" i="2" l="1"/>
  <c r="E263" i="2" s="1"/>
  <c r="C263" i="2"/>
  <c r="F263" i="2" s="1"/>
  <c r="C264" i="2" l="1"/>
  <c r="F264" i="2" s="1"/>
  <c r="D264" i="2"/>
  <c r="E264" i="2" s="1"/>
  <c r="C265" i="2" l="1"/>
  <c r="F265" i="2" s="1"/>
  <c r="D265" i="2"/>
  <c r="E265" i="2" s="1"/>
  <c r="C266" i="2" l="1"/>
  <c r="F266" i="2" s="1"/>
  <c r="D266" i="2"/>
  <c r="E266" i="2" s="1"/>
  <c r="C267" i="2" l="1"/>
  <c r="F267" i="2" s="1"/>
  <c r="D267" i="2"/>
  <c r="E267" i="2" s="1"/>
  <c r="C268" i="2" l="1"/>
  <c r="F268" i="2" s="1"/>
  <c r="D268" i="2"/>
  <c r="E268" i="2" s="1"/>
  <c r="C269" i="2" l="1"/>
  <c r="F269" i="2" s="1"/>
  <c r="D269" i="2"/>
  <c r="E269" i="2" s="1"/>
  <c r="D270" i="2" l="1"/>
  <c r="E270" i="2" s="1"/>
  <c r="C270" i="2"/>
  <c r="F270" i="2" s="1"/>
  <c r="C271" i="2" l="1"/>
  <c r="F271" i="2" s="1"/>
  <c r="D271" i="2"/>
  <c r="E271" i="2" s="1"/>
  <c r="C272" i="2" l="1"/>
  <c r="F272" i="2" s="1"/>
  <c r="D272" i="2"/>
  <c r="E272" i="2" s="1"/>
  <c r="C273" i="2" l="1"/>
  <c r="F273" i="2" s="1"/>
  <c r="D273" i="2"/>
  <c r="E273" i="2" s="1"/>
  <c r="C274" i="2" l="1"/>
  <c r="F274" i="2" s="1"/>
  <c r="D274" i="2"/>
  <c r="E274" i="2" s="1"/>
  <c r="C275" i="2" l="1"/>
  <c r="F275" i="2" s="1"/>
  <c r="D275" i="2"/>
  <c r="E275" i="2" s="1"/>
  <c r="D276" i="2" l="1"/>
  <c r="E276" i="2" s="1"/>
  <c r="C276" i="2"/>
  <c r="F276" i="2" s="1"/>
  <c r="C277" i="2" l="1"/>
  <c r="F277" i="2" s="1"/>
  <c r="D277" i="2"/>
  <c r="E277" i="2" s="1"/>
  <c r="D278" i="2" l="1"/>
  <c r="E278" i="2" s="1"/>
  <c r="C278" i="2"/>
  <c r="F278" i="2" s="1"/>
  <c r="D279" i="2" l="1"/>
  <c r="E279" i="2" s="1"/>
  <c r="C279" i="2"/>
  <c r="F279" i="2" s="1"/>
  <c r="D280" i="2" l="1"/>
  <c r="E280" i="2" s="1"/>
  <c r="C280" i="2"/>
  <c r="F280" i="2" s="1"/>
  <c r="C281" i="2" l="1"/>
  <c r="F281" i="2" s="1"/>
  <c r="D281" i="2"/>
  <c r="E281" i="2" s="1"/>
  <c r="C282" i="2" l="1"/>
  <c r="F282" i="2" s="1"/>
  <c r="D282" i="2"/>
  <c r="E282" i="2" s="1"/>
  <c r="C283" i="2" l="1"/>
  <c r="F283" i="2" s="1"/>
  <c r="D283" i="2"/>
  <c r="E283" i="2" s="1"/>
  <c r="C284" i="2" l="1"/>
  <c r="F284" i="2" s="1"/>
  <c r="D284" i="2"/>
  <c r="E284" i="2" s="1"/>
  <c r="C285" i="2" l="1"/>
  <c r="F285" i="2" s="1"/>
  <c r="D285" i="2"/>
  <c r="E285" i="2" s="1"/>
  <c r="C286" i="2" l="1"/>
  <c r="F286" i="2" s="1"/>
  <c r="D286" i="2"/>
  <c r="E286" i="2" s="1"/>
  <c r="C287" i="2" l="1"/>
  <c r="F287" i="2" s="1"/>
  <c r="D287" i="2"/>
  <c r="E287" i="2" s="1"/>
  <c r="C288" i="2" l="1"/>
  <c r="F288" i="2" s="1"/>
  <c r="D288" i="2"/>
  <c r="E288" i="2" s="1"/>
  <c r="D289" i="2" l="1"/>
  <c r="E289" i="2" s="1"/>
  <c r="C289" i="2"/>
  <c r="F289" i="2" s="1"/>
  <c r="C290" i="2" l="1"/>
  <c r="F290" i="2" s="1"/>
  <c r="D290" i="2"/>
  <c r="E290" i="2" s="1"/>
  <c r="C291" i="2" l="1"/>
  <c r="F291" i="2" s="1"/>
  <c r="D291" i="2"/>
  <c r="E291" i="2" s="1"/>
  <c r="C292" i="2" l="1"/>
  <c r="F292" i="2" s="1"/>
  <c r="D292" i="2"/>
  <c r="E292" i="2" s="1"/>
  <c r="C293" i="2" l="1"/>
  <c r="F293" i="2" s="1"/>
  <c r="D293" i="2"/>
  <c r="E293" i="2" s="1"/>
  <c r="D294" i="2" l="1"/>
  <c r="E294" i="2" s="1"/>
  <c r="C294" i="2"/>
  <c r="F294" i="2" s="1"/>
  <c r="D295" i="2" l="1"/>
  <c r="E295" i="2" s="1"/>
  <c r="C295" i="2"/>
  <c r="F295" i="2" s="1"/>
  <c r="C296" i="2" l="1"/>
  <c r="F296" i="2" s="1"/>
  <c r="D296" i="2"/>
  <c r="E296" i="2" s="1"/>
  <c r="D297" i="2" l="1"/>
  <c r="E297" i="2" s="1"/>
  <c r="C297" i="2"/>
  <c r="F297" i="2" s="1"/>
  <c r="C298" i="2" l="1"/>
  <c r="F298" i="2" s="1"/>
  <c r="D298" i="2"/>
  <c r="E298" i="2" s="1"/>
  <c r="C299" i="2" l="1"/>
  <c r="F299" i="2" s="1"/>
  <c r="D299" i="2"/>
  <c r="E299" i="2" s="1"/>
  <c r="C300" i="2" l="1"/>
  <c r="F300" i="2" s="1"/>
  <c r="D300" i="2"/>
  <c r="E300" i="2" s="1"/>
  <c r="C301" i="2" l="1"/>
  <c r="F301" i="2" s="1"/>
  <c r="D301" i="2"/>
  <c r="E301" i="2" s="1"/>
  <c r="D302" i="2" l="1"/>
  <c r="E302" i="2" s="1"/>
  <c r="C302" i="2"/>
  <c r="F302" i="2" s="1"/>
  <c r="C303" i="2" l="1"/>
  <c r="F303" i="2" s="1"/>
  <c r="D303" i="2"/>
  <c r="E303" i="2" s="1"/>
  <c r="C304" i="2" l="1"/>
  <c r="F304" i="2" s="1"/>
  <c r="D304" i="2"/>
  <c r="E304" i="2" s="1"/>
  <c r="C305" i="2" l="1"/>
  <c r="F305" i="2" s="1"/>
  <c r="D305" i="2"/>
  <c r="E305" i="2" s="1"/>
  <c r="C306" i="2" l="1"/>
  <c r="F306" i="2" s="1"/>
  <c r="D306" i="2"/>
  <c r="E306" i="2" s="1"/>
  <c r="C307" i="2" l="1"/>
  <c r="F307" i="2" s="1"/>
  <c r="D307" i="2"/>
  <c r="E307" i="2" s="1"/>
  <c r="C308" i="2" l="1"/>
  <c r="F308" i="2" s="1"/>
  <c r="D308" i="2"/>
  <c r="E308" i="2" s="1"/>
  <c r="C309" i="2" l="1"/>
  <c r="F309" i="2" s="1"/>
  <c r="D309" i="2"/>
  <c r="E309" i="2" s="1"/>
  <c r="D310" i="2" l="1"/>
  <c r="E310" i="2" s="1"/>
  <c r="C310" i="2"/>
  <c r="F310" i="2" s="1"/>
  <c r="C311" i="2" l="1"/>
  <c r="F311" i="2" s="1"/>
  <c r="D311" i="2"/>
  <c r="E311" i="2" s="1"/>
  <c r="C312" i="2" l="1"/>
  <c r="F312" i="2" s="1"/>
  <c r="D312" i="2"/>
  <c r="E312" i="2" s="1"/>
  <c r="D313" i="2" l="1"/>
  <c r="E313" i="2" s="1"/>
  <c r="C313" i="2"/>
  <c r="F313" i="2" s="1"/>
  <c r="D314" i="2" l="1"/>
  <c r="E314" i="2" s="1"/>
  <c r="C314" i="2"/>
  <c r="F314" i="2" s="1"/>
  <c r="C315" i="2" l="1"/>
  <c r="F315" i="2" s="1"/>
  <c r="D315" i="2"/>
  <c r="E315" i="2" s="1"/>
  <c r="D316" i="2" l="1"/>
  <c r="E316" i="2" s="1"/>
  <c r="C316" i="2"/>
  <c r="F316" i="2" s="1"/>
  <c r="C317" i="2" l="1"/>
  <c r="F317" i="2" s="1"/>
  <c r="D317" i="2"/>
  <c r="E317" i="2" s="1"/>
  <c r="D318" i="2" l="1"/>
  <c r="E318" i="2" s="1"/>
  <c r="C318" i="2"/>
  <c r="F318" i="2" s="1"/>
  <c r="C319" i="2" l="1"/>
  <c r="F319" i="2" s="1"/>
  <c r="D319" i="2"/>
  <c r="E319" i="2" s="1"/>
  <c r="C320" i="2" l="1"/>
  <c r="F320" i="2" s="1"/>
  <c r="D320" i="2"/>
  <c r="E320" i="2" s="1"/>
  <c r="C321" i="2" l="1"/>
  <c r="F321" i="2" s="1"/>
  <c r="D321" i="2"/>
  <c r="E321" i="2" s="1"/>
  <c r="D322" i="2" l="1"/>
  <c r="E322" i="2" s="1"/>
  <c r="C322" i="2"/>
  <c r="F322" i="2" s="1"/>
  <c r="D323" i="2" l="1"/>
  <c r="E323" i="2" s="1"/>
  <c r="C323" i="2"/>
  <c r="F323" i="2" s="1"/>
  <c r="C324" i="2" l="1"/>
  <c r="F324" i="2" s="1"/>
  <c r="D324" i="2"/>
  <c r="E324" i="2" s="1"/>
  <c r="C325" i="2" l="1"/>
  <c r="F325" i="2" s="1"/>
  <c r="D325" i="2"/>
  <c r="E325" i="2" s="1"/>
  <c r="C326" i="2" l="1"/>
  <c r="F326" i="2" s="1"/>
  <c r="D326" i="2"/>
  <c r="E326" i="2" s="1"/>
  <c r="D327" i="2" l="1"/>
  <c r="E327" i="2" s="1"/>
  <c r="C327" i="2"/>
  <c r="F327" i="2" s="1"/>
  <c r="C328" i="2" l="1"/>
  <c r="F328" i="2" s="1"/>
  <c r="D328" i="2"/>
  <c r="E328" i="2" s="1"/>
  <c r="C329" i="2" l="1"/>
  <c r="F329" i="2" s="1"/>
  <c r="D329" i="2"/>
  <c r="E329" i="2" s="1"/>
  <c r="C330" i="2" l="1"/>
  <c r="F330" i="2" s="1"/>
  <c r="D330" i="2"/>
  <c r="E330" i="2" s="1"/>
  <c r="D331" i="2" l="1"/>
  <c r="E331" i="2" s="1"/>
  <c r="C331" i="2"/>
  <c r="F331" i="2" s="1"/>
  <c r="D332" i="2" l="1"/>
  <c r="E332" i="2" s="1"/>
  <c r="C332" i="2"/>
  <c r="F332" i="2" s="1"/>
  <c r="D333" i="2" l="1"/>
  <c r="E333" i="2" s="1"/>
  <c r="C333" i="2"/>
  <c r="F333" i="2" s="1"/>
  <c r="D334" i="2" l="1"/>
  <c r="E334" i="2" s="1"/>
  <c r="C334" i="2"/>
  <c r="F334" i="2" s="1"/>
  <c r="D335" i="2" l="1"/>
  <c r="E335" i="2" s="1"/>
  <c r="C335" i="2"/>
  <c r="F335" i="2" s="1"/>
  <c r="D336" i="2" l="1"/>
  <c r="E336" i="2" s="1"/>
  <c r="C336" i="2"/>
  <c r="F336" i="2" s="1"/>
  <c r="C337" i="2" l="1"/>
  <c r="F337" i="2" s="1"/>
  <c r="D337" i="2"/>
  <c r="E337" i="2" s="1"/>
  <c r="C338" i="2" l="1"/>
  <c r="F338" i="2" s="1"/>
  <c r="D338" i="2"/>
  <c r="E338" i="2" s="1"/>
  <c r="C339" i="2" l="1"/>
  <c r="F339" i="2" s="1"/>
  <c r="D339" i="2"/>
  <c r="E339" i="2" s="1"/>
  <c r="C340" i="2" l="1"/>
  <c r="F340" i="2" s="1"/>
  <c r="D340" i="2"/>
  <c r="E340" i="2" s="1"/>
  <c r="C341" i="2" l="1"/>
  <c r="F341" i="2" s="1"/>
  <c r="D341" i="2"/>
  <c r="E341" i="2" s="1"/>
  <c r="C342" i="2" l="1"/>
  <c r="F342" i="2" s="1"/>
  <c r="D342" i="2"/>
  <c r="E342" i="2" s="1"/>
  <c r="C343" i="2" l="1"/>
  <c r="F343" i="2" s="1"/>
  <c r="D343" i="2"/>
  <c r="E343" i="2" s="1"/>
  <c r="D344" i="2" l="1"/>
  <c r="E344" i="2" s="1"/>
  <c r="C344" i="2"/>
  <c r="F344" i="2" s="1"/>
  <c r="C345" i="2" l="1"/>
  <c r="F345" i="2" s="1"/>
  <c r="D345" i="2"/>
  <c r="E345" i="2" s="1"/>
  <c r="D346" i="2" l="1"/>
  <c r="E346" i="2" s="1"/>
  <c r="C346" i="2"/>
  <c r="F346" i="2" s="1"/>
  <c r="D347" i="2" l="1"/>
  <c r="E347" i="2" s="1"/>
  <c r="C347" i="2"/>
  <c r="F347" i="2" s="1"/>
  <c r="C348" i="2" l="1"/>
  <c r="F348" i="2" s="1"/>
  <c r="D348" i="2"/>
  <c r="E348" i="2" s="1"/>
  <c r="D349" i="2" l="1"/>
  <c r="E349" i="2" s="1"/>
  <c r="C349" i="2"/>
  <c r="F349" i="2" s="1"/>
  <c r="C350" i="2" l="1"/>
  <c r="F350" i="2" s="1"/>
  <c r="D350" i="2"/>
  <c r="E350" i="2" s="1"/>
  <c r="C351" i="2" l="1"/>
  <c r="F351" i="2" s="1"/>
  <c r="D351" i="2"/>
  <c r="E351" i="2" s="1"/>
  <c r="D352" i="2" l="1"/>
  <c r="E352" i="2" s="1"/>
  <c r="C352" i="2"/>
  <c r="F352" i="2" s="1"/>
  <c r="C353" i="2" l="1"/>
  <c r="F353" i="2" s="1"/>
  <c r="D353" i="2"/>
  <c r="E353" i="2" s="1"/>
  <c r="C354" i="2" l="1"/>
  <c r="F354" i="2" s="1"/>
  <c r="D354" i="2"/>
  <c r="E354" i="2" s="1"/>
  <c r="C355" i="2" l="1"/>
  <c r="F355" i="2" s="1"/>
  <c r="D355" i="2"/>
  <c r="E355" i="2" s="1"/>
  <c r="D356" i="2" l="1"/>
  <c r="E356" i="2" s="1"/>
  <c r="C356" i="2"/>
  <c r="F356" i="2" s="1"/>
  <c r="C357" i="2" l="1"/>
  <c r="F357" i="2" s="1"/>
  <c r="D357" i="2"/>
  <c r="E357" i="2" s="1"/>
  <c r="D358" i="2" l="1"/>
  <c r="E358" i="2" s="1"/>
  <c r="C358" i="2"/>
  <c r="F358" i="2" s="1"/>
  <c r="C359" i="2" l="1"/>
  <c r="F359" i="2" s="1"/>
  <c r="D359" i="2"/>
  <c r="E359" i="2" s="1"/>
  <c r="D360" i="2" l="1"/>
  <c r="E360" i="2" s="1"/>
  <c r="C360" i="2"/>
  <c r="F360" i="2" s="1"/>
  <c r="C361" i="2" l="1"/>
  <c r="F361" i="2" s="1"/>
  <c r="D361" i="2"/>
  <c r="E361" i="2" s="1"/>
  <c r="C362" i="2" l="1"/>
  <c r="F362" i="2" s="1"/>
  <c r="D362" i="2"/>
  <c r="E362" i="2" s="1"/>
  <c r="D363" i="2" l="1"/>
  <c r="E363" i="2" s="1"/>
  <c r="C363" i="2"/>
  <c r="F363" i="2" s="1"/>
  <c r="D364" i="2" l="1"/>
  <c r="E364" i="2" s="1"/>
  <c r="C364" i="2"/>
  <c r="F364" i="2" s="1"/>
  <c r="C365" i="2" l="1"/>
  <c r="F365" i="2" s="1"/>
  <c r="D365" i="2"/>
  <c r="E365" i="2" s="1"/>
  <c r="C366" i="2" l="1"/>
  <c r="F366" i="2" s="1"/>
  <c r="D366" i="2"/>
  <c r="E366" i="2" s="1"/>
  <c r="C367" i="2" l="1"/>
  <c r="F367" i="2" s="1"/>
  <c r="D367" i="2"/>
  <c r="E367" i="2" s="1"/>
  <c r="D368" i="2" l="1"/>
  <c r="E368" i="2" s="1"/>
  <c r="C368" i="2"/>
  <c r="F368" i="2" s="1"/>
  <c r="C369" i="2" l="1"/>
  <c r="F369" i="2" s="1"/>
  <c r="D369" i="2"/>
  <c r="E369" i="2" s="1"/>
  <c r="C370" i="2" l="1"/>
  <c r="F370" i="2" s="1"/>
  <c r="D370" i="2"/>
  <c r="E370" i="2" s="1"/>
  <c r="D371" i="2" l="1"/>
  <c r="E371" i="2" s="1"/>
  <c r="C371" i="2"/>
  <c r="F371" i="2" s="1"/>
  <c r="C372" i="2" l="1"/>
  <c r="F372" i="2" s="1"/>
  <c r="D372" i="2"/>
  <c r="E372" i="2" s="1"/>
  <c r="C373" i="2" l="1"/>
  <c r="F373" i="2" s="1"/>
  <c r="D373" i="2"/>
  <c r="E373" i="2" s="1"/>
  <c r="C374" i="2" l="1"/>
  <c r="F374" i="2" s="1"/>
  <c r="D374" i="2"/>
  <c r="E374" i="2" s="1"/>
  <c r="D375" i="2" l="1"/>
  <c r="E375" i="2" s="1"/>
  <c r="C375" i="2"/>
  <c r="F375" i="2" s="1"/>
  <c r="D376" i="2" l="1"/>
  <c r="E376" i="2" s="1"/>
  <c r="C376" i="2"/>
  <c r="F376" i="2" s="1"/>
  <c r="C377" i="2" l="1"/>
  <c r="F377" i="2" s="1"/>
  <c r="D377" i="2"/>
  <c r="E377" i="2" s="1"/>
  <c r="C378" i="2" l="1"/>
  <c r="F378" i="2" s="1"/>
  <c r="D378" i="2"/>
  <c r="E378" i="2" s="1"/>
  <c r="C379" i="2" l="1"/>
  <c r="F379" i="2" s="1"/>
  <c r="D379" i="2"/>
  <c r="E379" i="2" s="1"/>
  <c r="D380" i="2" l="1"/>
  <c r="E380" i="2" s="1"/>
  <c r="C380" i="2"/>
  <c r="F380" i="2" s="1"/>
  <c r="C381" i="2" l="1"/>
  <c r="F381" i="2" s="1"/>
  <c r="D381" i="2"/>
  <c r="E381" i="2" s="1"/>
  <c r="C382" i="2" l="1"/>
  <c r="F382" i="2" s="1"/>
  <c r="D382" i="2"/>
  <c r="E382" i="2" s="1"/>
  <c r="C383" i="2" l="1"/>
  <c r="F383" i="2" s="1"/>
  <c r="D383" i="2"/>
  <c r="E383" i="2" s="1"/>
  <c r="D384" i="2" l="1"/>
  <c r="E384" i="2" s="1"/>
  <c r="C384" i="2"/>
  <c r="F384" i="2" s="1"/>
  <c r="C385" i="2" l="1"/>
  <c r="F385" i="2" s="1"/>
  <c r="D385" i="2"/>
  <c r="E385" i="2" s="1"/>
  <c r="C386" i="2" l="1"/>
  <c r="F386" i="2" s="1"/>
  <c r="D386" i="2"/>
  <c r="E386" i="2" s="1"/>
  <c r="C387" i="2" l="1"/>
  <c r="F387" i="2" s="1"/>
  <c r="D387" i="2"/>
  <c r="E387" i="2" s="1"/>
  <c r="D388" i="2" l="1"/>
  <c r="E388" i="2" s="1"/>
  <c r="C388" i="2"/>
  <c r="F388" i="2" s="1"/>
  <c r="D389" i="2" l="1"/>
  <c r="E389" i="2" s="1"/>
  <c r="C389" i="2"/>
  <c r="F389" i="2" s="1"/>
  <c r="C390" i="2" l="1"/>
  <c r="F390" i="2" s="1"/>
  <c r="D390" i="2"/>
  <c r="E390" i="2" s="1"/>
  <c r="C391" i="2" l="1"/>
  <c r="F391" i="2" s="1"/>
  <c r="D391" i="2"/>
  <c r="E391" i="2" s="1"/>
  <c r="D392" i="2" l="1"/>
  <c r="E392" i="2" s="1"/>
  <c r="C392" i="2"/>
  <c r="F392" i="2" s="1"/>
  <c r="C393" i="2" l="1"/>
  <c r="F393" i="2" s="1"/>
  <c r="D393" i="2"/>
  <c r="E393" i="2" s="1"/>
  <c r="C394" i="2" l="1"/>
  <c r="F394" i="2" s="1"/>
  <c r="D394" i="2"/>
  <c r="E394" i="2" s="1"/>
  <c r="D395" i="2" l="1"/>
  <c r="E395" i="2" s="1"/>
  <c r="C395" i="2"/>
  <c r="F395" i="2" s="1"/>
  <c r="C396" i="2" l="1"/>
  <c r="F396" i="2" s="1"/>
  <c r="D396" i="2"/>
  <c r="E396" i="2" s="1"/>
  <c r="D397" i="2" l="1"/>
  <c r="E397" i="2" s="1"/>
  <c r="C397" i="2"/>
  <c r="F397" i="2" s="1"/>
  <c r="C398" i="2" l="1"/>
  <c r="F398" i="2" s="1"/>
  <c r="D398" i="2"/>
  <c r="E398" i="2" s="1"/>
  <c r="C399" i="2" l="1"/>
  <c r="F399" i="2" s="1"/>
  <c r="D399" i="2"/>
  <c r="E399" i="2" s="1"/>
  <c r="D400" i="2" l="1"/>
  <c r="E400" i="2" s="1"/>
  <c r="C400" i="2"/>
  <c r="F400" i="2" s="1"/>
  <c r="C401" i="2" l="1"/>
  <c r="F401" i="2" s="1"/>
  <c r="D401" i="2"/>
  <c r="E401" i="2" s="1"/>
  <c r="C402" i="2" l="1"/>
  <c r="F402" i="2" s="1"/>
  <c r="D402" i="2"/>
  <c r="E402" i="2" s="1"/>
  <c r="D403" i="2" l="1"/>
  <c r="E403" i="2" s="1"/>
  <c r="C403" i="2"/>
  <c r="F403" i="2" s="1"/>
  <c r="D404" i="2" l="1"/>
  <c r="E404" i="2" s="1"/>
  <c r="C404" i="2"/>
  <c r="F404" i="2" s="1"/>
  <c r="C405" i="2" l="1"/>
  <c r="F405" i="2" s="1"/>
  <c r="D405" i="2"/>
  <c r="E405" i="2" s="1"/>
  <c r="D406" i="2" l="1"/>
  <c r="E406" i="2" s="1"/>
  <c r="C406" i="2"/>
  <c r="F406" i="2" s="1"/>
  <c r="C407" i="2" l="1"/>
  <c r="F407" i="2" s="1"/>
  <c r="D407" i="2"/>
  <c r="E407" i="2" s="1"/>
  <c r="D408" i="2" l="1"/>
  <c r="E408" i="2" s="1"/>
  <c r="C408" i="2"/>
  <c r="F408" i="2" s="1"/>
  <c r="C409" i="2" l="1"/>
  <c r="F409" i="2" s="1"/>
  <c r="D409" i="2"/>
  <c r="E409" i="2" s="1"/>
  <c r="C410" i="2" l="1"/>
  <c r="F410" i="2" s="1"/>
  <c r="D410" i="2"/>
  <c r="E410" i="2" s="1"/>
  <c r="C411" i="2" l="1"/>
  <c r="F411" i="2" s="1"/>
  <c r="D411" i="2"/>
  <c r="E411" i="2" s="1"/>
  <c r="D412" i="2" l="1"/>
  <c r="E412" i="2" s="1"/>
  <c r="C412" i="2"/>
  <c r="F412" i="2" s="1"/>
  <c r="C413" i="2" l="1"/>
  <c r="F413" i="2" s="1"/>
  <c r="D413" i="2"/>
  <c r="E413" i="2" s="1"/>
  <c r="C414" i="2" l="1"/>
  <c r="F414" i="2" s="1"/>
  <c r="D414" i="2"/>
  <c r="E414" i="2" s="1"/>
  <c r="C415" i="2" l="1"/>
  <c r="F415" i="2" s="1"/>
  <c r="D415" i="2"/>
  <c r="E415" i="2" s="1"/>
  <c r="D416" i="2" l="1"/>
  <c r="E416" i="2" s="1"/>
  <c r="C416" i="2"/>
  <c r="F416" i="2" s="1"/>
  <c r="C417" i="2" l="1"/>
  <c r="F417" i="2" s="1"/>
  <c r="D417" i="2"/>
  <c r="E417" i="2" s="1"/>
  <c r="C418" i="2" l="1"/>
  <c r="F418" i="2" s="1"/>
  <c r="D418" i="2"/>
  <c r="E418" i="2" s="1"/>
  <c r="C419" i="2" l="1"/>
  <c r="F419" i="2" s="1"/>
  <c r="D419" i="2"/>
  <c r="E419" i="2" s="1"/>
  <c r="D420" i="2" l="1"/>
  <c r="E420" i="2" s="1"/>
  <c r="C420" i="2"/>
  <c r="F420" i="2" s="1"/>
  <c r="C421" i="2" l="1"/>
  <c r="F421" i="2" s="1"/>
  <c r="D421" i="2"/>
  <c r="E421" i="2" s="1"/>
  <c r="D422" i="2" l="1"/>
  <c r="E422" i="2" s="1"/>
  <c r="C422" i="2"/>
  <c r="F422" i="2" s="1"/>
  <c r="C423" i="2" l="1"/>
  <c r="F423" i="2" s="1"/>
  <c r="D423" i="2"/>
  <c r="E423" i="2" s="1"/>
  <c r="C424" i="2" l="1"/>
  <c r="F424" i="2" s="1"/>
  <c r="D424" i="2"/>
  <c r="E424" i="2" s="1"/>
  <c r="D425" i="2" l="1"/>
  <c r="E425" i="2" s="1"/>
  <c r="C425" i="2"/>
  <c r="F425" i="2" s="1"/>
  <c r="D426" i="2" l="1"/>
  <c r="E426" i="2" s="1"/>
  <c r="C426" i="2"/>
  <c r="F426" i="2" s="1"/>
  <c r="C427" i="2" l="1"/>
  <c r="F427" i="2" s="1"/>
  <c r="D427" i="2"/>
  <c r="E427" i="2" s="1"/>
  <c r="C428" i="2" l="1"/>
  <c r="F428" i="2" s="1"/>
  <c r="D428" i="2"/>
  <c r="E428" i="2" s="1"/>
  <c r="C429" i="2" l="1"/>
  <c r="F429" i="2" s="1"/>
  <c r="D429" i="2"/>
  <c r="E429" i="2" s="1"/>
  <c r="D430" i="2" l="1"/>
  <c r="E430" i="2" s="1"/>
  <c r="C430" i="2"/>
  <c r="F430" i="2" s="1"/>
  <c r="D431" i="2" l="1"/>
  <c r="E431" i="2" s="1"/>
  <c r="C431" i="2"/>
  <c r="F431" i="2" s="1"/>
  <c r="C432" i="2" l="1"/>
  <c r="F432" i="2" s="1"/>
  <c r="D432" i="2"/>
  <c r="E432" i="2" s="1"/>
  <c r="D433" i="2" l="1"/>
  <c r="E433" i="2" s="1"/>
  <c r="C433" i="2"/>
  <c r="F433" i="2" s="1"/>
  <c r="D434" i="2" l="1"/>
  <c r="E434" i="2" s="1"/>
  <c r="C434" i="2"/>
  <c r="F434" i="2" s="1"/>
  <c r="C435" i="2" l="1"/>
  <c r="F435" i="2" s="1"/>
  <c r="D435" i="2"/>
  <c r="E435" i="2" s="1"/>
  <c r="D436" i="2" l="1"/>
  <c r="E436" i="2" s="1"/>
  <c r="C436" i="2"/>
  <c r="F436" i="2" s="1"/>
  <c r="C437" i="2" l="1"/>
  <c r="F437" i="2" s="1"/>
  <c r="D437" i="2"/>
  <c r="E437" i="2" s="1"/>
  <c r="C438" i="2" l="1"/>
  <c r="F438" i="2" s="1"/>
  <c r="D438" i="2"/>
  <c r="E438" i="2" s="1"/>
  <c r="C439" i="2" l="1"/>
  <c r="F439" i="2" s="1"/>
  <c r="D439" i="2"/>
  <c r="E439" i="2" s="1"/>
  <c r="C440" i="2" l="1"/>
  <c r="F440" i="2" s="1"/>
  <c r="D440" i="2"/>
  <c r="E440" i="2" s="1"/>
  <c r="C441" i="2" l="1"/>
  <c r="F441" i="2" s="1"/>
  <c r="D441" i="2"/>
  <c r="E441" i="2" s="1"/>
  <c r="C442" i="2" l="1"/>
  <c r="F442" i="2" s="1"/>
  <c r="D442" i="2"/>
  <c r="E442" i="2" s="1"/>
  <c r="D443" i="2" l="1"/>
  <c r="E443" i="2" s="1"/>
  <c r="C443" i="2"/>
  <c r="F443" i="2" s="1"/>
  <c r="C444" i="2" l="1"/>
  <c r="F444" i="2" s="1"/>
  <c r="D444" i="2"/>
  <c r="E444" i="2" s="1"/>
  <c r="D445" i="2" l="1"/>
  <c r="E445" i="2" s="1"/>
  <c r="C445" i="2"/>
  <c r="F445" i="2" s="1"/>
  <c r="D446" i="2" l="1"/>
  <c r="E446" i="2" s="1"/>
  <c r="C446" i="2"/>
  <c r="F446" i="2" s="1"/>
  <c r="C447" i="2" l="1"/>
  <c r="F447" i="2" s="1"/>
  <c r="D447" i="2"/>
  <c r="E447" i="2" s="1"/>
  <c r="D448" i="2" l="1"/>
  <c r="E448" i="2" s="1"/>
  <c r="C448" i="2"/>
  <c r="F448" i="2" s="1"/>
  <c r="C449" i="2" l="1"/>
  <c r="F449" i="2" s="1"/>
  <c r="D449" i="2"/>
  <c r="E449" i="2" s="1"/>
  <c r="D450" i="2" l="1"/>
  <c r="E450" i="2" s="1"/>
  <c r="C450" i="2"/>
  <c r="F450" i="2" s="1"/>
  <c r="C451" i="2" l="1"/>
  <c r="F451" i="2" s="1"/>
  <c r="D451" i="2"/>
  <c r="E451" i="2" s="1"/>
  <c r="D452" i="2" l="1"/>
  <c r="E452" i="2" s="1"/>
  <c r="C452" i="2"/>
  <c r="F452" i="2" s="1"/>
  <c r="D453" i="2" l="1"/>
  <c r="E453" i="2" s="1"/>
  <c r="C453" i="2"/>
  <c r="F453" i="2" s="1"/>
  <c r="D454" i="2" l="1"/>
  <c r="E454" i="2" s="1"/>
  <c r="C454" i="2"/>
  <c r="F454" i="2" s="1"/>
  <c r="D455" i="2" l="1"/>
  <c r="E455" i="2" s="1"/>
  <c r="C455" i="2"/>
  <c r="F455" i="2" s="1"/>
  <c r="D456" i="2" l="1"/>
  <c r="E456" i="2" s="1"/>
  <c r="C456" i="2"/>
  <c r="F456" i="2" s="1"/>
  <c r="D457" i="2" l="1"/>
  <c r="E457" i="2" s="1"/>
  <c r="C457" i="2"/>
  <c r="F457" i="2" s="1"/>
  <c r="D458" i="2" l="1"/>
  <c r="E458" i="2" s="1"/>
  <c r="C458" i="2"/>
  <c r="F458" i="2" s="1"/>
  <c r="D459" i="2" l="1"/>
  <c r="E459" i="2" s="1"/>
  <c r="C459" i="2"/>
  <c r="F459" i="2" s="1"/>
  <c r="C460" i="2" l="1"/>
  <c r="F460" i="2" s="1"/>
  <c r="D460" i="2"/>
  <c r="E460" i="2" s="1"/>
  <c r="C461" i="2" l="1"/>
  <c r="F461" i="2" s="1"/>
  <c r="D461" i="2"/>
  <c r="E461" i="2" s="1"/>
  <c r="D462" i="2" l="1"/>
  <c r="E462" i="2" s="1"/>
  <c r="C462" i="2"/>
  <c r="F462" i="2" s="1"/>
  <c r="C463" i="2" l="1"/>
  <c r="F463" i="2" s="1"/>
  <c r="D463" i="2"/>
  <c r="E463" i="2" s="1"/>
  <c r="C464" i="2" l="1"/>
  <c r="F464" i="2" s="1"/>
  <c r="D464" i="2"/>
  <c r="E464" i="2" s="1"/>
  <c r="D465" i="2" l="1"/>
  <c r="E465" i="2" s="1"/>
  <c r="C465" i="2"/>
  <c r="F465" i="2" s="1"/>
  <c r="D466" i="2" l="1"/>
  <c r="E466" i="2" s="1"/>
  <c r="C466" i="2"/>
  <c r="F466" i="2" s="1"/>
  <c r="D467" i="2" l="1"/>
  <c r="E467" i="2" s="1"/>
  <c r="C467" i="2"/>
  <c r="F467" i="2" s="1"/>
  <c r="C468" i="2" l="1"/>
  <c r="F468" i="2" s="1"/>
  <c r="D468" i="2"/>
  <c r="E468" i="2" s="1"/>
  <c r="C469" i="2" l="1"/>
  <c r="F469" i="2" s="1"/>
  <c r="D469" i="2"/>
  <c r="E469" i="2" s="1"/>
  <c r="D470" i="2" l="1"/>
  <c r="E470" i="2" s="1"/>
  <c r="C470" i="2"/>
  <c r="F470" i="2" s="1"/>
  <c r="C471" i="2" l="1"/>
  <c r="F471" i="2" s="1"/>
  <c r="D471" i="2"/>
  <c r="E471" i="2" s="1"/>
  <c r="C472" i="2" l="1"/>
  <c r="F472" i="2" s="1"/>
  <c r="D472" i="2"/>
  <c r="E472" i="2" s="1"/>
  <c r="C473" i="2" l="1"/>
  <c r="F473" i="2" s="1"/>
  <c r="D473" i="2"/>
  <c r="E473" i="2" s="1"/>
  <c r="C474" i="2" l="1"/>
  <c r="F474" i="2" s="1"/>
  <c r="D474" i="2"/>
  <c r="E474" i="2" s="1"/>
  <c r="C475" i="2" l="1"/>
  <c r="F475" i="2" s="1"/>
  <c r="D475" i="2"/>
  <c r="E475" i="2" s="1"/>
  <c r="D476" i="2" l="1"/>
  <c r="E476" i="2" s="1"/>
  <c r="C476" i="2"/>
  <c r="F476" i="2" s="1"/>
  <c r="D477" i="2" l="1"/>
  <c r="E477" i="2" s="1"/>
  <c r="C477" i="2"/>
  <c r="F477" i="2" s="1"/>
  <c r="D478" i="2" l="1"/>
  <c r="E478" i="2" s="1"/>
  <c r="C478" i="2"/>
  <c r="F478" i="2" s="1"/>
  <c r="D479" i="2" l="1"/>
  <c r="E479" i="2" s="1"/>
  <c r="C479" i="2"/>
  <c r="F479" i="2" s="1"/>
  <c r="D480" i="2" l="1"/>
  <c r="E480" i="2" s="1"/>
  <c r="C480" i="2"/>
  <c r="F480" i="2" s="1"/>
  <c r="D481" i="2" l="1"/>
  <c r="E481" i="2" s="1"/>
  <c r="C481" i="2"/>
  <c r="F481" i="2" s="1"/>
  <c r="D482" i="2" l="1"/>
  <c r="E482" i="2" s="1"/>
  <c r="C482" i="2"/>
  <c r="F482" i="2" s="1"/>
  <c r="C483" i="2" l="1"/>
  <c r="F483" i="2" s="1"/>
  <c r="D483" i="2"/>
  <c r="E483" i="2" s="1"/>
  <c r="D484" i="2" l="1"/>
  <c r="E484" i="2" s="1"/>
  <c r="C484" i="2"/>
  <c r="F484" i="2" s="1"/>
  <c r="D485" i="2" l="1"/>
  <c r="E485" i="2" s="1"/>
  <c r="C485" i="2"/>
  <c r="F485" i="2" s="1"/>
  <c r="D486" i="2" l="1"/>
  <c r="E486" i="2" s="1"/>
  <c r="C486" i="2"/>
  <c r="F486" i="2" s="1"/>
  <c r="C487" i="2" l="1"/>
  <c r="F487" i="2" s="1"/>
  <c r="D487" i="2"/>
  <c r="E487" i="2" s="1"/>
  <c r="C488" i="2" l="1"/>
  <c r="F488" i="2" s="1"/>
  <c r="D488" i="2"/>
  <c r="E488" i="2" s="1"/>
  <c r="C489" i="2" l="1"/>
  <c r="F489" i="2" s="1"/>
  <c r="D489" i="2"/>
  <c r="E489" i="2" s="1"/>
  <c r="C490" i="2" l="1"/>
  <c r="F490" i="2" s="1"/>
  <c r="D490" i="2"/>
  <c r="E490" i="2" s="1"/>
  <c r="C491" i="2" l="1"/>
  <c r="F491" i="2" s="1"/>
  <c r="D491" i="2"/>
  <c r="E491" i="2" s="1"/>
  <c r="C492" i="2" l="1"/>
  <c r="F492" i="2" s="1"/>
  <c r="D492" i="2"/>
  <c r="E492" i="2" s="1"/>
  <c r="D493" i="2" l="1"/>
  <c r="E493" i="2" s="1"/>
  <c r="C493" i="2"/>
  <c r="F493" i="2" s="1"/>
  <c r="D494" i="2" l="1"/>
  <c r="E494" i="2" s="1"/>
  <c r="C494" i="2"/>
  <c r="F494" i="2" s="1"/>
  <c r="C495" i="2" l="1"/>
  <c r="F495" i="2" s="1"/>
  <c r="D495" i="2"/>
  <c r="E495" i="2" s="1"/>
  <c r="D496" i="2" l="1"/>
  <c r="E496" i="2" s="1"/>
  <c r="C496" i="2"/>
  <c r="F496" i="2" s="1"/>
  <c r="C497" i="2" l="1"/>
  <c r="F497" i="2" s="1"/>
  <c r="D497" i="2"/>
  <c r="E497" i="2" s="1"/>
  <c r="C498" i="2" l="1"/>
  <c r="F498" i="2" s="1"/>
  <c r="D498" i="2"/>
  <c r="E498" i="2" s="1"/>
  <c r="D499" i="2" l="1"/>
  <c r="E499" i="2" s="1"/>
  <c r="C499" i="2"/>
  <c r="F499" i="2" s="1"/>
  <c r="C500" i="2" l="1"/>
  <c r="F500" i="2" s="1"/>
  <c r="D500" i="2"/>
  <c r="E500" i="2" s="1"/>
  <c r="D501" i="2" l="1"/>
  <c r="E501" i="2" s="1"/>
  <c r="C501" i="2"/>
  <c r="F501" i="2" s="1"/>
  <c r="C502" i="2" l="1"/>
  <c r="F502" i="2" s="1"/>
  <c r="D502" i="2"/>
  <c r="E502" i="2" s="1"/>
  <c r="D503" i="2" l="1"/>
  <c r="E503" i="2" s="1"/>
  <c r="C503" i="2"/>
  <c r="F503" i="2" s="1"/>
  <c r="D504" i="2" l="1"/>
  <c r="E504" i="2" s="1"/>
  <c r="C504" i="2"/>
  <c r="F504" i="2" s="1"/>
  <c r="C505" i="2" l="1"/>
  <c r="F505" i="2" s="1"/>
  <c r="D505" i="2"/>
  <c r="E505" i="2" s="1"/>
  <c r="D506" i="2" l="1"/>
  <c r="E506" i="2" s="1"/>
  <c r="C506" i="2"/>
  <c r="F506" i="2" s="1"/>
  <c r="D507" i="2" l="1"/>
  <c r="E507" i="2" s="1"/>
  <c r="C507" i="2"/>
  <c r="F507" i="2" s="1"/>
  <c r="C508" i="2" l="1"/>
  <c r="F508" i="2" s="1"/>
  <c r="D508" i="2"/>
  <c r="E508" i="2" s="1"/>
  <c r="D509" i="2" l="1"/>
  <c r="E509" i="2" s="1"/>
  <c r="C509" i="2"/>
  <c r="F509" i="2" s="1"/>
  <c r="D510" i="2" l="1"/>
  <c r="E510" i="2" s="1"/>
  <c r="C510" i="2"/>
  <c r="F510" i="2" s="1"/>
  <c r="D511" i="2" l="1"/>
  <c r="E511" i="2" s="1"/>
  <c r="C511" i="2"/>
  <c r="F511" i="2" s="1"/>
  <c r="C512" i="2" l="1"/>
  <c r="F512" i="2" s="1"/>
  <c r="D512" i="2"/>
  <c r="E512" i="2" s="1"/>
  <c r="C513" i="2" l="1"/>
  <c r="F513" i="2" s="1"/>
  <c r="D513" i="2"/>
  <c r="E513" i="2" s="1"/>
  <c r="D514" i="2" l="1"/>
  <c r="E514" i="2" s="1"/>
  <c r="C514" i="2"/>
  <c r="F514" i="2" s="1"/>
  <c r="C515" i="2" l="1"/>
  <c r="F515" i="2" s="1"/>
  <c r="D515" i="2"/>
  <c r="E515" i="2" s="1"/>
  <c r="D516" i="2" l="1"/>
  <c r="E516" i="2" s="1"/>
  <c r="C516" i="2"/>
  <c r="F516" i="2" s="1"/>
  <c r="C517" i="2" l="1"/>
  <c r="F517" i="2" s="1"/>
  <c r="D517" i="2"/>
  <c r="E517" i="2" s="1"/>
  <c r="D518" i="2" l="1"/>
  <c r="E518" i="2" s="1"/>
  <c r="C518" i="2"/>
  <c r="F518" i="2" s="1"/>
  <c r="C519" i="2" l="1"/>
  <c r="F519" i="2" s="1"/>
  <c r="D519" i="2"/>
  <c r="E519" i="2" s="1"/>
  <c r="C520" i="2" l="1"/>
  <c r="F520" i="2" s="1"/>
  <c r="D520" i="2"/>
  <c r="E520" i="2" s="1"/>
  <c r="C521" i="2" l="1"/>
  <c r="F521" i="2" s="1"/>
  <c r="D521" i="2"/>
  <c r="E521" i="2" s="1"/>
  <c r="D522" i="2" l="1"/>
  <c r="E522" i="2" s="1"/>
  <c r="C522" i="2"/>
  <c r="F522" i="2" s="1"/>
  <c r="D523" i="2" l="1"/>
  <c r="E523" i="2" s="1"/>
  <c r="C523" i="2"/>
  <c r="F523" i="2" s="1"/>
  <c r="D524" i="2" l="1"/>
  <c r="E524" i="2" s="1"/>
  <c r="C524" i="2"/>
  <c r="F524" i="2" s="1"/>
  <c r="D525" i="2" l="1"/>
  <c r="E525" i="2" s="1"/>
  <c r="C525" i="2"/>
  <c r="F525" i="2" s="1"/>
  <c r="C526" i="2" l="1"/>
  <c r="F526" i="2" s="1"/>
  <c r="D526" i="2"/>
  <c r="E526" i="2" s="1"/>
  <c r="D527" i="2" l="1"/>
  <c r="E527" i="2" s="1"/>
  <c r="C527" i="2"/>
  <c r="F527" i="2" s="1"/>
  <c r="D528" i="2" l="1"/>
  <c r="E528" i="2" s="1"/>
  <c r="C528" i="2"/>
  <c r="F528" i="2" s="1"/>
  <c r="C529" i="2" l="1"/>
  <c r="F529" i="2" s="1"/>
  <c r="D529" i="2"/>
  <c r="E529" i="2" s="1"/>
  <c r="C530" i="2" l="1"/>
  <c r="F530" i="2" s="1"/>
  <c r="D530" i="2"/>
  <c r="E530" i="2" s="1"/>
  <c r="D531" i="2" l="1"/>
  <c r="E531" i="2" s="1"/>
  <c r="C531" i="2"/>
  <c r="F531" i="2" s="1"/>
  <c r="C532" i="2" l="1"/>
  <c r="F532" i="2" s="1"/>
  <c r="D532" i="2"/>
  <c r="E532" i="2" s="1"/>
  <c r="C533" i="2" l="1"/>
  <c r="F533" i="2" s="1"/>
  <c r="D533" i="2"/>
  <c r="E533" i="2" s="1"/>
  <c r="D534" i="2" l="1"/>
  <c r="E534" i="2" s="1"/>
  <c r="C534" i="2"/>
  <c r="F534" i="2" s="1"/>
  <c r="D535" i="2" l="1"/>
  <c r="E535" i="2" s="1"/>
  <c r="C535" i="2"/>
  <c r="F535" i="2" s="1"/>
  <c r="D536" i="2" l="1"/>
  <c r="E536" i="2" s="1"/>
  <c r="C536" i="2"/>
  <c r="F536" i="2" s="1"/>
  <c r="D537" i="2" l="1"/>
  <c r="E537" i="2" s="1"/>
  <c r="C537" i="2"/>
  <c r="F537" i="2" s="1"/>
  <c r="D538" i="2" l="1"/>
  <c r="E538" i="2" s="1"/>
  <c r="C538" i="2"/>
  <c r="F538" i="2" s="1"/>
  <c r="D539" i="2" l="1"/>
  <c r="E539" i="2" s="1"/>
  <c r="C539" i="2"/>
  <c r="F539" i="2" s="1"/>
  <c r="C540" i="2" l="1"/>
  <c r="F540" i="2" s="1"/>
  <c r="D540" i="2"/>
  <c r="E540" i="2" s="1"/>
  <c r="C541" i="2" l="1"/>
  <c r="F541" i="2" s="1"/>
  <c r="D541" i="2"/>
  <c r="E541" i="2" s="1"/>
  <c r="D542" i="2" l="1"/>
  <c r="E542" i="2" s="1"/>
  <c r="C542" i="2"/>
  <c r="F542" i="2" s="1"/>
  <c r="C543" i="2" l="1"/>
  <c r="F543" i="2" s="1"/>
  <c r="D543" i="2"/>
  <c r="E543" i="2" s="1"/>
  <c r="D544" i="2" l="1"/>
  <c r="E544" i="2" s="1"/>
  <c r="C544" i="2"/>
  <c r="F544" i="2" s="1"/>
  <c r="C545" i="2" l="1"/>
  <c r="F545" i="2" s="1"/>
  <c r="D545" i="2"/>
  <c r="E545" i="2" s="1"/>
  <c r="D546" i="2" l="1"/>
  <c r="E546" i="2" s="1"/>
  <c r="C546" i="2"/>
  <c r="F546" i="2" s="1"/>
  <c r="C547" i="2" l="1"/>
  <c r="F547" i="2" s="1"/>
  <c r="D547" i="2"/>
  <c r="E547" i="2" s="1"/>
  <c r="C548" i="2" l="1"/>
  <c r="F548" i="2" s="1"/>
  <c r="D548" i="2"/>
  <c r="E548" i="2" s="1"/>
  <c r="C549" i="2" l="1"/>
  <c r="F549" i="2" s="1"/>
  <c r="D549" i="2"/>
  <c r="E549" i="2" s="1"/>
  <c r="D550" i="2" l="1"/>
  <c r="E550" i="2" s="1"/>
  <c r="C550" i="2"/>
  <c r="F550" i="2" s="1"/>
  <c r="C551" i="2" l="1"/>
  <c r="F551" i="2" s="1"/>
  <c r="D551" i="2"/>
  <c r="E551" i="2" s="1"/>
  <c r="C552" i="2" l="1"/>
  <c r="F552" i="2" s="1"/>
  <c r="D552" i="2"/>
  <c r="E552" i="2" s="1"/>
  <c r="C553" i="2" l="1"/>
  <c r="F553" i="2" s="1"/>
  <c r="D553" i="2"/>
  <c r="E553" i="2" s="1"/>
  <c r="D554" i="2" l="1"/>
  <c r="E554" i="2" s="1"/>
  <c r="C554" i="2"/>
  <c r="F554" i="2" s="1"/>
  <c r="D555" i="2" l="1"/>
  <c r="E555" i="2" s="1"/>
  <c r="C555" i="2"/>
  <c r="F555" i="2" s="1"/>
  <c r="D556" i="2" l="1"/>
  <c r="E556" i="2" s="1"/>
  <c r="C556" i="2"/>
  <c r="F556" i="2" s="1"/>
  <c r="D557" i="2" l="1"/>
  <c r="E557" i="2" s="1"/>
  <c r="C557" i="2"/>
  <c r="F557" i="2" s="1"/>
  <c r="D558" i="2" l="1"/>
  <c r="E558" i="2" s="1"/>
  <c r="C558" i="2"/>
  <c r="F558" i="2" s="1"/>
  <c r="C559" i="2" l="1"/>
  <c r="F559" i="2" s="1"/>
  <c r="D559" i="2"/>
  <c r="E559" i="2" s="1"/>
  <c r="D560" i="2" l="1"/>
  <c r="E560" i="2" s="1"/>
  <c r="C560" i="2"/>
  <c r="F560" i="2" s="1"/>
  <c r="C561" i="2" l="1"/>
  <c r="F561" i="2" s="1"/>
  <c r="D561" i="2"/>
  <c r="E561" i="2" s="1"/>
  <c r="C562" i="2" l="1"/>
  <c r="F562" i="2" s="1"/>
  <c r="D562" i="2"/>
  <c r="E562" i="2" s="1"/>
  <c r="C563" i="2" l="1"/>
  <c r="F563" i="2" s="1"/>
  <c r="D563" i="2"/>
  <c r="E563" i="2" s="1"/>
  <c r="C564" i="2" l="1"/>
  <c r="F564" i="2" s="1"/>
  <c r="D564" i="2"/>
  <c r="E564" i="2" s="1"/>
  <c r="C565" i="2" l="1"/>
  <c r="F565" i="2" s="1"/>
  <c r="D565" i="2"/>
  <c r="E565" i="2" s="1"/>
  <c r="D566" i="2" l="1"/>
  <c r="E566" i="2" s="1"/>
  <c r="C566" i="2"/>
  <c r="F566" i="2" s="1"/>
  <c r="C567" i="2" l="1"/>
  <c r="F567" i="2" s="1"/>
  <c r="D567" i="2"/>
  <c r="E567" i="2" s="1"/>
  <c r="C568" i="2" l="1"/>
  <c r="F568" i="2" s="1"/>
  <c r="D568" i="2"/>
  <c r="E568" i="2" s="1"/>
  <c r="C569" i="2" l="1"/>
  <c r="F569" i="2" s="1"/>
  <c r="D569" i="2"/>
  <c r="E569" i="2" s="1"/>
  <c r="C570" i="2" l="1"/>
  <c r="F570" i="2" s="1"/>
  <c r="D570" i="2"/>
  <c r="E570" i="2" s="1"/>
  <c r="C571" i="2" l="1"/>
  <c r="F571" i="2" s="1"/>
  <c r="D571" i="2"/>
  <c r="E571" i="2" s="1"/>
  <c r="C572" i="2" l="1"/>
  <c r="F572" i="2" s="1"/>
  <c r="D572" i="2"/>
  <c r="E572" i="2" s="1"/>
  <c r="C573" i="2" l="1"/>
  <c r="F573" i="2" s="1"/>
  <c r="D573" i="2"/>
  <c r="E573" i="2" s="1"/>
  <c r="C574" i="2" l="1"/>
  <c r="F574" i="2" s="1"/>
  <c r="D574" i="2"/>
  <c r="E574" i="2" s="1"/>
  <c r="C575" i="2" l="1"/>
  <c r="F575" i="2" s="1"/>
  <c r="D575" i="2"/>
  <c r="E575" i="2" s="1"/>
  <c r="D576" i="2" l="1"/>
  <c r="E576" i="2" s="1"/>
  <c r="C576" i="2"/>
  <c r="F576" i="2" s="1"/>
  <c r="D577" i="2" l="1"/>
  <c r="E577" i="2" s="1"/>
  <c r="C577" i="2"/>
  <c r="F577" i="2" s="1"/>
  <c r="C578" i="2" l="1"/>
  <c r="F578" i="2" s="1"/>
  <c r="D578" i="2"/>
  <c r="E578" i="2" s="1"/>
  <c r="C579" i="2" l="1"/>
  <c r="F579" i="2" s="1"/>
  <c r="D579" i="2"/>
  <c r="E579" i="2" s="1"/>
  <c r="D580" i="2" l="1"/>
  <c r="E580" i="2" s="1"/>
  <c r="C580" i="2"/>
  <c r="F580" i="2" s="1"/>
  <c r="C581" i="2" l="1"/>
  <c r="F581" i="2" s="1"/>
  <c r="D581" i="2"/>
  <c r="E581" i="2" s="1"/>
  <c r="D582" i="2" l="1"/>
  <c r="E582" i="2" s="1"/>
  <c r="C582" i="2"/>
  <c r="F582" i="2" s="1"/>
  <c r="D583" i="2" l="1"/>
  <c r="E583" i="2" s="1"/>
  <c r="C583" i="2"/>
  <c r="F583" i="2" s="1"/>
  <c r="C584" i="2" l="1"/>
  <c r="F584" i="2" s="1"/>
  <c r="D584" i="2"/>
  <c r="E584" i="2" s="1"/>
  <c r="C585" i="2" l="1"/>
  <c r="F585" i="2" s="1"/>
  <c r="D585" i="2"/>
  <c r="E585" i="2" s="1"/>
  <c r="C586" i="2" l="1"/>
  <c r="F586" i="2" s="1"/>
  <c r="D586" i="2"/>
  <c r="E586" i="2" s="1"/>
  <c r="D587" i="2" l="1"/>
  <c r="E587" i="2" s="1"/>
  <c r="C587" i="2"/>
  <c r="F587" i="2" s="1"/>
  <c r="C588" i="2" l="1"/>
  <c r="F588" i="2" s="1"/>
  <c r="D588" i="2"/>
  <c r="E588" i="2" s="1"/>
  <c r="D589" i="2" l="1"/>
  <c r="E589" i="2" s="1"/>
  <c r="C589" i="2"/>
  <c r="F589" i="2" s="1"/>
  <c r="C590" i="2" l="1"/>
  <c r="F590" i="2" s="1"/>
  <c r="D590" i="2"/>
  <c r="E590" i="2" s="1"/>
  <c r="C591" i="2" l="1"/>
  <c r="F591" i="2" s="1"/>
  <c r="D591" i="2"/>
  <c r="E591" i="2" s="1"/>
  <c r="C592" i="2" l="1"/>
  <c r="F592" i="2" s="1"/>
  <c r="D592" i="2"/>
  <c r="E592" i="2" s="1"/>
  <c r="C593" i="2" l="1"/>
  <c r="F593" i="2" s="1"/>
  <c r="D593" i="2"/>
  <c r="E593" i="2" s="1"/>
  <c r="D594" i="2" l="1"/>
  <c r="E594" i="2" s="1"/>
  <c r="C594" i="2"/>
  <c r="F594" i="2" s="1"/>
  <c r="C595" i="2" l="1"/>
  <c r="F595" i="2" s="1"/>
  <c r="D595" i="2"/>
  <c r="E595" i="2" s="1"/>
  <c r="D596" i="2" l="1"/>
  <c r="E596" i="2" s="1"/>
  <c r="C596" i="2"/>
  <c r="F596" i="2" s="1"/>
  <c r="D597" i="2" l="1"/>
  <c r="E597" i="2" s="1"/>
  <c r="C597" i="2"/>
  <c r="F597" i="2" s="1"/>
  <c r="D598" i="2" l="1"/>
  <c r="E598" i="2" s="1"/>
  <c r="C598" i="2"/>
  <c r="F598" i="2" s="1"/>
  <c r="C599" i="2" l="1"/>
  <c r="F599" i="2" s="1"/>
  <c r="D599" i="2"/>
  <c r="E599" i="2" s="1"/>
  <c r="C600" i="2" l="1"/>
  <c r="F600" i="2" s="1"/>
  <c r="D600" i="2"/>
  <c r="E600" i="2" s="1"/>
  <c r="C601" i="2" l="1"/>
  <c r="F601" i="2" s="1"/>
  <c r="D601" i="2"/>
  <c r="E601" i="2" s="1"/>
  <c r="D602" i="2" l="1"/>
  <c r="E602" i="2" s="1"/>
  <c r="C602" i="2"/>
  <c r="F602" i="2" s="1"/>
  <c r="D603" i="2" l="1"/>
  <c r="E603" i="2" s="1"/>
  <c r="C603" i="2"/>
  <c r="F603" i="2" s="1"/>
  <c r="D604" i="2" l="1"/>
  <c r="E604" i="2" s="1"/>
  <c r="C604" i="2"/>
  <c r="F604" i="2" s="1"/>
  <c r="C605" i="2" l="1"/>
  <c r="F605" i="2" s="1"/>
  <c r="D605" i="2"/>
  <c r="E605" i="2" s="1"/>
  <c r="D606" i="2" l="1"/>
  <c r="E606" i="2" s="1"/>
  <c r="C606" i="2"/>
  <c r="F606" i="2" s="1"/>
  <c r="D607" i="2" l="1"/>
  <c r="E607" i="2" s="1"/>
  <c r="C607" i="2"/>
  <c r="F607" i="2" s="1"/>
  <c r="D608" i="2" l="1"/>
  <c r="E608" i="2" s="1"/>
  <c r="C608" i="2"/>
  <c r="F608" i="2" s="1"/>
  <c r="C609" i="2" l="1"/>
  <c r="F609" i="2" s="1"/>
  <c r="D609" i="2"/>
  <c r="E609" i="2" s="1"/>
  <c r="D610" i="2" l="1"/>
  <c r="E610" i="2" s="1"/>
  <c r="C610" i="2"/>
  <c r="F610" i="2" s="1"/>
  <c r="D611" i="2" l="1"/>
  <c r="E611" i="2" s="1"/>
  <c r="C611" i="2"/>
  <c r="F611" i="2" s="1"/>
  <c r="D612" i="2" l="1"/>
  <c r="E612" i="2" s="1"/>
  <c r="C612" i="2"/>
  <c r="F612" i="2" s="1"/>
  <c r="C613" i="2" l="1"/>
  <c r="F613" i="2" s="1"/>
  <c r="D613" i="2"/>
  <c r="E613" i="2" s="1"/>
  <c r="D614" i="2" l="1"/>
  <c r="E614" i="2" s="1"/>
  <c r="C614" i="2"/>
  <c r="F614" i="2" s="1"/>
  <c r="C615" i="2" l="1"/>
  <c r="F615" i="2" s="1"/>
  <c r="D615" i="2"/>
  <c r="E615" i="2" s="1"/>
  <c r="D616" i="2" l="1"/>
  <c r="E616" i="2" s="1"/>
  <c r="C616" i="2"/>
  <c r="F616" i="2" s="1"/>
  <c r="C617" i="2" l="1"/>
  <c r="F617" i="2" s="1"/>
  <c r="D617" i="2"/>
  <c r="E617" i="2" s="1"/>
  <c r="C618" i="2" l="1"/>
  <c r="F618" i="2" s="1"/>
  <c r="D618" i="2"/>
  <c r="E618" i="2" s="1"/>
  <c r="D619" i="2" l="1"/>
  <c r="E619" i="2" s="1"/>
  <c r="C619" i="2"/>
  <c r="F619" i="2" s="1"/>
  <c r="D620" i="2" l="1"/>
  <c r="E620" i="2" s="1"/>
  <c r="C620" i="2"/>
  <c r="F620" i="2" s="1"/>
  <c r="C621" i="2" l="1"/>
  <c r="F621" i="2" s="1"/>
  <c r="D621" i="2"/>
  <c r="E621" i="2" s="1"/>
  <c r="D622" i="2" l="1"/>
  <c r="E622" i="2" s="1"/>
  <c r="C622" i="2"/>
  <c r="F622" i="2" s="1"/>
  <c r="C623" i="2" l="1"/>
  <c r="F623" i="2" s="1"/>
  <c r="D623" i="2"/>
  <c r="E623" i="2" s="1"/>
  <c r="D624" i="2" l="1"/>
  <c r="E624" i="2" s="1"/>
  <c r="C624" i="2"/>
  <c r="F624" i="2" s="1"/>
  <c r="C625" i="2" l="1"/>
  <c r="F625" i="2" s="1"/>
  <c r="D625" i="2"/>
  <c r="E625" i="2" s="1"/>
  <c r="C626" i="2" l="1"/>
  <c r="F626" i="2" s="1"/>
  <c r="D626" i="2"/>
  <c r="E626" i="2" s="1"/>
  <c r="D627" i="2" l="1"/>
  <c r="E627" i="2" s="1"/>
  <c r="C627" i="2"/>
  <c r="F627" i="2" s="1"/>
  <c r="D628" i="2" l="1"/>
  <c r="E628" i="2" s="1"/>
  <c r="C628" i="2"/>
  <c r="F628" i="2" s="1"/>
  <c r="C629" i="2" l="1"/>
  <c r="F629" i="2" s="1"/>
  <c r="D629" i="2"/>
  <c r="E629" i="2" s="1"/>
  <c r="D630" i="2" l="1"/>
  <c r="E630" i="2" s="1"/>
  <c r="C630" i="2"/>
  <c r="F630" i="2" s="1"/>
  <c r="C631" i="2" l="1"/>
  <c r="F631" i="2" s="1"/>
  <c r="D631" i="2"/>
  <c r="E631" i="2" s="1"/>
  <c r="C632" i="2" l="1"/>
  <c r="F632" i="2" s="1"/>
  <c r="D632" i="2"/>
  <c r="E632" i="2" s="1"/>
  <c r="C633" i="2" l="1"/>
  <c r="F633" i="2" s="1"/>
  <c r="D633" i="2"/>
  <c r="E633" i="2" s="1"/>
  <c r="D634" i="2" l="1"/>
  <c r="E634" i="2" s="1"/>
  <c r="C634" i="2"/>
  <c r="F634" i="2" s="1"/>
  <c r="D635" i="2" l="1"/>
  <c r="E635" i="2" s="1"/>
  <c r="C635" i="2"/>
  <c r="F635" i="2" s="1"/>
  <c r="D636" i="2" l="1"/>
  <c r="E636" i="2" s="1"/>
  <c r="C636" i="2"/>
  <c r="F636" i="2" s="1"/>
  <c r="D637" i="2" l="1"/>
  <c r="E637" i="2" s="1"/>
  <c r="C637" i="2"/>
  <c r="F637" i="2" s="1"/>
  <c r="C638" i="2" l="1"/>
  <c r="F638" i="2" s="1"/>
  <c r="D638" i="2"/>
  <c r="E638" i="2" s="1"/>
  <c r="C639" i="2" l="1"/>
  <c r="F639" i="2" s="1"/>
  <c r="D639" i="2"/>
  <c r="E639" i="2" s="1"/>
  <c r="C640" i="2" l="1"/>
  <c r="F640" i="2" s="1"/>
  <c r="D640" i="2"/>
  <c r="E640" i="2" s="1"/>
  <c r="C641" i="2" l="1"/>
  <c r="F641" i="2" s="1"/>
  <c r="D641" i="2"/>
  <c r="E641" i="2" s="1"/>
  <c r="C642" i="2" l="1"/>
  <c r="F642" i="2" s="1"/>
  <c r="D642" i="2"/>
  <c r="E642" i="2" s="1"/>
  <c r="D643" i="2" l="1"/>
  <c r="E643" i="2" s="1"/>
  <c r="C643" i="2"/>
  <c r="F643" i="2" s="1"/>
  <c r="D644" i="2" l="1"/>
  <c r="E644" i="2" s="1"/>
  <c r="C644" i="2"/>
  <c r="F644" i="2" s="1"/>
  <c r="C645" i="2" l="1"/>
  <c r="F645" i="2" s="1"/>
  <c r="D645" i="2"/>
  <c r="E645" i="2" s="1"/>
  <c r="D646" i="2" l="1"/>
  <c r="E646" i="2" s="1"/>
  <c r="C646" i="2"/>
  <c r="F646" i="2" s="1"/>
  <c r="D647" i="2" l="1"/>
  <c r="E647" i="2" s="1"/>
  <c r="C647" i="2"/>
  <c r="F647" i="2" s="1"/>
  <c r="C648" i="2" l="1"/>
  <c r="F648" i="2" s="1"/>
  <c r="D648" i="2"/>
  <c r="E648" i="2" s="1"/>
  <c r="C649" i="2" l="1"/>
  <c r="F649" i="2" s="1"/>
  <c r="D649" i="2"/>
  <c r="E649" i="2" s="1"/>
  <c r="C650" i="2" l="1"/>
  <c r="F650" i="2" s="1"/>
  <c r="D650" i="2"/>
  <c r="E650" i="2" s="1"/>
  <c r="D651" i="2" l="1"/>
  <c r="E651" i="2" s="1"/>
  <c r="C651" i="2"/>
  <c r="F651" i="2" s="1"/>
  <c r="D652" i="2" l="1"/>
  <c r="E652" i="2" s="1"/>
  <c r="C652" i="2"/>
  <c r="F652" i="2" s="1"/>
  <c r="C653" i="2" l="1"/>
  <c r="F653" i="2" s="1"/>
  <c r="D653" i="2"/>
  <c r="E653" i="2" s="1"/>
  <c r="C654" i="2" l="1"/>
  <c r="F654" i="2" s="1"/>
  <c r="D654" i="2"/>
  <c r="E654" i="2" s="1"/>
  <c r="C655" i="2" l="1"/>
  <c r="F655" i="2" s="1"/>
  <c r="D655" i="2"/>
  <c r="E655" i="2" s="1"/>
  <c r="C656" i="2" l="1"/>
  <c r="F656" i="2" s="1"/>
  <c r="D656" i="2"/>
  <c r="E656" i="2" s="1"/>
  <c r="D657" i="2" l="1"/>
  <c r="E657" i="2" s="1"/>
  <c r="C657" i="2"/>
  <c r="F657" i="2" s="1"/>
  <c r="D658" i="2" l="1"/>
  <c r="E658" i="2" s="1"/>
  <c r="C658" i="2"/>
  <c r="F658" i="2" s="1"/>
  <c r="D659" i="2" l="1"/>
  <c r="E659" i="2" s="1"/>
  <c r="C659" i="2"/>
  <c r="F659" i="2" s="1"/>
  <c r="D660" i="2" l="1"/>
  <c r="E660" i="2" s="1"/>
  <c r="C660" i="2"/>
  <c r="F660" i="2" s="1"/>
  <c r="C661" i="2" l="1"/>
  <c r="F661" i="2" s="1"/>
  <c r="D661" i="2"/>
  <c r="E661" i="2" s="1"/>
  <c r="C662" i="2" l="1"/>
  <c r="F662" i="2" s="1"/>
  <c r="D662" i="2"/>
  <c r="E662" i="2" s="1"/>
  <c r="D663" i="2" l="1"/>
  <c r="E663" i="2" s="1"/>
  <c r="C663" i="2"/>
  <c r="F663" i="2" s="1"/>
  <c r="D664" i="2" l="1"/>
  <c r="E664" i="2" s="1"/>
  <c r="C664" i="2"/>
  <c r="F664" i="2" s="1"/>
  <c r="C665" i="2" l="1"/>
  <c r="F665" i="2" s="1"/>
  <c r="D665" i="2"/>
  <c r="E665" i="2" s="1"/>
  <c r="C666" i="2" l="1"/>
  <c r="F666" i="2" s="1"/>
  <c r="D666" i="2"/>
  <c r="E666" i="2" s="1"/>
  <c r="C667" i="2" l="1"/>
  <c r="F667" i="2" s="1"/>
  <c r="D667" i="2"/>
  <c r="E667" i="2" s="1"/>
  <c r="D668" i="2" l="1"/>
  <c r="E668" i="2" s="1"/>
  <c r="C668" i="2"/>
  <c r="F668" i="2" s="1"/>
  <c r="C669" i="2" l="1"/>
  <c r="F669" i="2" s="1"/>
  <c r="D669" i="2"/>
  <c r="E669" i="2" s="1"/>
  <c r="C670" i="2" l="1"/>
  <c r="F670" i="2" s="1"/>
  <c r="D670" i="2"/>
  <c r="E670" i="2" s="1"/>
  <c r="C671" i="2" l="1"/>
  <c r="F671" i="2" s="1"/>
  <c r="D671" i="2"/>
  <c r="E671" i="2" s="1"/>
  <c r="C672" i="2" l="1"/>
  <c r="F672" i="2" s="1"/>
  <c r="D672" i="2"/>
  <c r="E672" i="2" s="1"/>
  <c r="C673" i="2" l="1"/>
  <c r="F673" i="2" s="1"/>
  <c r="D673" i="2"/>
  <c r="E673" i="2" s="1"/>
  <c r="D674" i="2" l="1"/>
  <c r="E674" i="2" s="1"/>
  <c r="C674" i="2"/>
  <c r="F674" i="2" s="1"/>
  <c r="D675" i="2" l="1"/>
  <c r="E675" i="2" s="1"/>
  <c r="C675" i="2"/>
  <c r="F675" i="2" s="1"/>
  <c r="C676" i="2" l="1"/>
  <c r="F676" i="2" s="1"/>
  <c r="D676" i="2"/>
  <c r="E676" i="2" s="1"/>
  <c r="C677" i="2" l="1"/>
  <c r="F677" i="2" s="1"/>
  <c r="D677" i="2"/>
  <c r="E677" i="2" s="1"/>
  <c r="D678" i="2" l="1"/>
  <c r="E678" i="2" s="1"/>
  <c r="C678" i="2"/>
  <c r="F678" i="2" s="1"/>
  <c r="C679" i="2" l="1"/>
  <c r="F679" i="2" s="1"/>
  <c r="D679" i="2"/>
  <c r="E679" i="2" s="1"/>
  <c r="C680" i="2" l="1"/>
  <c r="F680" i="2" s="1"/>
  <c r="D680" i="2"/>
  <c r="E680" i="2" s="1"/>
  <c r="D681" i="2" l="1"/>
  <c r="E681" i="2" s="1"/>
  <c r="C681" i="2"/>
  <c r="F681" i="2" s="1"/>
  <c r="C682" i="2" l="1"/>
  <c r="F682" i="2" s="1"/>
  <c r="D682" i="2"/>
  <c r="E682" i="2" s="1"/>
  <c r="D683" i="2" l="1"/>
  <c r="E683" i="2" s="1"/>
  <c r="C683" i="2"/>
  <c r="F683" i="2" s="1"/>
  <c r="D684" i="2" l="1"/>
  <c r="E684" i="2" s="1"/>
  <c r="C684" i="2"/>
  <c r="F684" i="2" s="1"/>
  <c r="C685" i="2" l="1"/>
  <c r="F685" i="2" s="1"/>
  <c r="D685" i="2"/>
  <c r="E685" i="2" s="1"/>
  <c r="C686" i="2" l="1"/>
  <c r="F686" i="2" s="1"/>
  <c r="D686" i="2"/>
  <c r="E686" i="2" s="1"/>
  <c r="D687" i="2" l="1"/>
  <c r="E687" i="2" s="1"/>
  <c r="C687" i="2"/>
  <c r="F687" i="2" s="1"/>
  <c r="C688" i="2" l="1"/>
  <c r="F688" i="2" s="1"/>
  <c r="D688" i="2"/>
  <c r="E688" i="2" s="1"/>
  <c r="C689" i="2" l="1"/>
  <c r="F689" i="2" s="1"/>
  <c r="D689" i="2"/>
  <c r="E689" i="2" s="1"/>
  <c r="C690" i="2" l="1"/>
  <c r="F690" i="2" s="1"/>
  <c r="D690" i="2"/>
  <c r="E690" i="2" s="1"/>
  <c r="D691" i="2" l="1"/>
  <c r="E691" i="2" s="1"/>
  <c r="C691" i="2"/>
  <c r="F691" i="2" s="1"/>
  <c r="D692" i="2" l="1"/>
  <c r="E692" i="2" s="1"/>
  <c r="C692" i="2"/>
  <c r="F692" i="2" s="1"/>
  <c r="C693" i="2" l="1"/>
  <c r="F693" i="2" s="1"/>
  <c r="D693" i="2"/>
  <c r="E693" i="2" s="1"/>
  <c r="D694" i="2" l="1"/>
  <c r="E694" i="2" s="1"/>
  <c r="C694" i="2"/>
  <c r="F694" i="2" s="1"/>
  <c r="C695" i="2" l="1"/>
  <c r="F695" i="2" s="1"/>
  <c r="D695" i="2"/>
  <c r="E695" i="2" s="1"/>
  <c r="D696" i="2" l="1"/>
  <c r="E696" i="2" s="1"/>
  <c r="C696" i="2"/>
  <c r="F696" i="2" s="1"/>
  <c r="D697" i="2" l="1"/>
  <c r="E697" i="2" s="1"/>
  <c r="C697" i="2"/>
  <c r="F697" i="2" s="1"/>
  <c r="D698" i="2" l="1"/>
  <c r="E698" i="2" s="1"/>
  <c r="C698" i="2"/>
  <c r="F698" i="2" s="1"/>
  <c r="D699" i="2" l="1"/>
  <c r="E699" i="2" s="1"/>
  <c r="C699" i="2"/>
  <c r="F699" i="2" s="1"/>
  <c r="D700" i="2" l="1"/>
  <c r="E700" i="2" s="1"/>
  <c r="C700" i="2"/>
  <c r="F700" i="2" s="1"/>
  <c r="C701" i="2" l="1"/>
  <c r="F701" i="2" s="1"/>
  <c r="D701" i="2"/>
  <c r="E701" i="2" s="1"/>
  <c r="C702" i="2" l="1"/>
  <c r="F702" i="2" s="1"/>
  <c r="D702" i="2"/>
  <c r="E702" i="2" s="1"/>
  <c r="C703" i="2" l="1"/>
  <c r="F703" i="2" s="1"/>
  <c r="D703" i="2"/>
  <c r="E703" i="2" s="1"/>
  <c r="C704" i="2" l="1"/>
  <c r="F704" i="2" s="1"/>
  <c r="D704" i="2"/>
  <c r="E704" i="2" s="1"/>
  <c r="C705" i="2" l="1"/>
  <c r="F705" i="2" s="1"/>
  <c r="D705" i="2"/>
  <c r="E705" i="2" s="1"/>
  <c r="D706" i="2" l="1"/>
  <c r="E706" i="2" s="1"/>
  <c r="C706" i="2"/>
  <c r="F706" i="2" s="1"/>
  <c r="C707" i="2" l="1"/>
  <c r="F707" i="2" s="1"/>
  <c r="D707" i="2"/>
  <c r="E707" i="2" s="1"/>
  <c r="D708" i="2" l="1"/>
  <c r="E708" i="2" s="1"/>
  <c r="C708" i="2"/>
  <c r="F708" i="2" s="1"/>
  <c r="C709" i="2" l="1"/>
  <c r="F709" i="2" s="1"/>
  <c r="D709" i="2"/>
  <c r="E709" i="2" s="1"/>
  <c r="C710" i="2" l="1"/>
  <c r="F710" i="2" s="1"/>
  <c r="D710" i="2"/>
  <c r="E710" i="2" s="1"/>
  <c r="C711" i="2" l="1"/>
  <c r="F711" i="2" s="1"/>
  <c r="D711" i="2"/>
  <c r="E711" i="2" s="1"/>
  <c r="C712" i="2" l="1"/>
  <c r="F712" i="2" s="1"/>
  <c r="D712" i="2"/>
  <c r="E712" i="2" s="1"/>
  <c r="C713" i="2" l="1"/>
  <c r="F713" i="2" s="1"/>
  <c r="D713" i="2"/>
  <c r="E713" i="2" s="1"/>
  <c r="C714" i="2" l="1"/>
  <c r="F714" i="2" s="1"/>
  <c r="D714" i="2"/>
  <c r="E714" i="2" s="1"/>
  <c r="D715" i="2" l="1"/>
  <c r="E715" i="2" s="1"/>
  <c r="C715" i="2"/>
  <c r="F715" i="2" s="1"/>
  <c r="D716" i="2" l="1"/>
  <c r="E716" i="2" s="1"/>
  <c r="C716" i="2"/>
  <c r="F716" i="2" s="1"/>
  <c r="D717" i="2" l="1"/>
  <c r="E717" i="2" s="1"/>
  <c r="C717" i="2"/>
  <c r="F717" i="2" s="1"/>
  <c r="D718" i="2" l="1"/>
  <c r="E718" i="2" s="1"/>
  <c r="C718" i="2"/>
  <c r="F718" i="2" s="1"/>
  <c r="C719" i="2" l="1"/>
  <c r="F719" i="2" s="1"/>
  <c r="D719" i="2"/>
  <c r="E719" i="2" s="1"/>
  <c r="C720" i="2" l="1"/>
  <c r="F720" i="2" s="1"/>
  <c r="D720" i="2"/>
  <c r="E720" i="2" s="1"/>
  <c r="C721" i="2" l="1"/>
  <c r="F721" i="2" s="1"/>
  <c r="D721" i="2"/>
  <c r="E721" i="2" s="1"/>
  <c r="D722" i="2" l="1"/>
  <c r="E722" i="2" s="1"/>
  <c r="C722" i="2"/>
  <c r="F722" i="2" s="1"/>
  <c r="D723" i="2" l="1"/>
  <c r="E723" i="2" s="1"/>
  <c r="C723" i="2"/>
  <c r="F723" i="2" s="1"/>
  <c r="C724" i="2" l="1"/>
  <c r="F724" i="2" s="1"/>
  <c r="D724" i="2"/>
  <c r="E724" i="2" s="1"/>
  <c r="C725" i="2" l="1"/>
  <c r="F725" i="2" s="1"/>
  <c r="D725" i="2"/>
  <c r="E725" i="2" s="1"/>
  <c r="C726" i="2" l="1"/>
  <c r="F726" i="2" s="1"/>
  <c r="D726" i="2"/>
  <c r="E726" i="2" s="1"/>
  <c r="C727" i="2" l="1"/>
  <c r="F727" i="2" s="1"/>
  <c r="D727" i="2"/>
  <c r="E727" i="2" s="1"/>
  <c r="D728" i="2" l="1"/>
  <c r="E728" i="2" s="1"/>
  <c r="C728" i="2"/>
  <c r="F728" i="2" s="1"/>
  <c r="D729" i="2" l="1"/>
  <c r="E729" i="2" s="1"/>
  <c r="C729" i="2"/>
  <c r="F729" i="2" s="1"/>
  <c r="D730" i="2" l="1"/>
  <c r="E730" i="2" s="1"/>
  <c r="C730" i="2"/>
  <c r="F730" i="2" s="1"/>
  <c r="D731" i="2" l="1"/>
  <c r="E731" i="2" s="1"/>
  <c r="C731" i="2"/>
  <c r="F731" i="2" s="1"/>
  <c r="C732" i="2" l="1"/>
  <c r="F732" i="2" s="1"/>
  <c r="D732" i="2"/>
  <c r="E732" i="2" s="1"/>
  <c r="C733" i="2" l="1"/>
  <c r="F733" i="2" s="1"/>
  <c r="D733" i="2"/>
  <c r="E733" i="2" s="1"/>
  <c r="C734" i="2" l="1"/>
  <c r="F734" i="2" s="1"/>
  <c r="D734" i="2"/>
  <c r="E734" i="2" s="1"/>
  <c r="D735" i="2" l="1"/>
  <c r="E735" i="2" s="1"/>
  <c r="C735" i="2"/>
  <c r="F735" i="2" s="1"/>
  <c r="C736" i="2" l="1"/>
  <c r="F736" i="2" s="1"/>
  <c r="D736" i="2"/>
  <c r="E736" i="2" s="1"/>
  <c r="C737" i="2" l="1"/>
  <c r="F737" i="2" s="1"/>
  <c r="D737" i="2"/>
  <c r="E737" i="2" s="1"/>
  <c r="D738" i="2" l="1"/>
  <c r="E738" i="2" s="1"/>
  <c r="C738" i="2"/>
  <c r="F738" i="2" s="1"/>
  <c r="C739" i="2" l="1"/>
  <c r="F739" i="2" s="1"/>
  <c r="D739" i="2"/>
  <c r="E739" i="2" s="1"/>
  <c r="D740" i="2" l="1"/>
  <c r="E740" i="2" s="1"/>
  <c r="C740" i="2"/>
  <c r="F740" i="2" s="1"/>
  <c r="C741" i="2" l="1"/>
  <c r="F741" i="2" s="1"/>
  <c r="D741" i="2"/>
  <c r="E741" i="2" s="1"/>
  <c r="C742" i="2" l="1"/>
  <c r="F742" i="2" s="1"/>
  <c r="D742" i="2"/>
  <c r="E742" i="2" s="1"/>
  <c r="D743" i="2" l="1"/>
  <c r="E743" i="2" s="1"/>
  <c r="C743" i="2"/>
  <c r="F743" i="2" s="1"/>
  <c r="C744" i="2" l="1"/>
  <c r="F744" i="2" s="1"/>
  <c r="D744" i="2"/>
  <c r="E744" i="2" s="1"/>
  <c r="C745" i="2" l="1"/>
  <c r="F745" i="2" s="1"/>
  <c r="D745" i="2"/>
  <c r="E745" i="2" s="1"/>
  <c r="D746" i="2" l="1"/>
  <c r="E746" i="2" s="1"/>
  <c r="C746" i="2"/>
  <c r="F746" i="2" s="1"/>
  <c r="D747" i="2" l="1"/>
  <c r="E747" i="2" s="1"/>
  <c r="C747" i="2"/>
  <c r="F747" i="2" s="1"/>
  <c r="C748" i="2" l="1"/>
  <c r="F748" i="2" s="1"/>
  <c r="D748" i="2"/>
  <c r="E748" i="2" s="1"/>
  <c r="D749" i="2" l="1"/>
  <c r="E749" i="2" s="1"/>
  <c r="C749" i="2"/>
  <c r="F749" i="2" s="1"/>
  <c r="D750" i="2" l="1"/>
  <c r="E750" i="2" s="1"/>
  <c r="C750" i="2"/>
  <c r="F750" i="2" s="1"/>
  <c r="D751" i="2" l="1"/>
  <c r="E751" i="2" s="1"/>
  <c r="C751" i="2"/>
  <c r="F751" i="2" s="1"/>
  <c r="D752" i="2" l="1"/>
  <c r="E752" i="2" s="1"/>
  <c r="C752" i="2"/>
  <c r="F752" i="2" s="1"/>
  <c r="C753" i="2" l="1"/>
  <c r="F753" i="2" s="1"/>
  <c r="D753" i="2"/>
  <c r="E753" i="2" s="1"/>
  <c r="D754" i="2" l="1"/>
  <c r="E754" i="2" s="1"/>
  <c r="C754" i="2"/>
  <c r="F754" i="2" s="1"/>
  <c r="C755" i="2" l="1"/>
  <c r="F755" i="2" s="1"/>
  <c r="D755" i="2"/>
  <c r="E755" i="2" s="1"/>
  <c r="C756" i="2" l="1"/>
  <c r="F756" i="2" s="1"/>
  <c r="D756" i="2"/>
  <c r="E756" i="2" s="1"/>
  <c r="C757" i="2" l="1"/>
  <c r="F757" i="2" s="1"/>
  <c r="D757" i="2"/>
  <c r="E757" i="2" s="1"/>
  <c r="C758" i="2" l="1"/>
  <c r="F758" i="2" s="1"/>
  <c r="D758" i="2"/>
  <c r="E758" i="2" s="1"/>
  <c r="C759" i="2" l="1"/>
  <c r="F759" i="2" s="1"/>
  <c r="D759" i="2"/>
  <c r="E759" i="2" s="1"/>
  <c r="D760" i="2" l="1"/>
  <c r="E760" i="2" s="1"/>
  <c r="C760" i="2"/>
  <c r="F760" i="2" s="1"/>
  <c r="D761" i="2" l="1"/>
  <c r="E761" i="2" s="1"/>
  <c r="C761" i="2"/>
  <c r="F761" i="2" s="1"/>
  <c r="D762" i="2" l="1"/>
  <c r="E762" i="2" s="1"/>
  <c r="C762" i="2"/>
  <c r="F762" i="2" s="1"/>
  <c r="C763" i="2" l="1"/>
  <c r="F763" i="2" s="1"/>
  <c r="D763" i="2"/>
  <c r="E763" i="2" s="1"/>
  <c r="C764" i="2" l="1"/>
  <c r="F764" i="2" s="1"/>
  <c r="D764" i="2"/>
  <c r="E764" i="2" s="1"/>
  <c r="D765" i="2" l="1"/>
  <c r="E765" i="2" s="1"/>
  <c r="C765" i="2"/>
  <c r="F765" i="2" s="1"/>
  <c r="D766" i="2" l="1"/>
  <c r="E766" i="2" s="1"/>
  <c r="C766" i="2"/>
  <c r="F766" i="2" s="1"/>
  <c r="C767" i="2" l="1"/>
  <c r="F767" i="2" s="1"/>
  <c r="D767" i="2"/>
  <c r="E767" i="2" s="1"/>
  <c r="C768" i="2" l="1"/>
  <c r="F768" i="2" s="1"/>
  <c r="D768" i="2"/>
  <c r="E768" i="2" s="1"/>
  <c r="D769" i="2" l="1"/>
  <c r="E769" i="2" s="1"/>
  <c r="C769" i="2"/>
  <c r="F769" i="2" s="1"/>
  <c r="D770" i="2" l="1"/>
  <c r="E770" i="2" s="1"/>
  <c r="C770" i="2"/>
  <c r="F770" i="2" s="1"/>
  <c r="C771" i="2" l="1"/>
  <c r="F771" i="2" s="1"/>
  <c r="D771" i="2"/>
  <c r="E771" i="2" s="1"/>
  <c r="C772" i="2" l="1"/>
  <c r="F772" i="2" s="1"/>
  <c r="D772" i="2"/>
  <c r="E772" i="2" s="1"/>
  <c r="C773" i="2" l="1"/>
  <c r="F773" i="2" s="1"/>
  <c r="D773" i="2"/>
  <c r="E773" i="2" s="1"/>
  <c r="C774" i="2" l="1"/>
  <c r="F774" i="2" s="1"/>
  <c r="D774" i="2"/>
  <c r="E774" i="2" s="1"/>
  <c r="D775" i="2" l="1"/>
  <c r="E775" i="2" s="1"/>
  <c r="C775" i="2"/>
  <c r="F775" i="2" s="1"/>
  <c r="C776" i="2" l="1"/>
  <c r="F776" i="2" s="1"/>
  <c r="D776" i="2"/>
  <c r="E776" i="2" s="1"/>
  <c r="C777" i="2" l="1"/>
  <c r="F777" i="2" s="1"/>
  <c r="D777" i="2"/>
  <c r="E777" i="2" s="1"/>
  <c r="C778" i="2" l="1"/>
  <c r="F778" i="2" s="1"/>
  <c r="D778" i="2"/>
  <c r="E778" i="2" s="1"/>
  <c r="C779" i="2" l="1"/>
  <c r="F779" i="2" s="1"/>
  <c r="D779" i="2"/>
  <c r="E779" i="2" s="1"/>
  <c r="C780" i="2" l="1"/>
  <c r="F780" i="2" s="1"/>
  <c r="D780" i="2"/>
  <c r="E780" i="2" s="1"/>
  <c r="C781" i="2" l="1"/>
  <c r="F781" i="2" s="1"/>
  <c r="D781" i="2"/>
  <c r="E781" i="2" s="1"/>
  <c r="C782" i="2" l="1"/>
  <c r="F782" i="2" s="1"/>
  <c r="D782" i="2"/>
  <c r="E782" i="2" s="1"/>
  <c r="D783" i="2" l="1"/>
  <c r="E783" i="2" s="1"/>
  <c r="C783" i="2"/>
  <c r="F783" i="2" s="1"/>
  <c r="C784" i="2" l="1"/>
  <c r="F784" i="2" s="1"/>
  <c r="D784" i="2"/>
  <c r="E784" i="2" s="1"/>
  <c r="C785" i="2" l="1"/>
  <c r="F785" i="2" s="1"/>
  <c r="D785" i="2"/>
  <c r="E785" i="2" s="1"/>
  <c r="C786" i="2" l="1"/>
  <c r="F786" i="2" s="1"/>
  <c r="D786" i="2"/>
  <c r="E786" i="2" s="1"/>
  <c r="C787" i="2" l="1"/>
  <c r="F787" i="2" s="1"/>
  <c r="D787" i="2"/>
  <c r="E787" i="2" s="1"/>
  <c r="D788" i="2" l="1"/>
  <c r="E788" i="2" s="1"/>
  <c r="C788" i="2"/>
  <c r="F788" i="2" s="1"/>
  <c r="D789" i="2" l="1"/>
  <c r="E789" i="2" s="1"/>
  <c r="C789" i="2"/>
  <c r="F789" i="2" s="1"/>
  <c r="D790" i="2" l="1"/>
  <c r="E790" i="2" s="1"/>
  <c r="C790" i="2"/>
  <c r="F790" i="2" s="1"/>
  <c r="D791" i="2" l="1"/>
  <c r="E791" i="2" s="1"/>
  <c r="C791" i="2"/>
  <c r="F791" i="2" s="1"/>
  <c r="C792" i="2" l="1"/>
  <c r="F792" i="2" s="1"/>
  <c r="D792" i="2"/>
  <c r="E792" i="2" s="1"/>
  <c r="C793" i="2" l="1"/>
  <c r="F793" i="2" s="1"/>
  <c r="D793" i="2"/>
  <c r="E793" i="2" s="1"/>
  <c r="D794" i="2" l="1"/>
  <c r="E794" i="2" s="1"/>
  <c r="C794" i="2"/>
  <c r="F794" i="2" s="1"/>
  <c r="C795" i="2" l="1"/>
  <c r="F795" i="2" s="1"/>
  <c r="D795" i="2"/>
  <c r="E795" i="2" s="1"/>
  <c r="D796" i="2" l="1"/>
  <c r="E796" i="2" s="1"/>
  <c r="C796" i="2"/>
  <c r="F796" i="2" s="1"/>
  <c r="C797" i="2" l="1"/>
  <c r="F797" i="2" s="1"/>
  <c r="D797" i="2"/>
  <c r="E797" i="2" s="1"/>
  <c r="D798" i="2" l="1"/>
  <c r="E798" i="2" s="1"/>
  <c r="C798" i="2"/>
  <c r="F798" i="2" s="1"/>
  <c r="D799" i="2" l="1"/>
  <c r="E799" i="2" s="1"/>
  <c r="C799" i="2"/>
  <c r="F799" i="2" s="1"/>
  <c r="D800" i="2" l="1"/>
  <c r="E800" i="2" s="1"/>
  <c r="C800" i="2"/>
  <c r="F800" i="2" s="1"/>
  <c r="D801" i="2" l="1"/>
  <c r="E801" i="2" s="1"/>
  <c r="C801" i="2"/>
  <c r="F801" i="2" s="1"/>
  <c r="D802" i="2" l="1"/>
  <c r="E802" i="2" s="1"/>
  <c r="C802" i="2"/>
  <c r="F802" i="2" s="1"/>
  <c r="C803" i="2" l="1"/>
  <c r="F803" i="2" s="1"/>
  <c r="D803" i="2"/>
  <c r="E803" i="2" s="1"/>
  <c r="D804" i="2" l="1"/>
  <c r="E804" i="2" s="1"/>
  <c r="C804" i="2"/>
  <c r="F804" i="2" s="1"/>
  <c r="D805" i="2" l="1"/>
  <c r="E805" i="2" s="1"/>
  <c r="C805" i="2"/>
  <c r="F805" i="2" s="1"/>
  <c r="C806" i="2" l="1"/>
  <c r="F806" i="2" s="1"/>
  <c r="D806" i="2"/>
  <c r="E806" i="2" s="1"/>
  <c r="D807" i="2" l="1"/>
  <c r="E807" i="2" s="1"/>
  <c r="C807" i="2"/>
  <c r="F807" i="2" s="1"/>
  <c r="D808" i="2" l="1"/>
  <c r="E808" i="2" s="1"/>
  <c r="C808" i="2"/>
  <c r="F808" i="2" s="1"/>
  <c r="C809" i="2" l="1"/>
  <c r="F809" i="2" s="1"/>
  <c r="D809" i="2"/>
  <c r="E809" i="2" s="1"/>
  <c r="D810" i="2" l="1"/>
  <c r="E810" i="2" s="1"/>
  <c r="C810" i="2"/>
  <c r="F810" i="2" s="1"/>
  <c r="C811" i="2" l="1"/>
  <c r="F811" i="2" s="1"/>
  <c r="D811" i="2"/>
  <c r="E811" i="2" s="1"/>
  <c r="D812" i="2" l="1"/>
  <c r="E812" i="2" s="1"/>
  <c r="C812" i="2"/>
  <c r="F812" i="2" s="1"/>
  <c r="D813" i="2" l="1"/>
  <c r="E813" i="2" s="1"/>
  <c r="C813" i="2"/>
  <c r="F813" i="2" s="1"/>
  <c r="C814" i="2" l="1"/>
  <c r="F814" i="2" s="1"/>
  <c r="D814" i="2"/>
  <c r="E814" i="2" s="1"/>
  <c r="C815" i="2" l="1"/>
  <c r="F815" i="2" s="1"/>
  <c r="D815" i="2"/>
  <c r="E815" i="2" s="1"/>
  <c r="D816" i="2" l="1"/>
  <c r="E816" i="2" s="1"/>
  <c r="C816" i="2"/>
  <c r="F816" i="2" s="1"/>
  <c r="C817" i="2" l="1"/>
  <c r="F817" i="2" s="1"/>
  <c r="D817" i="2"/>
  <c r="E817" i="2" s="1"/>
  <c r="D818" i="2" l="1"/>
  <c r="E818" i="2" s="1"/>
  <c r="C818" i="2"/>
  <c r="F818" i="2" s="1"/>
  <c r="C819" i="2" l="1"/>
  <c r="F819" i="2" s="1"/>
  <c r="D819" i="2"/>
  <c r="E819" i="2" s="1"/>
  <c r="D820" i="2" l="1"/>
  <c r="E820" i="2" s="1"/>
  <c r="C820" i="2"/>
  <c r="F820" i="2" s="1"/>
  <c r="C821" i="2" l="1"/>
  <c r="F821" i="2" s="1"/>
  <c r="D821" i="2"/>
  <c r="E821" i="2" s="1"/>
  <c r="D822" i="2" l="1"/>
  <c r="E822" i="2" s="1"/>
  <c r="C822" i="2"/>
  <c r="F822" i="2" s="1"/>
  <c r="D823" i="2" l="1"/>
  <c r="E823" i="2" s="1"/>
  <c r="C823" i="2"/>
  <c r="F823" i="2" s="1"/>
  <c r="D824" i="2" l="1"/>
  <c r="E824" i="2" s="1"/>
  <c r="C824" i="2"/>
  <c r="F824" i="2" s="1"/>
  <c r="D825" i="2" l="1"/>
  <c r="E825" i="2" s="1"/>
  <c r="C825" i="2"/>
  <c r="F825" i="2" s="1"/>
  <c r="D826" i="2" l="1"/>
  <c r="E826" i="2" s="1"/>
  <c r="C826" i="2"/>
  <c r="F826" i="2" s="1"/>
  <c r="C827" i="2" l="1"/>
  <c r="F827" i="2" s="1"/>
  <c r="D827" i="2"/>
  <c r="E827" i="2" s="1"/>
  <c r="C828" i="2" l="1"/>
  <c r="F828" i="2" s="1"/>
  <c r="D828" i="2"/>
  <c r="E828" i="2" s="1"/>
  <c r="D829" i="2" l="1"/>
  <c r="E829" i="2" s="1"/>
  <c r="C829" i="2"/>
  <c r="F829" i="2" s="1"/>
  <c r="D830" i="2" l="1"/>
  <c r="E830" i="2" s="1"/>
  <c r="C830" i="2"/>
  <c r="F830" i="2" s="1"/>
  <c r="D831" i="2" l="1"/>
  <c r="E831" i="2" s="1"/>
  <c r="C831" i="2"/>
  <c r="F831" i="2" s="1"/>
  <c r="C832" i="2" l="1"/>
  <c r="F832" i="2" s="1"/>
  <c r="D832" i="2"/>
  <c r="E832" i="2" s="1"/>
  <c r="C833" i="2" l="1"/>
  <c r="F833" i="2" s="1"/>
  <c r="D833" i="2"/>
  <c r="E833" i="2" s="1"/>
  <c r="D834" i="2" l="1"/>
  <c r="E834" i="2" s="1"/>
  <c r="C834" i="2"/>
  <c r="F834" i="2" s="1"/>
  <c r="D835" i="2" l="1"/>
  <c r="E835" i="2" s="1"/>
  <c r="C835" i="2"/>
  <c r="F835" i="2" s="1"/>
  <c r="C836" i="2" l="1"/>
  <c r="F836" i="2" s="1"/>
  <c r="D836" i="2"/>
  <c r="E836" i="2" s="1"/>
  <c r="C837" i="2" l="1"/>
  <c r="F837" i="2" s="1"/>
  <c r="D837" i="2"/>
  <c r="E837" i="2" s="1"/>
  <c r="D838" i="2" l="1"/>
  <c r="E838" i="2" s="1"/>
  <c r="C838" i="2"/>
  <c r="F838" i="2" s="1"/>
  <c r="C839" i="2" l="1"/>
  <c r="F839" i="2" s="1"/>
  <c r="D839" i="2"/>
  <c r="E839" i="2" s="1"/>
  <c r="C840" i="2" l="1"/>
  <c r="F840" i="2" s="1"/>
  <c r="D840" i="2"/>
  <c r="E840" i="2" s="1"/>
  <c r="C841" i="2" l="1"/>
  <c r="F841" i="2" s="1"/>
  <c r="D841" i="2"/>
  <c r="E841" i="2" s="1"/>
  <c r="D842" i="2" l="1"/>
  <c r="E842" i="2" s="1"/>
  <c r="C842" i="2"/>
  <c r="F842" i="2" s="1"/>
  <c r="C843" i="2" l="1"/>
  <c r="F843" i="2" s="1"/>
  <c r="D843" i="2"/>
  <c r="E843" i="2" s="1"/>
  <c r="C844" i="2" l="1"/>
  <c r="F844" i="2" s="1"/>
  <c r="D844" i="2"/>
  <c r="E844" i="2" s="1"/>
  <c r="C845" i="2" l="1"/>
  <c r="F845" i="2" s="1"/>
  <c r="D845" i="2"/>
  <c r="E845" i="2" s="1"/>
  <c r="D846" i="2" l="1"/>
  <c r="E846" i="2" s="1"/>
  <c r="C846" i="2"/>
  <c r="F846" i="2" s="1"/>
  <c r="C847" i="2" l="1"/>
  <c r="F847" i="2" s="1"/>
  <c r="D847" i="2"/>
  <c r="E847" i="2" s="1"/>
  <c r="D848" i="2" l="1"/>
  <c r="E848" i="2" s="1"/>
  <c r="C848" i="2"/>
  <c r="F848" i="2" s="1"/>
  <c r="C849" i="2" l="1"/>
  <c r="F849" i="2" s="1"/>
  <c r="D849" i="2"/>
  <c r="E849" i="2" s="1"/>
  <c r="C850" i="2" l="1"/>
  <c r="F850" i="2" s="1"/>
  <c r="D850" i="2"/>
  <c r="E850" i="2" s="1"/>
  <c r="C851" i="2" l="1"/>
  <c r="F851" i="2" s="1"/>
  <c r="D851" i="2"/>
  <c r="E851" i="2" s="1"/>
  <c r="C852" i="2" l="1"/>
  <c r="F852" i="2" s="1"/>
  <c r="D852" i="2"/>
  <c r="E852" i="2" s="1"/>
  <c r="C853" i="2" l="1"/>
  <c r="F853" i="2" s="1"/>
  <c r="D853" i="2"/>
  <c r="E853" i="2" s="1"/>
  <c r="C854" i="2" l="1"/>
  <c r="F854" i="2" s="1"/>
  <c r="D854" i="2"/>
  <c r="E854" i="2" s="1"/>
  <c r="C855" i="2" l="1"/>
  <c r="F855" i="2" s="1"/>
  <c r="D855" i="2"/>
  <c r="E855" i="2" s="1"/>
  <c r="D856" i="2" l="1"/>
  <c r="E856" i="2" s="1"/>
  <c r="C856" i="2"/>
  <c r="F856" i="2" s="1"/>
  <c r="C857" i="2" l="1"/>
  <c r="F857" i="2" s="1"/>
  <c r="D857" i="2"/>
  <c r="E857" i="2" s="1"/>
  <c r="C858" i="2" l="1"/>
  <c r="F858" i="2" s="1"/>
  <c r="D858" i="2"/>
  <c r="E858" i="2" s="1"/>
  <c r="C859" i="2" l="1"/>
  <c r="F859" i="2" s="1"/>
  <c r="D859" i="2"/>
  <c r="E859" i="2" s="1"/>
  <c r="C860" i="2" l="1"/>
  <c r="F860" i="2" s="1"/>
  <c r="D860" i="2"/>
  <c r="E860" i="2" s="1"/>
  <c r="D861" i="2" l="1"/>
  <c r="E861" i="2" s="1"/>
  <c r="C861" i="2"/>
  <c r="F861" i="2" s="1"/>
  <c r="D862" i="2" l="1"/>
  <c r="E862" i="2" s="1"/>
  <c r="C862" i="2"/>
  <c r="F862" i="2" s="1"/>
  <c r="C863" i="2" l="1"/>
  <c r="F863" i="2" s="1"/>
  <c r="D863" i="2"/>
  <c r="E863" i="2" s="1"/>
  <c r="D864" i="2" l="1"/>
  <c r="E864" i="2" s="1"/>
  <c r="C864" i="2"/>
  <c r="F864" i="2" s="1"/>
  <c r="D865" i="2" l="1"/>
  <c r="E865" i="2" s="1"/>
  <c r="C865" i="2"/>
  <c r="F865" i="2" s="1"/>
  <c r="C866" i="2" l="1"/>
  <c r="F866" i="2" s="1"/>
  <c r="D866" i="2"/>
  <c r="E866" i="2" s="1"/>
  <c r="D867" i="2" l="1"/>
  <c r="E867" i="2" s="1"/>
  <c r="C867" i="2"/>
  <c r="F867" i="2" s="1"/>
  <c r="C868" i="2" l="1"/>
  <c r="F868" i="2" s="1"/>
  <c r="D868" i="2"/>
  <c r="E868" i="2" s="1"/>
  <c r="C869" i="2" l="1"/>
  <c r="F869" i="2" s="1"/>
  <c r="D869" i="2"/>
  <c r="E869" i="2" s="1"/>
  <c r="D870" i="2" l="1"/>
  <c r="E870" i="2" s="1"/>
  <c r="C870" i="2"/>
  <c r="F870" i="2" s="1"/>
  <c r="C871" i="2" l="1"/>
  <c r="F871" i="2" s="1"/>
  <c r="D871" i="2"/>
  <c r="E871" i="2" s="1"/>
  <c r="C872" i="2" l="1"/>
  <c r="F872" i="2" s="1"/>
  <c r="D872" i="2"/>
  <c r="E872" i="2" s="1"/>
  <c r="C873" i="2" l="1"/>
  <c r="F873" i="2" s="1"/>
  <c r="D873" i="2"/>
  <c r="E873" i="2" s="1"/>
  <c r="C874" i="2" l="1"/>
  <c r="F874" i="2" s="1"/>
  <c r="D874" i="2"/>
  <c r="E874" i="2" s="1"/>
  <c r="C875" i="2" l="1"/>
  <c r="F875" i="2" s="1"/>
  <c r="D875" i="2"/>
  <c r="E875" i="2" s="1"/>
  <c r="C876" i="2" l="1"/>
  <c r="F876" i="2" s="1"/>
  <c r="D876" i="2"/>
  <c r="E876" i="2" s="1"/>
  <c r="C877" i="2" l="1"/>
  <c r="F877" i="2" s="1"/>
  <c r="D877" i="2"/>
  <c r="E877" i="2" s="1"/>
  <c r="C878" i="2" l="1"/>
  <c r="F878" i="2" s="1"/>
  <c r="D878" i="2"/>
  <c r="E878" i="2" s="1"/>
  <c r="C879" i="2" l="1"/>
  <c r="F879" i="2" s="1"/>
  <c r="D879" i="2"/>
  <c r="E879" i="2" s="1"/>
  <c r="D880" i="2" l="1"/>
  <c r="E880" i="2" s="1"/>
  <c r="C880" i="2"/>
  <c r="F880" i="2" s="1"/>
  <c r="C881" i="2" l="1"/>
  <c r="F881" i="2" s="1"/>
  <c r="D881" i="2"/>
  <c r="E881" i="2" s="1"/>
  <c r="D882" i="2" l="1"/>
  <c r="E882" i="2" s="1"/>
  <c r="C882" i="2"/>
  <c r="F882" i="2" s="1"/>
  <c r="C883" i="2" l="1"/>
  <c r="F883" i="2" s="1"/>
  <c r="D883" i="2"/>
  <c r="E883" i="2" s="1"/>
  <c r="C884" i="2" l="1"/>
  <c r="F884" i="2" s="1"/>
  <c r="D884" i="2"/>
  <c r="E884" i="2" s="1"/>
  <c r="C885" i="2" l="1"/>
  <c r="F885" i="2" s="1"/>
  <c r="D885" i="2"/>
  <c r="E885" i="2" s="1"/>
  <c r="C886" i="2" l="1"/>
  <c r="F886" i="2" s="1"/>
  <c r="D886" i="2"/>
  <c r="E886" i="2" s="1"/>
  <c r="C887" i="2" l="1"/>
  <c r="F887" i="2" s="1"/>
  <c r="D887" i="2"/>
  <c r="E887" i="2" s="1"/>
  <c r="D888" i="2" l="1"/>
  <c r="E888" i="2" s="1"/>
  <c r="C888" i="2"/>
  <c r="F888" i="2" s="1"/>
  <c r="C889" i="2" l="1"/>
  <c r="F889" i="2" s="1"/>
  <c r="D889" i="2"/>
  <c r="E889" i="2" s="1"/>
  <c r="D890" i="2" l="1"/>
  <c r="E890" i="2" s="1"/>
  <c r="C890" i="2"/>
  <c r="F890" i="2" s="1"/>
  <c r="D891" i="2" l="1"/>
  <c r="E891" i="2" s="1"/>
  <c r="C891" i="2"/>
  <c r="F891" i="2" s="1"/>
  <c r="C892" i="2" l="1"/>
  <c r="F892" i="2" s="1"/>
  <c r="D892" i="2"/>
  <c r="E892" i="2" s="1"/>
  <c r="C893" i="2" l="1"/>
  <c r="F893" i="2" s="1"/>
  <c r="D893" i="2"/>
  <c r="E893" i="2" s="1"/>
  <c r="D894" i="2" l="1"/>
  <c r="E894" i="2" s="1"/>
  <c r="C894" i="2"/>
  <c r="F894" i="2" s="1"/>
  <c r="C895" i="2" l="1"/>
  <c r="F895" i="2" s="1"/>
  <c r="D895" i="2"/>
  <c r="E895" i="2" s="1"/>
  <c r="D896" i="2" l="1"/>
  <c r="E896" i="2" s="1"/>
  <c r="C896" i="2"/>
  <c r="F896" i="2" s="1"/>
  <c r="C897" i="2" l="1"/>
  <c r="F897" i="2" s="1"/>
  <c r="D897" i="2"/>
  <c r="E897" i="2" s="1"/>
  <c r="D898" i="2" l="1"/>
  <c r="E898" i="2" s="1"/>
  <c r="C898" i="2"/>
  <c r="F898" i="2" s="1"/>
  <c r="C899" i="2" l="1"/>
  <c r="F899" i="2" s="1"/>
  <c r="D899" i="2"/>
  <c r="E899" i="2" s="1"/>
  <c r="D900" i="2" l="1"/>
  <c r="E900" i="2" s="1"/>
  <c r="C900" i="2"/>
  <c r="F900" i="2" s="1"/>
  <c r="D901" i="2" l="1"/>
  <c r="E901" i="2" s="1"/>
  <c r="C901" i="2"/>
  <c r="F901" i="2" s="1"/>
  <c r="D902" i="2" l="1"/>
  <c r="E902" i="2" s="1"/>
  <c r="C902" i="2"/>
  <c r="F902" i="2" s="1"/>
  <c r="C903" i="2" l="1"/>
  <c r="F903" i="2" s="1"/>
  <c r="D903" i="2"/>
  <c r="E903" i="2" s="1"/>
  <c r="D904" i="2" l="1"/>
  <c r="E904" i="2" s="1"/>
  <c r="C904" i="2"/>
  <c r="F904" i="2" s="1"/>
  <c r="D905" i="2" l="1"/>
  <c r="E905" i="2" s="1"/>
  <c r="C905" i="2"/>
  <c r="F905" i="2" s="1"/>
  <c r="C906" i="2" l="1"/>
  <c r="F906" i="2" s="1"/>
  <c r="D906" i="2"/>
  <c r="E906" i="2" s="1"/>
  <c r="D907" i="2" l="1"/>
  <c r="E907" i="2" s="1"/>
  <c r="C907" i="2"/>
  <c r="F907" i="2" s="1"/>
  <c r="C908" i="2" l="1"/>
  <c r="F908" i="2" s="1"/>
  <c r="D908" i="2"/>
  <c r="E908" i="2" s="1"/>
  <c r="C909" i="2" l="1"/>
  <c r="F909" i="2" s="1"/>
  <c r="D909" i="2"/>
  <c r="E909" i="2" s="1"/>
  <c r="D910" i="2" l="1"/>
  <c r="E910" i="2" s="1"/>
  <c r="C910" i="2"/>
  <c r="F910" i="2" s="1"/>
  <c r="C911" i="2" l="1"/>
  <c r="F911" i="2" s="1"/>
  <c r="D911" i="2"/>
  <c r="E911" i="2" s="1"/>
  <c r="D912" i="2" l="1"/>
  <c r="E912" i="2" s="1"/>
  <c r="C912" i="2"/>
  <c r="F912" i="2" s="1"/>
  <c r="D913" i="2" l="1"/>
  <c r="E913" i="2" s="1"/>
  <c r="C913" i="2"/>
  <c r="F913" i="2" s="1"/>
  <c r="C914" i="2" l="1"/>
  <c r="F914" i="2" s="1"/>
  <c r="D914" i="2"/>
  <c r="E914" i="2" s="1"/>
  <c r="D915" i="2" l="1"/>
  <c r="E915" i="2" s="1"/>
  <c r="C915" i="2"/>
  <c r="F915" i="2" s="1"/>
  <c r="D916" i="2" l="1"/>
  <c r="E916" i="2" s="1"/>
  <c r="C916" i="2"/>
  <c r="F916" i="2" s="1"/>
  <c r="D917" i="2" l="1"/>
  <c r="E917" i="2" s="1"/>
  <c r="C917" i="2"/>
  <c r="F917" i="2" s="1"/>
  <c r="D918" i="2" l="1"/>
  <c r="E918" i="2" s="1"/>
  <c r="C918" i="2"/>
  <c r="F918" i="2" s="1"/>
  <c r="D919" i="2" l="1"/>
  <c r="E919" i="2" s="1"/>
  <c r="C919" i="2"/>
  <c r="F919" i="2" s="1"/>
  <c r="C920" i="2" l="1"/>
  <c r="F920" i="2" s="1"/>
  <c r="D920" i="2"/>
  <c r="E920" i="2" s="1"/>
  <c r="D921" i="2" l="1"/>
  <c r="E921" i="2" s="1"/>
  <c r="C921" i="2"/>
  <c r="F921" i="2" s="1"/>
  <c r="C922" i="2" l="1"/>
  <c r="F922" i="2" s="1"/>
  <c r="D922" i="2"/>
  <c r="E922" i="2" s="1"/>
  <c r="C923" i="2" l="1"/>
  <c r="F923" i="2" s="1"/>
  <c r="D923" i="2"/>
  <c r="E923" i="2" s="1"/>
  <c r="C924" i="2" l="1"/>
  <c r="F924" i="2" s="1"/>
  <c r="D924" i="2"/>
  <c r="E924" i="2" s="1"/>
  <c r="D925" i="2" l="1"/>
  <c r="E925" i="2" s="1"/>
  <c r="C925" i="2"/>
  <c r="F925" i="2" s="1"/>
  <c r="C926" i="2" l="1"/>
  <c r="F926" i="2" s="1"/>
  <c r="D926" i="2"/>
  <c r="E926" i="2" s="1"/>
  <c r="C927" i="2" l="1"/>
  <c r="F927" i="2" s="1"/>
  <c r="D927" i="2"/>
  <c r="E927" i="2" s="1"/>
  <c r="D928" i="2" l="1"/>
  <c r="E928" i="2" s="1"/>
  <c r="C928" i="2"/>
  <c r="F928" i="2" s="1"/>
  <c r="C929" i="2" l="1"/>
  <c r="F929" i="2" s="1"/>
  <c r="D929" i="2"/>
  <c r="E929" i="2" s="1"/>
  <c r="D930" i="2" l="1"/>
  <c r="E930" i="2" s="1"/>
  <c r="C930" i="2"/>
  <c r="F930" i="2" s="1"/>
  <c r="C931" i="2" l="1"/>
  <c r="F931" i="2" s="1"/>
  <c r="D931" i="2"/>
  <c r="E931" i="2" s="1"/>
  <c r="C932" i="2" l="1"/>
  <c r="F932" i="2" s="1"/>
  <c r="D932" i="2"/>
  <c r="E932" i="2" s="1"/>
  <c r="C933" i="2" l="1"/>
  <c r="F933" i="2" s="1"/>
  <c r="D933" i="2"/>
  <c r="E933" i="2" s="1"/>
  <c r="D934" i="2" l="1"/>
  <c r="E934" i="2" s="1"/>
  <c r="C934" i="2"/>
  <c r="F934" i="2" s="1"/>
  <c r="C935" i="2" l="1"/>
  <c r="F935" i="2" s="1"/>
  <c r="D935" i="2"/>
  <c r="E935" i="2" s="1"/>
  <c r="D936" i="2" l="1"/>
  <c r="E936" i="2" s="1"/>
  <c r="C936" i="2"/>
  <c r="F936" i="2" s="1"/>
  <c r="C937" i="2" l="1"/>
  <c r="F937" i="2" s="1"/>
  <c r="D937" i="2"/>
  <c r="E937" i="2" s="1"/>
  <c r="C938" i="2" l="1"/>
  <c r="F938" i="2" s="1"/>
  <c r="D938" i="2"/>
  <c r="E938" i="2" s="1"/>
  <c r="C939" i="2" l="1"/>
  <c r="F939" i="2" s="1"/>
  <c r="D939" i="2"/>
  <c r="E939" i="2" s="1"/>
  <c r="D940" i="2" l="1"/>
  <c r="E940" i="2" s="1"/>
  <c r="C940" i="2"/>
  <c r="F940" i="2" s="1"/>
  <c r="C941" i="2" l="1"/>
  <c r="F941" i="2" s="1"/>
  <c r="D941" i="2"/>
  <c r="E941" i="2" s="1"/>
  <c r="C942" i="2" l="1"/>
  <c r="F942" i="2" s="1"/>
  <c r="D942" i="2"/>
  <c r="E942" i="2" s="1"/>
  <c r="C943" i="2" l="1"/>
  <c r="F943" i="2" s="1"/>
  <c r="D943" i="2"/>
  <c r="E943" i="2" s="1"/>
  <c r="D944" i="2" l="1"/>
  <c r="E944" i="2" s="1"/>
  <c r="C944" i="2"/>
  <c r="F944" i="2" s="1"/>
  <c r="C945" i="2" l="1"/>
  <c r="F945" i="2" s="1"/>
  <c r="D945" i="2"/>
  <c r="E945" i="2" s="1"/>
  <c r="C946" i="2" l="1"/>
  <c r="F946" i="2" s="1"/>
  <c r="D946" i="2"/>
  <c r="E946" i="2" s="1"/>
  <c r="C947" i="2" l="1"/>
  <c r="F947" i="2" s="1"/>
  <c r="D947" i="2"/>
  <c r="E947" i="2" s="1"/>
  <c r="D948" i="2" l="1"/>
  <c r="E948" i="2" s="1"/>
  <c r="C948" i="2"/>
  <c r="F948" i="2" s="1"/>
  <c r="D949" i="2" l="1"/>
  <c r="E949" i="2" s="1"/>
  <c r="C949" i="2"/>
  <c r="F949" i="2" s="1"/>
  <c r="C950" i="2" l="1"/>
  <c r="F950" i="2" s="1"/>
  <c r="D950" i="2"/>
  <c r="E950" i="2" s="1"/>
  <c r="C951" i="2" l="1"/>
  <c r="F951" i="2" s="1"/>
  <c r="D951" i="2"/>
  <c r="E951" i="2" s="1"/>
  <c r="D952" i="2" l="1"/>
  <c r="E952" i="2" s="1"/>
  <c r="C952" i="2"/>
  <c r="F952" i="2" s="1"/>
  <c r="C953" i="2" l="1"/>
  <c r="F953" i="2" s="1"/>
  <c r="D953" i="2"/>
  <c r="E953" i="2" s="1"/>
  <c r="C954" i="2" l="1"/>
  <c r="F954" i="2" s="1"/>
  <c r="D954" i="2"/>
  <c r="E954" i="2" s="1"/>
  <c r="C955" i="2" l="1"/>
  <c r="F955" i="2" s="1"/>
  <c r="D955" i="2"/>
  <c r="E955" i="2" s="1"/>
  <c r="C956" i="2" l="1"/>
  <c r="F956" i="2" s="1"/>
  <c r="D956" i="2"/>
  <c r="E956" i="2" s="1"/>
  <c r="C957" i="2" l="1"/>
  <c r="F957" i="2" s="1"/>
  <c r="D957" i="2"/>
  <c r="E957" i="2" s="1"/>
  <c r="D958" i="2" l="1"/>
  <c r="E958" i="2" s="1"/>
  <c r="C958" i="2"/>
  <c r="F958" i="2" s="1"/>
  <c r="D959" i="2" l="1"/>
  <c r="E959" i="2" s="1"/>
  <c r="C959" i="2"/>
  <c r="F959" i="2" s="1"/>
  <c r="D960" i="2" l="1"/>
  <c r="E960" i="2" s="1"/>
  <c r="C960" i="2"/>
  <c r="F960" i="2" s="1"/>
  <c r="D961" i="2" l="1"/>
  <c r="E961" i="2" s="1"/>
  <c r="C961" i="2"/>
  <c r="F961" i="2" s="1"/>
  <c r="D962" i="2" l="1"/>
  <c r="E962" i="2" s="1"/>
  <c r="C962" i="2"/>
  <c r="F962" i="2" s="1"/>
  <c r="D963" i="2" l="1"/>
  <c r="E963" i="2" s="1"/>
  <c r="C963" i="2"/>
  <c r="F963" i="2" s="1"/>
  <c r="D964" i="2" l="1"/>
  <c r="E964" i="2" s="1"/>
  <c r="C964" i="2"/>
  <c r="F964" i="2" s="1"/>
  <c r="C965" i="2" l="1"/>
  <c r="F965" i="2" s="1"/>
  <c r="D965" i="2"/>
  <c r="E965" i="2" s="1"/>
  <c r="D966" i="2" l="1"/>
  <c r="E966" i="2" s="1"/>
  <c r="C966" i="2"/>
  <c r="F966" i="2" s="1"/>
  <c r="D967" i="2" l="1"/>
  <c r="E967" i="2" s="1"/>
  <c r="C967" i="2"/>
  <c r="F967" i="2" s="1"/>
  <c r="D968" i="2" l="1"/>
  <c r="E968" i="2" s="1"/>
  <c r="C968" i="2"/>
  <c r="F968" i="2" s="1"/>
  <c r="D969" i="2" l="1"/>
  <c r="E969" i="2" s="1"/>
  <c r="C969" i="2"/>
  <c r="F969" i="2" s="1"/>
  <c r="D970" i="2" l="1"/>
  <c r="E970" i="2" s="1"/>
  <c r="C970" i="2"/>
  <c r="F970" i="2" s="1"/>
  <c r="C971" i="2" l="1"/>
  <c r="F971" i="2" s="1"/>
  <c r="D971" i="2"/>
  <c r="E971" i="2" s="1"/>
  <c r="D972" i="2" l="1"/>
  <c r="E972" i="2" s="1"/>
  <c r="C972" i="2"/>
  <c r="F972" i="2" s="1"/>
  <c r="C973" i="2" l="1"/>
  <c r="F973" i="2" s="1"/>
  <c r="D973" i="2"/>
  <c r="E973" i="2" s="1"/>
  <c r="D974" i="2" l="1"/>
  <c r="E974" i="2" s="1"/>
  <c r="C974" i="2"/>
  <c r="F974" i="2" s="1"/>
  <c r="C975" i="2" l="1"/>
  <c r="F975" i="2" s="1"/>
  <c r="D975" i="2"/>
  <c r="E975" i="2" s="1"/>
  <c r="D976" i="2" l="1"/>
  <c r="E976" i="2" s="1"/>
  <c r="C976" i="2"/>
  <c r="F976" i="2" s="1"/>
  <c r="D977" i="2" l="1"/>
  <c r="E977" i="2" s="1"/>
  <c r="C977" i="2"/>
  <c r="F977" i="2" s="1"/>
  <c r="C978" i="2" l="1"/>
  <c r="F978" i="2" s="1"/>
  <c r="D978" i="2"/>
  <c r="E978" i="2" s="1"/>
  <c r="C979" i="2" l="1"/>
  <c r="F979" i="2" s="1"/>
  <c r="D979" i="2"/>
  <c r="E979" i="2" s="1"/>
  <c r="C980" i="2" l="1"/>
  <c r="F980" i="2" s="1"/>
  <c r="D980" i="2"/>
  <c r="E980" i="2" s="1"/>
  <c r="C981" i="2" l="1"/>
  <c r="F981" i="2" s="1"/>
  <c r="D981" i="2"/>
  <c r="E981" i="2" s="1"/>
  <c r="C982" i="2" l="1"/>
  <c r="F982" i="2" s="1"/>
  <c r="D982" i="2"/>
  <c r="E982" i="2" s="1"/>
  <c r="C983" i="2" l="1"/>
  <c r="F983" i="2" s="1"/>
  <c r="D983" i="2"/>
  <c r="E983" i="2" s="1"/>
  <c r="D984" i="2" l="1"/>
  <c r="E984" i="2" s="1"/>
  <c r="C984" i="2"/>
  <c r="F984" i="2" s="1"/>
  <c r="D985" i="2" l="1"/>
  <c r="E985" i="2" s="1"/>
  <c r="C985" i="2"/>
  <c r="F985" i="2" s="1"/>
  <c r="D986" i="2" l="1"/>
  <c r="E986" i="2" s="1"/>
  <c r="C986" i="2"/>
  <c r="F986" i="2" s="1"/>
  <c r="C987" i="2" l="1"/>
  <c r="F987" i="2" s="1"/>
  <c r="D987" i="2"/>
  <c r="E987" i="2" s="1"/>
  <c r="C988" i="2" l="1"/>
  <c r="F988" i="2" s="1"/>
  <c r="D988" i="2"/>
  <c r="E988" i="2" s="1"/>
  <c r="C989" i="2" l="1"/>
  <c r="F989" i="2" s="1"/>
  <c r="D989" i="2"/>
  <c r="E989" i="2" s="1"/>
  <c r="C990" i="2" l="1"/>
  <c r="F990" i="2" s="1"/>
  <c r="D990" i="2"/>
  <c r="E990" i="2" s="1"/>
  <c r="C991" i="2" l="1"/>
  <c r="F991" i="2" s="1"/>
  <c r="D991" i="2"/>
  <c r="E991" i="2" s="1"/>
  <c r="C992" i="2" l="1"/>
  <c r="F992" i="2" s="1"/>
  <c r="D992" i="2"/>
  <c r="E992" i="2" s="1"/>
  <c r="C993" i="2" l="1"/>
  <c r="F993" i="2" s="1"/>
  <c r="D993" i="2"/>
  <c r="E993" i="2" s="1"/>
  <c r="C994" i="2" l="1"/>
  <c r="F994" i="2" s="1"/>
  <c r="D994" i="2"/>
  <c r="E994" i="2" s="1"/>
  <c r="C995" i="2" l="1"/>
  <c r="F995" i="2" s="1"/>
  <c r="D995" i="2"/>
  <c r="E995" i="2" s="1"/>
  <c r="D996" i="2" l="1"/>
  <c r="E996" i="2" s="1"/>
  <c r="C996" i="2"/>
  <c r="F996" i="2" s="1"/>
  <c r="C997" i="2" l="1"/>
  <c r="F997" i="2" s="1"/>
  <c r="D997" i="2"/>
  <c r="E997" i="2" s="1"/>
  <c r="D998" i="2" l="1"/>
  <c r="E998" i="2" s="1"/>
  <c r="C998" i="2"/>
  <c r="F998" i="2" s="1"/>
  <c r="C999" i="2" l="1"/>
  <c r="F999" i="2" s="1"/>
  <c r="D999" i="2"/>
  <c r="E999" i="2" s="1"/>
  <c r="D1000" i="2" l="1"/>
  <c r="E1000" i="2" s="1"/>
  <c r="C1000" i="2"/>
  <c r="F1000" i="2" s="1"/>
  <c r="C1001" i="2" l="1"/>
  <c r="F1001" i="2" s="1"/>
  <c r="D1001" i="2"/>
  <c r="E1001" i="2" s="1"/>
  <c r="C1002" i="2" l="1"/>
  <c r="F1002" i="2" s="1"/>
  <c r="D1002" i="2"/>
  <c r="E1002" i="2" s="1"/>
  <c r="C1003" i="2" l="1"/>
  <c r="F1003" i="2" s="1"/>
  <c r="D1003" i="2"/>
  <c r="E1003" i="2" s="1"/>
  <c r="C1004" i="2" l="1"/>
  <c r="F1004" i="2" s="1"/>
  <c r="D1004" i="2"/>
  <c r="E1004" i="2" s="1"/>
  <c r="C1005" i="2" l="1"/>
  <c r="F1005" i="2" s="1"/>
  <c r="D1005" i="2"/>
  <c r="E1005" i="2" s="1"/>
  <c r="C1006" i="2" l="1"/>
  <c r="F1006" i="2" s="1"/>
  <c r="D1006" i="2"/>
  <c r="E1006" i="2" s="1"/>
  <c r="C1007" i="2" l="1"/>
  <c r="F1007" i="2" s="1"/>
  <c r="D1007" i="2"/>
  <c r="E1007" i="2" s="1"/>
  <c r="D1008" i="2" l="1"/>
  <c r="E1008" i="2" s="1"/>
  <c r="C1008" i="2"/>
  <c r="F1008" i="2" s="1"/>
  <c r="D1009" i="2" l="1"/>
  <c r="E1009" i="2" s="1"/>
  <c r="C1009" i="2"/>
  <c r="F1009" i="2" s="1"/>
  <c r="D1010" i="2" l="1"/>
  <c r="E1010" i="2" s="1"/>
  <c r="C1010" i="2"/>
  <c r="F1010" i="2" s="1"/>
  <c r="C1011" i="2" l="1"/>
  <c r="F1011" i="2" s="1"/>
  <c r="D1011" i="2"/>
  <c r="E1011" i="2" s="1"/>
  <c r="D1012" i="2" l="1"/>
  <c r="E1012" i="2" s="1"/>
  <c r="C1012" i="2"/>
  <c r="F1012" i="2" s="1"/>
  <c r="D1013" i="2" l="1"/>
  <c r="E1013" i="2" s="1"/>
  <c r="C1013" i="2"/>
  <c r="F1013" i="2" s="1"/>
  <c r="C1014" i="2" l="1"/>
  <c r="F1014" i="2" s="1"/>
  <c r="D1014" i="2"/>
  <c r="E1014" i="2" s="1"/>
  <c r="C1015" i="2" l="1"/>
  <c r="F1015" i="2" s="1"/>
  <c r="D1015" i="2"/>
  <c r="E1015" i="2" s="1"/>
  <c r="C1016" i="2" l="1"/>
  <c r="F1016" i="2" s="1"/>
  <c r="D1016" i="2"/>
  <c r="E1016" i="2" s="1"/>
  <c r="C1017" i="2" l="1"/>
  <c r="F1017" i="2" s="1"/>
  <c r="D1017" i="2"/>
  <c r="E1017" i="2" s="1"/>
  <c r="C1018" i="2" l="1"/>
  <c r="F1018" i="2" s="1"/>
  <c r="D1018" i="2"/>
  <c r="E1018" i="2" s="1"/>
  <c r="D1019" i="2" l="1"/>
  <c r="E1019" i="2" s="1"/>
  <c r="C1019" i="2"/>
  <c r="F1019" i="2" s="1"/>
  <c r="C1020" i="2" l="1"/>
  <c r="F1020" i="2" s="1"/>
  <c r="D1020" i="2"/>
  <c r="E1020" i="2" s="1"/>
  <c r="D1021" i="2" l="1"/>
  <c r="E1021" i="2" s="1"/>
  <c r="C1021" i="2"/>
  <c r="F1021" i="2" s="1"/>
  <c r="C1022" i="2" l="1"/>
  <c r="F1022" i="2" s="1"/>
  <c r="D1022" i="2"/>
  <c r="E1022" i="2" s="1"/>
  <c r="D1023" i="2" l="1"/>
  <c r="E1023" i="2" s="1"/>
  <c r="C1023" i="2"/>
  <c r="F1023" i="2" s="1"/>
  <c r="C1024" i="2" l="1"/>
  <c r="F1024" i="2" s="1"/>
  <c r="D1024" i="2"/>
  <c r="E1024" i="2" s="1"/>
  <c r="C1025" i="2" l="1"/>
  <c r="F1025" i="2" s="1"/>
  <c r="D1025" i="2"/>
  <c r="E1025" i="2" s="1"/>
  <c r="C1026" i="2" l="1"/>
  <c r="F1026" i="2" s="1"/>
  <c r="D1026" i="2"/>
  <c r="E1026" i="2" s="1"/>
  <c r="C1027" i="2" l="1"/>
  <c r="F1027" i="2" s="1"/>
  <c r="D1027" i="2"/>
  <c r="E1027" i="2" s="1"/>
  <c r="C1028" i="2" l="1"/>
  <c r="F1028" i="2" s="1"/>
  <c r="D1028" i="2"/>
  <c r="E1028" i="2" s="1"/>
  <c r="C1029" i="2" l="1"/>
  <c r="F1029" i="2" s="1"/>
  <c r="D1029" i="2"/>
  <c r="E1029" i="2" s="1"/>
  <c r="C1030" i="2" l="1"/>
  <c r="F1030" i="2" s="1"/>
  <c r="D1030" i="2"/>
  <c r="E1030" i="2" s="1"/>
  <c r="D1031" i="2" l="1"/>
  <c r="E1031" i="2" s="1"/>
  <c r="C1031" i="2"/>
  <c r="F1031" i="2" s="1"/>
  <c r="D1032" i="2" l="1"/>
  <c r="E1032" i="2" s="1"/>
  <c r="C1032" i="2"/>
  <c r="F1032" i="2" s="1"/>
  <c r="D1033" i="2" l="1"/>
  <c r="E1033" i="2" s="1"/>
  <c r="C1033" i="2"/>
  <c r="F1033" i="2" s="1"/>
  <c r="C1034" i="2" l="1"/>
  <c r="F1034" i="2" s="1"/>
  <c r="D1034" i="2"/>
  <c r="E1034" i="2" s="1"/>
  <c r="C1035" i="2" l="1"/>
  <c r="F1035" i="2" s="1"/>
  <c r="D1035" i="2"/>
  <c r="E1035" i="2" s="1"/>
  <c r="C1036" i="2" l="1"/>
  <c r="F1036" i="2" s="1"/>
  <c r="D1036" i="2"/>
  <c r="E1036" i="2" s="1"/>
  <c r="D1037" i="2" l="1"/>
  <c r="E1037" i="2" s="1"/>
  <c r="C1037" i="2"/>
  <c r="F1037" i="2" s="1"/>
  <c r="D1038" i="2" l="1"/>
  <c r="E1038" i="2" s="1"/>
  <c r="C1038" i="2"/>
  <c r="F1038" i="2" s="1"/>
  <c r="C1039" i="2" l="1"/>
  <c r="F1039" i="2" s="1"/>
  <c r="D1039" i="2"/>
  <c r="E1039" i="2" s="1"/>
  <c r="C1040" i="2" l="1"/>
  <c r="F1040" i="2" s="1"/>
  <c r="D1040" i="2"/>
  <c r="E1040" i="2" s="1"/>
  <c r="C1041" i="2" l="1"/>
  <c r="F1041" i="2" s="1"/>
  <c r="D1041" i="2"/>
  <c r="E1041" i="2" s="1"/>
  <c r="C1042" i="2" l="1"/>
  <c r="F1042" i="2" s="1"/>
  <c r="D1042" i="2"/>
  <c r="E1042" i="2" s="1"/>
  <c r="C1043" i="2" l="1"/>
  <c r="F1043" i="2" s="1"/>
  <c r="D1043" i="2"/>
  <c r="E1043" i="2" s="1"/>
  <c r="C1044" i="2" l="1"/>
  <c r="F1044" i="2" s="1"/>
  <c r="D1044" i="2"/>
  <c r="E1044" i="2" s="1"/>
  <c r="C1045" i="2" l="1"/>
  <c r="F1045" i="2" s="1"/>
  <c r="D1045" i="2"/>
  <c r="E1045" i="2" s="1"/>
  <c r="C1046" i="2" l="1"/>
  <c r="F1046" i="2" s="1"/>
  <c r="D1046" i="2"/>
  <c r="E1046" i="2" s="1"/>
  <c r="D1047" i="2" l="1"/>
  <c r="E1047" i="2" s="1"/>
  <c r="C1047" i="2"/>
  <c r="F1047" i="2" s="1"/>
  <c r="D1048" i="2" l="1"/>
  <c r="E1048" i="2" s="1"/>
  <c r="C1048" i="2"/>
  <c r="F1048" i="2" s="1"/>
  <c r="D1049" i="2" l="1"/>
  <c r="E1049" i="2" s="1"/>
  <c r="C1049" i="2"/>
  <c r="F1049" i="2" s="1"/>
  <c r="D1050" i="2" l="1"/>
  <c r="E1050" i="2" s="1"/>
  <c r="C1050" i="2"/>
  <c r="F1050" i="2" s="1"/>
  <c r="C1051" i="2" l="1"/>
  <c r="F1051" i="2" s="1"/>
  <c r="D1051" i="2"/>
  <c r="E1051" i="2" s="1"/>
  <c r="D1052" i="2" l="1"/>
  <c r="E1052" i="2" s="1"/>
  <c r="C1052" i="2"/>
  <c r="F1052" i="2" s="1"/>
  <c r="D1053" i="2" l="1"/>
  <c r="E1053" i="2" s="1"/>
  <c r="C1053" i="2"/>
  <c r="F1053" i="2" s="1"/>
  <c r="C1054" i="2" l="1"/>
  <c r="F1054" i="2" s="1"/>
  <c r="D1054" i="2"/>
  <c r="E1054" i="2" s="1"/>
  <c r="C1055" i="2" l="1"/>
  <c r="F1055" i="2" s="1"/>
  <c r="D1055" i="2"/>
  <c r="E1055" i="2" s="1"/>
  <c r="D1056" i="2" l="1"/>
  <c r="E1056" i="2" s="1"/>
  <c r="C1056" i="2"/>
  <c r="F1056" i="2" s="1"/>
  <c r="C1057" i="2" l="1"/>
  <c r="F1057" i="2" s="1"/>
  <c r="D1057" i="2"/>
  <c r="E1057" i="2" s="1"/>
  <c r="C1058" i="2" l="1"/>
  <c r="F1058" i="2" s="1"/>
  <c r="D1058" i="2"/>
  <c r="E1058" i="2" s="1"/>
  <c r="C1059" i="2" l="1"/>
  <c r="F1059" i="2" s="1"/>
  <c r="D1059" i="2"/>
  <c r="E1059" i="2" s="1"/>
  <c r="D1060" i="2" l="1"/>
  <c r="E1060" i="2" s="1"/>
  <c r="C1060" i="2"/>
  <c r="F1060" i="2" s="1"/>
  <c r="D1061" i="2" l="1"/>
  <c r="E1061" i="2" s="1"/>
  <c r="C1061" i="2"/>
  <c r="F1061" i="2" s="1"/>
  <c r="C1062" i="2" l="1"/>
  <c r="F1062" i="2" s="1"/>
  <c r="D1062" i="2"/>
  <c r="E1062" i="2" s="1"/>
  <c r="C1063" i="2" l="1"/>
  <c r="F1063" i="2" s="1"/>
  <c r="D1063" i="2"/>
  <c r="E1063" i="2" s="1"/>
  <c r="D1064" i="2" l="1"/>
  <c r="E1064" i="2" s="1"/>
  <c r="C1064" i="2"/>
  <c r="F1064" i="2" s="1"/>
  <c r="C1065" i="2" l="1"/>
  <c r="F1065" i="2" s="1"/>
  <c r="D1065" i="2"/>
  <c r="E1065" i="2" s="1"/>
  <c r="D1066" i="2" l="1"/>
  <c r="E1066" i="2" s="1"/>
  <c r="C1066" i="2"/>
  <c r="F1066" i="2" s="1"/>
  <c r="D1067" i="2" l="1"/>
  <c r="E1067" i="2" s="1"/>
  <c r="C1067" i="2"/>
  <c r="F1067" i="2" s="1"/>
  <c r="D1068" i="2" l="1"/>
  <c r="E1068" i="2" s="1"/>
  <c r="C1068" i="2"/>
  <c r="F1068" i="2" s="1"/>
  <c r="D1069" i="2" l="1"/>
  <c r="E1069" i="2" s="1"/>
  <c r="C1069" i="2"/>
  <c r="F1069" i="2" s="1"/>
  <c r="C1070" i="2" l="1"/>
  <c r="F1070" i="2" s="1"/>
  <c r="D1070" i="2"/>
  <c r="E1070" i="2" s="1"/>
  <c r="C1071" i="2" l="1"/>
  <c r="F1071" i="2" s="1"/>
  <c r="D1071" i="2"/>
  <c r="E1071" i="2" s="1"/>
  <c r="D1072" i="2" l="1"/>
  <c r="E1072" i="2" s="1"/>
  <c r="C1072" i="2"/>
  <c r="F1072" i="2" s="1"/>
  <c r="D1073" i="2" l="1"/>
  <c r="E1073" i="2" s="1"/>
  <c r="C1073" i="2"/>
  <c r="F1073" i="2" s="1"/>
  <c r="D1074" i="2" l="1"/>
  <c r="E1074" i="2" s="1"/>
  <c r="C1074" i="2"/>
  <c r="F1074" i="2" s="1"/>
  <c r="D1075" i="2" l="1"/>
  <c r="E1075" i="2" s="1"/>
  <c r="C1075" i="2"/>
  <c r="F1075" i="2" s="1"/>
  <c r="C1076" i="2" l="1"/>
  <c r="F1076" i="2" s="1"/>
  <c r="D1076" i="2"/>
  <c r="E1076" i="2" s="1"/>
  <c r="D1077" i="2" l="1"/>
  <c r="E1077" i="2" s="1"/>
  <c r="C1077" i="2"/>
  <c r="F1077" i="2" s="1"/>
  <c r="D1078" i="2" l="1"/>
  <c r="E1078" i="2" s="1"/>
  <c r="C1078" i="2"/>
  <c r="F1078" i="2" s="1"/>
  <c r="D1079" i="2" l="1"/>
  <c r="E1079" i="2" s="1"/>
  <c r="C1079" i="2"/>
  <c r="F1079" i="2" s="1"/>
  <c r="D1080" i="2" l="1"/>
  <c r="E1080" i="2" s="1"/>
  <c r="C1080" i="2"/>
  <c r="F1080" i="2" s="1"/>
  <c r="C1081" i="2" l="1"/>
  <c r="F1081" i="2" s="1"/>
  <c r="D1081" i="2"/>
  <c r="E1081" i="2" s="1"/>
  <c r="C1082" i="2" l="1"/>
  <c r="F1082" i="2" s="1"/>
  <c r="D1082" i="2"/>
  <c r="E1082" i="2" s="1"/>
  <c r="C1083" i="2" l="1"/>
  <c r="F1083" i="2" s="1"/>
  <c r="D1083" i="2"/>
  <c r="E1083" i="2" s="1"/>
  <c r="C1084" i="2" l="1"/>
  <c r="F1084" i="2" s="1"/>
  <c r="D1084" i="2"/>
  <c r="E1084" i="2" s="1"/>
  <c r="D1085" i="2" l="1"/>
  <c r="E1085" i="2" s="1"/>
  <c r="C1085" i="2"/>
  <c r="F1085" i="2" s="1"/>
  <c r="D1086" i="2" l="1"/>
  <c r="E1086" i="2" s="1"/>
  <c r="C1086" i="2"/>
  <c r="F1086" i="2" s="1"/>
  <c r="C1087" i="2" l="1"/>
  <c r="F1087" i="2" s="1"/>
  <c r="D1087" i="2"/>
  <c r="E1087" i="2" s="1"/>
  <c r="D1088" i="2" l="1"/>
  <c r="E1088" i="2" s="1"/>
  <c r="C1088" i="2"/>
  <c r="F1088" i="2" s="1"/>
  <c r="D1089" i="2" l="1"/>
  <c r="E1089" i="2" s="1"/>
  <c r="C1089" i="2"/>
  <c r="F1089" i="2" s="1"/>
  <c r="D1090" i="2" l="1"/>
  <c r="E1090" i="2" s="1"/>
  <c r="C1090" i="2"/>
  <c r="F1090" i="2" s="1"/>
  <c r="D1091" i="2" l="1"/>
  <c r="E1091" i="2" s="1"/>
  <c r="C1091" i="2"/>
  <c r="F1091" i="2" s="1"/>
  <c r="D1092" i="2" l="1"/>
  <c r="E1092" i="2" s="1"/>
  <c r="C1092" i="2"/>
  <c r="F1092" i="2" s="1"/>
  <c r="D1093" i="2" l="1"/>
  <c r="E1093" i="2" s="1"/>
  <c r="C1093" i="2"/>
  <c r="F1093" i="2" s="1"/>
  <c r="C1094" i="2" l="1"/>
  <c r="F1094" i="2" s="1"/>
  <c r="D1094" i="2"/>
  <c r="E1094" i="2" s="1"/>
  <c r="C1095" i="2" l="1"/>
  <c r="F1095" i="2" s="1"/>
  <c r="D1095" i="2"/>
  <c r="E1095" i="2" s="1"/>
  <c r="D1096" i="2" l="1"/>
  <c r="E1096" i="2" s="1"/>
  <c r="C1096" i="2"/>
  <c r="F1096" i="2" s="1"/>
  <c r="C1097" i="2" l="1"/>
  <c r="F1097" i="2" s="1"/>
  <c r="D1097" i="2"/>
  <c r="E1097" i="2" s="1"/>
  <c r="D1098" i="2" l="1"/>
  <c r="E1098" i="2" s="1"/>
  <c r="C1098" i="2"/>
  <c r="F1098" i="2" s="1"/>
  <c r="D1099" i="2" l="1"/>
  <c r="E1099" i="2" s="1"/>
  <c r="C1099" i="2"/>
  <c r="F1099" i="2" s="1"/>
  <c r="D1100" i="2" l="1"/>
  <c r="E1100" i="2" s="1"/>
  <c r="C1100" i="2"/>
  <c r="F1100" i="2" s="1"/>
  <c r="C1101" i="2" l="1"/>
  <c r="F1101" i="2" s="1"/>
  <c r="D1101" i="2"/>
  <c r="E1101" i="2" s="1"/>
  <c r="C1102" i="2" l="1"/>
  <c r="F1102" i="2" s="1"/>
  <c r="D1102" i="2"/>
  <c r="E1102" i="2" s="1"/>
  <c r="C1103" i="2" l="1"/>
  <c r="F1103" i="2" s="1"/>
  <c r="D1103" i="2"/>
  <c r="E1103" i="2" s="1"/>
  <c r="D1104" i="2" l="1"/>
  <c r="E1104" i="2" s="1"/>
  <c r="C1104" i="2"/>
  <c r="F1104" i="2" s="1"/>
  <c r="D1105" i="2" l="1"/>
  <c r="E1105" i="2" s="1"/>
  <c r="C1105" i="2"/>
  <c r="F1105" i="2" s="1"/>
  <c r="C1106" i="2" l="1"/>
  <c r="F1106" i="2" s="1"/>
  <c r="D1106" i="2"/>
  <c r="E1106" i="2" s="1"/>
  <c r="D1107" i="2" l="1"/>
  <c r="E1107" i="2" s="1"/>
  <c r="C1107" i="2"/>
  <c r="F1107" i="2" s="1"/>
  <c r="D1108" i="2" l="1"/>
  <c r="E1108" i="2" s="1"/>
  <c r="C1108" i="2"/>
  <c r="F1108" i="2" s="1"/>
  <c r="C1109" i="2" l="1"/>
  <c r="F1109" i="2" s="1"/>
  <c r="D1109" i="2"/>
  <c r="E1109" i="2" s="1"/>
  <c r="C1110" i="2" l="1"/>
  <c r="F1110" i="2" s="1"/>
  <c r="D1110" i="2"/>
  <c r="E1110" i="2" s="1"/>
  <c r="C1111" i="2" l="1"/>
  <c r="F1111" i="2" s="1"/>
  <c r="D1111" i="2"/>
  <c r="E1111" i="2" s="1"/>
  <c r="D1112" i="2" l="1"/>
  <c r="E1112" i="2" s="1"/>
  <c r="C1112" i="2"/>
  <c r="F1112" i="2" s="1"/>
  <c r="C1113" i="2" l="1"/>
  <c r="F1113" i="2" s="1"/>
  <c r="D1113" i="2"/>
  <c r="E1113" i="2" s="1"/>
  <c r="C1114" i="2" l="1"/>
  <c r="F1114" i="2" s="1"/>
  <c r="D1114" i="2"/>
  <c r="E1114" i="2" s="1"/>
  <c r="D1115" i="2" l="1"/>
  <c r="E1115" i="2" s="1"/>
  <c r="C1115" i="2"/>
  <c r="F1115" i="2" s="1"/>
  <c r="C1116" i="2" l="1"/>
  <c r="F1116" i="2" s="1"/>
  <c r="D1116" i="2"/>
  <c r="E1116" i="2" s="1"/>
  <c r="C1117" i="2" l="1"/>
  <c r="F1117" i="2" s="1"/>
  <c r="D1117" i="2"/>
  <c r="E1117" i="2" s="1"/>
  <c r="D1118" i="2" l="1"/>
  <c r="E1118" i="2" s="1"/>
  <c r="C1118" i="2"/>
  <c r="F1118" i="2" s="1"/>
  <c r="C1119" i="2" l="1"/>
  <c r="F1119" i="2" s="1"/>
  <c r="D1119" i="2"/>
  <c r="E1119" i="2" s="1"/>
  <c r="C1120" i="2" l="1"/>
  <c r="F1120" i="2" s="1"/>
  <c r="D1120" i="2"/>
  <c r="E1120" i="2" s="1"/>
  <c r="D1121" i="2" l="1"/>
  <c r="E1121" i="2" s="1"/>
  <c r="C1121" i="2"/>
  <c r="F1121" i="2" s="1"/>
  <c r="C1122" i="2" l="1"/>
  <c r="F1122" i="2" s="1"/>
  <c r="D1122" i="2"/>
  <c r="E1122" i="2" s="1"/>
  <c r="C1123" i="2" l="1"/>
  <c r="F1123" i="2" s="1"/>
  <c r="D1123" i="2"/>
  <c r="E1123" i="2" s="1"/>
  <c r="C1124" i="2" l="1"/>
  <c r="F1124" i="2" s="1"/>
  <c r="D1124" i="2"/>
  <c r="E1124" i="2" s="1"/>
  <c r="C1125" i="2" l="1"/>
  <c r="F1125" i="2" s="1"/>
  <c r="D1125" i="2"/>
  <c r="E1125" i="2" s="1"/>
  <c r="C1126" i="2" l="1"/>
  <c r="F1126" i="2" s="1"/>
  <c r="D1126" i="2"/>
  <c r="E1126" i="2" s="1"/>
  <c r="D1127" i="2" l="1"/>
  <c r="E1127" i="2" s="1"/>
  <c r="C1127" i="2"/>
  <c r="F1127" i="2" s="1"/>
  <c r="D1128" i="2" l="1"/>
  <c r="E1128" i="2" s="1"/>
  <c r="C1128" i="2"/>
  <c r="F1128" i="2" s="1"/>
  <c r="C1129" i="2" l="1"/>
  <c r="F1129" i="2" s="1"/>
  <c r="D1129" i="2"/>
  <c r="E1129" i="2" s="1"/>
  <c r="C1130" i="2" l="1"/>
  <c r="F1130" i="2" s="1"/>
  <c r="D1130" i="2"/>
  <c r="E1130" i="2" s="1"/>
  <c r="C1131" i="2" l="1"/>
  <c r="F1131" i="2" s="1"/>
  <c r="D1131" i="2"/>
  <c r="E1131" i="2" s="1"/>
  <c r="C1132" i="2" l="1"/>
  <c r="F1132" i="2" s="1"/>
  <c r="D1132" i="2"/>
  <c r="E1132" i="2" s="1"/>
  <c r="C1133" i="2" l="1"/>
  <c r="F1133" i="2" s="1"/>
  <c r="D1133" i="2"/>
  <c r="E1133" i="2" s="1"/>
  <c r="C1134" i="2" l="1"/>
  <c r="F1134" i="2" s="1"/>
  <c r="D1134" i="2"/>
  <c r="E1134" i="2" s="1"/>
  <c r="C1135" i="2" l="1"/>
  <c r="F1135" i="2" s="1"/>
  <c r="D1135" i="2"/>
  <c r="E1135" i="2" s="1"/>
  <c r="D1136" i="2" l="1"/>
  <c r="E1136" i="2" s="1"/>
  <c r="C1136" i="2"/>
  <c r="F1136" i="2" s="1"/>
  <c r="C1137" i="2" l="1"/>
  <c r="F1137" i="2" s="1"/>
  <c r="D1137" i="2"/>
  <c r="E1137" i="2" s="1"/>
  <c r="C1138" i="2" l="1"/>
  <c r="F1138" i="2" s="1"/>
  <c r="D1138" i="2"/>
  <c r="E1138" i="2" s="1"/>
  <c r="D1139" i="2" l="1"/>
  <c r="E1139" i="2" s="1"/>
  <c r="C1139" i="2"/>
  <c r="F1139" i="2" s="1"/>
  <c r="C1140" i="2" l="1"/>
  <c r="F1140" i="2" s="1"/>
  <c r="D1140" i="2"/>
  <c r="E1140" i="2" s="1"/>
  <c r="C1141" i="2" l="1"/>
  <c r="F1141" i="2" s="1"/>
  <c r="D1141" i="2"/>
  <c r="E1141" i="2" s="1"/>
  <c r="C1142" i="2" l="1"/>
  <c r="F1142" i="2" s="1"/>
  <c r="D1142" i="2"/>
  <c r="E1142" i="2" s="1"/>
  <c r="C1143" i="2" l="1"/>
  <c r="F1143" i="2" s="1"/>
  <c r="D1143" i="2"/>
  <c r="E1143" i="2" s="1"/>
  <c r="D1144" i="2" l="1"/>
  <c r="E1144" i="2" s="1"/>
  <c r="C1144" i="2"/>
  <c r="F1144" i="2" s="1"/>
  <c r="C1145" i="2" l="1"/>
  <c r="F1145" i="2" s="1"/>
  <c r="D1145" i="2"/>
  <c r="E1145" i="2" s="1"/>
  <c r="C1146" i="2" l="1"/>
  <c r="F1146" i="2" s="1"/>
  <c r="D1146" i="2"/>
  <c r="E1146" i="2" s="1"/>
  <c r="D1147" i="2" l="1"/>
  <c r="E1147" i="2" s="1"/>
  <c r="C1147" i="2"/>
  <c r="F1147" i="2" s="1"/>
  <c r="C1148" i="2" l="1"/>
  <c r="F1148" i="2" s="1"/>
  <c r="D1148" i="2"/>
  <c r="E1148" i="2" s="1"/>
  <c r="C1149" i="2" l="1"/>
  <c r="F1149" i="2" s="1"/>
  <c r="D1149" i="2"/>
  <c r="E1149" i="2" s="1"/>
  <c r="C1150" i="2" l="1"/>
  <c r="F1150" i="2" s="1"/>
  <c r="D1150" i="2"/>
  <c r="E1150" i="2" s="1"/>
  <c r="D1151" i="2" l="1"/>
  <c r="E1151" i="2" s="1"/>
  <c r="C1151" i="2"/>
  <c r="F1151" i="2" s="1"/>
  <c r="D1152" i="2" l="1"/>
  <c r="E1152" i="2" s="1"/>
  <c r="C1152" i="2"/>
  <c r="F1152" i="2" s="1"/>
  <c r="C1153" i="2" l="1"/>
  <c r="F1153" i="2" s="1"/>
  <c r="D1153" i="2"/>
  <c r="E1153" i="2" s="1"/>
  <c r="C1154" i="2" l="1"/>
  <c r="F1154" i="2" s="1"/>
  <c r="D1154" i="2"/>
  <c r="E1154" i="2" s="1"/>
  <c r="C1155" i="2" l="1"/>
  <c r="F1155" i="2" s="1"/>
  <c r="D1155" i="2"/>
  <c r="E1155" i="2" s="1"/>
  <c r="C1156" i="2" l="1"/>
  <c r="F1156" i="2" s="1"/>
  <c r="D1156" i="2"/>
  <c r="E1156" i="2" s="1"/>
  <c r="C1157" i="2" l="1"/>
  <c r="F1157" i="2" s="1"/>
  <c r="D1157" i="2"/>
  <c r="E1157" i="2" s="1"/>
  <c r="C1158" i="2" l="1"/>
  <c r="F1158" i="2" s="1"/>
  <c r="D1158" i="2"/>
  <c r="E1158" i="2" s="1"/>
  <c r="C1159" i="2" l="1"/>
  <c r="F1159" i="2" s="1"/>
  <c r="D1159" i="2"/>
  <c r="E1159" i="2" s="1"/>
  <c r="D1160" i="2" l="1"/>
  <c r="E1160" i="2" s="1"/>
  <c r="C1160" i="2"/>
  <c r="F1160" i="2" s="1"/>
  <c r="C1161" i="2" l="1"/>
  <c r="F1161" i="2" s="1"/>
  <c r="D1161" i="2"/>
  <c r="E1161" i="2" s="1"/>
  <c r="C1162" i="2" l="1"/>
  <c r="F1162" i="2" s="1"/>
  <c r="D1162" i="2"/>
  <c r="E1162" i="2" s="1"/>
  <c r="D1163" i="2" l="1"/>
  <c r="E1163" i="2" s="1"/>
  <c r="C1163" i="2"/>
  <c r="F1163" i="2" s="1"/>
  <c r="D1164" i="2" l="1"/>
  <c r="E1164" i="2" s="1"/>
  <c r="C1164" i="2"/>
  <c r="F1164" i="2" s="1"/>
  <c r="D1165" i="2" l="1"/>
  <c r="E1165" i="2" s="1"/>
  <c r="C1165" i="2"/>
  <c r="F1165" i="2" s="1"/>
  <c r="C1166" i="2" l="1"/>
  <c r="F1166" i="2" s="1"/>
  <c r="D1166" i="2"/>
  <c r="E1166" i="2" s="1"/>
  <c r="C1167" i="2" l="1"/>
  <c r="F1167" i="2" s="1"/>
  <c r="D1167" i="2"/>
  <c r="E1167" i="2" s="1"/>
  <c r="D1168" i="2" l="1"/>
  <c r="E1168" i="2" s="1"/>
  <c r="C1168" i="2"/>
  <c r="F1168" i="2" s="1"/>
  <c r="C1169" i="2" l="1"/>
  <c r="F1169" i="2" s="1"/>
  <c r="D1169" i="2"/>
  <c r="E1169" i="2" s="1"/>
  <c r="C1170" i="2" l="1"/>
  <c r="F1170" i="2" s="1"/>
  <c r="D1170" i="2"/>
  <c r="E1170" i="2" s="1"/>
  <c r="D1171" i="2" l="1"/>
  <c r="E1171" i="2" s="1"/>
  <c r="C1171" i="2"/>
  <c r="F1171" i="2" s="1"/>
  <c r="C1172" i="2" l="1"/>
  <c r="F1172" i="2" s="1"/>
  <c r="D1172" i="2"/>
  <c r="E1172" i="2" s="1"/>
  <c r="D1173" i="2" l="1"/>
  <c r="E1173" i="2" s="1"/>
  <c r="C1173" i="2"/>
  <c r="F1173" i="2" s="1"/>
  <c r="D1174" i="2" l="1"/>
  <c r="E1174" i="2" s="1"/>
  <c r="C1174" i="2"/>
  <c r="F1174" i="2" s="1"/>
  <c r="C1175" i="2" l="1"/>
  <c r="F1175" i="2" s="1"/>
  <c r="D1175" i="2"/>
  <c r="E1175" i="2" s="1"/>
  <c r="C1176" i="2" l="1"/>
  <c r="F1176" i="2" s="1"/>
  <c r="D1176" i="2"/>
  <c r="E1176" i="2" s="1"/>
  <c r="D1177" i="2" l="1"/>
  <c r="E1177" i="2" s="1"/>
  <c r="C1177" i="2"/>
  <c r="F1177" i="2" s="1"/>
  <c r="D1178" i="2" l="1"/>
  <c r="E1178" i="2" s="1"/>
  <c r="C1178" i="2"/>
  <c r="F1178" i="2" s="1"/>
  <c r="D1179" i="2" l="1"/>
  <c r="E1179" i="2" s="1"/>
  <c r="C1179" i="2"/>
  <c r="F1179" i="2" s="1"/>
  <c r="D1180" i="2" l="1"/>
  <c r="E1180" i="2" s="1"/>
  <c r="C1180" i="2"/>
  <c r="F1180" i="2" s="1"/>
  <c r="C1181" i="2" l="1"/>
  <c r="F1181" i="2" s="1"/>
  <c r="D1181" i="2"/>
  <c r="E1181" i="2" s="1"/>
  <c r="C1182" i="2" l="1"/>
  <c r="F1182" i="2" s="1"/>
  <c r="D1182" i="2"/>
  <c r="E1182" i="2" s="1"/>
  <c r="D1183" i="2" l="1"/>
  <c r="E1183" i="2" s="1"/>
  <c r="C1183" i="2"/>
  <c r="F1183" i="2" s="1"/>
  <c r="D1184" i="2" l="1"/>
  <c r="E1184" i="2" s="1"/>
  <c r="C1184" i="2"/>
  <c r="F1184" i="2" s="1"/>
  <c r="C1185" i="2" l="1"/>
  <c r="F1185" i="2" s="1"/>
  <c r="D1185" i="2"/>
  <c r="E1185" i="2" s="1"/>
  <c r="C1186" i="2" l="1"/>
  <c r="F1186" i="2" s="1"/>
  <c r="D1186" i="2"/>
  <c r="E1186" i="2" s="1"/>
  <c r="C1187" i="2" l="1"/>
  <c r="F1187" i="2" s="1"/>
  <c r="D1187" i="2"/>
  <c r="E1187" i="2" s="1"/>
  <c r="D1188" i="2" l="1"/>
  <c r="E1188" i="2" s="1"/>
  <c r="C1188" i="2"/>
  <c r="F1188" i="2" s="1"/>
  <c r="C1189" i="2" l="1"/>
  <c r="F1189" i="2" s="1"/>
  <c r="D1189" i="2"/>
  <c r="E1189" i="2" s="1"/>
  <c r="C1190" i="2" l="1"/>
  <c r="F1190" i="2" s="1"/>
  <c r="D1190" i="2"/>
  <c r="E1190" i="2" s="1"/>
  <c r="C1191" i="2" l="1"/>
  <c r="F1191" i="2" s="1"/>
  <c r="D1191" i="2"/>
  <c r="E1191" i="2" s="1"/>
  <c r="C1192" i="2" l="1"/>
  <c r="F1192" i="2" s="1"/>
  <c r="D1192" i="2"/>
  <c r="E1192" i="2" s="1"/>
  <c r="C1193" i="2" l="1"/>
  <c r="F1193" i="2" s="1"/>
  <c r="D1193" i="2"/>
  <c r="E1193" i="2" s="1"/>
  <c r="C1194" i="2" l="1"/>
  <c r="F1194" i="2" s="1"/>
  <c r="D1194" i="2"/>
  <c r="E1194" i="2" s="1"/>
  <c r="C1195" i="2" l="1"/>
  <c r="F1195" i="2" s="1"/>
  <c r="D1195" i="2"/>
  <c r="E1195" i="2" s="1"/>
  <c r="C1196" i="2" l="1"/>
  <c r="F1196" i="2" s="1"/>
  <c r="D1196" i="2"/>
  <c r="E1196" i="2" s="1"/>
  <c r="C1197" i="2" l="1"/>
  <c r="F1197" i="2" s="1"/>
  <c r="D1197" i="2"/>
  <c r="E1197" i="2" s="1"/>
  <c r="D1198" i="2" l="1"/>
  <c r="E1198" i="2" s="1"/>
  <c r="C1198" i="2"/>
  <c r="F1198" i="2" s="1"/>
  <c r="C1199" i="2" l="1"/>
  <c r="F1199" i="2" s="1"/>
  <c r="D1199" i="2"/>
  <c r="E1199" i="2" s="1"/>
  <c r="D1200" i="2" l="1"/>
  <c r="E1200" i="2" s="1"/>
  <c r="C1200" i="2"/>
  <c r="F1200" i="2" s="1"/>
  <c r="D1201" i="2" l="1"/>
  <c r="E1201" i="2" s="1"/>
  <c r="C1201" i="2"/>
  <c r="F1201" i="2" s="1"/>
  <c r="C1202" i="2" l="1"/>
  <c r="F1202" i="2" s="1"/>
  <c r="D1202" i="2"/>
  <c r="E1202" i="2" s="1"/>
  <c r="C1203" i="2" l="1"/>
  <c r="F1203" i="2" s="1"/>
  <c r="D1203" i="2"/>
  <c r="E1203" i="2" s="1"/>
  <c r="D1204" i="2" l="1"/>
  <c r="E1204" i="2" s="1"/>
  <c r="C1204" i="2"/>
  <c r="F1204" i="2" s="1"/>
  <c r="C1205" i="2" l="1"/>
  <c r="F1205" i="2" s="1"/>
  <c r="D1205" i="2"/>
  <c r="E1205" i="2" s="1"/>
  <c r="D1206" i="2" l="1"/>
  <c r="E1206" i="2" s="1"/>
  <c r="C1206" i="2"/>
  <c r="F1206" i="2" s="1"/>
  <c r="C1207" i="2" l="1"/>
  <c r="F1207" i="2" s="1"/>
  <c r="D1207" i="2"/>
  <c r="E1207" i="2" s="1"/>
  <c r="D1208" i="2" l="1"/>
  <c r="E1208" i="2" s="1"/>
  <c r="C1208" i="2"/>
  <c r="F1208" i="2" s="1"/>
  <c r="C1209" i="2" l="1"/>
  <c r="F1209" i="2" s="1"/>
  <c r="D1209" i="2"/>
  <c r="E1209" i="2" s="1"/>
  <c r="C1210" i="2" l="1"/>
  <c r="F1210" i="2" s="1"/>
  <c r="D1210" i="2"/>
  <c r="E1210" i="2" s="1"/>
  <c r="C1211" i="2" l="1"/>
  <c r="F1211" i="2" s="1"/>
  <c r="D1211" i="2"/>
  <c r="E1211" i="2" s="1"/>
  <c r="C1212" i="2" l="1"/>
  <c r="F1212" i="2" s="1"/>
  <c r="D1212" i="2"/>
  <c r="E1212" i="2" s="1"/>
  <c r="D1213" i="2" l="1"/>
  <c r="E1213" i="2" s="1"/>
  <c r="C1213" i="2"/>
  <c r="F1213" i="2" s="1"/>
  <c r="C1214" i="2" l="1"/>
  <c r="F1214" i="2" s="1"/>
  <c r="D1214" i="2"/>
  <c r="E1214" i="2" s="1"/>
  <c r="C1215" i="2" l="1"/>
  <c r="F1215" i="2" s="1"/>
  <c r="D1215" i="2"/>
  <c r="E1215" i="2" s="1"/>
  <c r="D1216" i="2" l="1"/>
  <c r="E1216" i="2" s="1"/>
  <c r="C1216" i="2"/>
  <c r="F1216" i="2" s="1"/>
  <c r="C1217" i="2" l="1"/>
  <c r="F1217" i="2" s="1"/>
  <c r="D1217" i="2"/>
  <c r="E1217" i="2" s="1"/>
  <c r="D1218" i="2" l="1"/>
  <c r="E1218" i="2" s="1"/>
  <c r="C1218" i="2"/>
  <c r="F1218" i="2" s="1"/>
  <c r="C1219" i="2" l="1"/>
  <c r="F1219" i="2" s="1"/>
  <c r="D1219" i="2"/>
  <c r="E1219" i="2" s="1"/>
  <c r="D1220" i="2" l="1"/>
  <c r="E1220" i="2" s="1"/>
  <c r="C1220" i="2"/>
  <c r="F1220" i="2" s="1"/>
  <c r="C1221" i="2" l="1"/>
  <c r="F1221" i="2" s="1"/>
  <c r="D1221" i="2"/>
  <c r="E1221" i="2" s="1"/>
  <c r="C1222" i="2" l="1"/>
  <c r="F1222" i="2" s="1"/>
  <c r="D1222" i="2"/>
  <c r="E1222" i="2" s="1"/>
  <c r="C1223" i="2" l="1"/>
  <c r="F1223" i="2" s="1"/>
  <c r="D1223" i="2"/>
  <c r="E1223" i="2" s="1"/>
  <c r="D1224" i="2" l="1"/>
  <c r="E1224" i="2" s="1"/>
  <c r="C1224" i="2"/>
  <c r="F1224" i="2" s="1"/>
  <c r="C1225" i="2" l="1"/>
  <c r="F1225" i="2" s="1"/>
  <c r="D1225" i="2"/>
  <c r="E1225" i="2" s="1"/>
  <c r="C1226" i="2" l="1"/>
  <c r="F1226" i="2" s="1"/>
  <c r="D1226" i="2"/>
  <c r="E1226" i="2" s="1"/>
  <c r="D1227" i="2" l="1"/>
  <c r="E1227" i="2" s="1"/>
  <c r="C1227" i="2"/>
  <c r="F1227" i="2" s="1"/>
  <c r="C1228" i="2" l="1"/>
  <c r="F1228" i="2" s="1"/>
  <c r="D1228" i="2"/>
  <c r="E1228" i="2" s="1"/>
  <c r="C1229" i="2" l="1"/>
  <c r="F1229" i="2" s="1"/>
  <c r="D1229" i="2"/>
  <c r="E1229" i="2" s="1"/>
  <c r="D1230" i="2" l="1"/>
  <c r="E1230" i="2" s="1"/>
  <c r="C1230" i="2"/>
  <c r="F1230" i="2" s="1"/>
  <c r="D1231" i="2" l="1"/>
  <c r="E1231" i="2" s="1"/>
  <c r="C1231" i="2"/>
  <c r="F1231" i="2" s="1"/>
  <c r="D1232" i="2" l="1"/>
  <c r="E1232" i="2" s="1"/>
  <c r="C1232" i="2"/>
  <c r="F1232" i="2" s="1"/>
  <c r="C1233" i="2" l="1"/>
  <c r="F1233" i="2" s="1"/>
  <c r="D1233" i="2"/>
  <c r="E1233" i="2" s="1"/>
  <c r="C1234" i="2" l="1"/>
  <c r="F1234" i="2" s="1"/>
  <c r="D1234" i="2"/>
  <c r="E1234" i="2" s="1"/>
  <c r="D1235" i="2" l="1"/>
  <c r="E1235" i="2" s="1"/>
  <c r="C1235" i="2"/>
  <c r="F1235" i="2" s="1"/>
  <c r="D1236" i="2" l="1"/>
  <c r="E1236" i="2" s="1"/>
  <c r="C1236" i="2"/>
  <c r="F1236" i="2" s="1"/>
  <c r="C1237" i="2" l="1"/>
  <c r="F1237" i="2" s="1"/>
  <c r="D1237" i="2"/>
  <c r="E1237" i="2" s="1"/>
  <c r="C1238" i="2" l="1"/>
  <c r="F1238" i="2" s="1"/>
  <c r="D1238" i="2"/>
  <c r="E1238" i="2" s="1"/>
  <c r="D1239" i="2" l="1"/>
  <c r="E1239" i="2" s="1"/>
  <c r="C1239" i="2"/>
  <c r="F1239" i="2" s="1"/>
  <c r="D1240" i="2" l="1"/>
  <c r="E1240" i="2" s="1"/>
  <c r="C1240" i="2"/>
  <c r="F1240" i="2" s="1"/>
  <c r="C1241" i="2" l="1"/>
  <c r="F1241" i="2" s="1"/>
  <c r="D1241" i="2"/>
  <c r="E1241" i="2" s="1"/>
  <c r="C1242" i="2" l="1"/>
  <c r="F1242" i="2" s="1"/>
  <c r="D1242" i="2"/>
  <c r="E1242" i="2" s="1"/>
  <c r="C1243" i="2" l="1"/>
  <c r="F1243" i="2" s="1"/>
  <c r="D1243" i="2"/>
  <c r="E1243" i="2" s="1"/>
  <c r="C1244" i="2" l="1"/>
  <c r="F1244" i="2" s="1"/>
  <c r="D1244" i="2"/>
  <c r="E1244" i="2" s="1"/>
  <c r="C1245" i="2" l="1"/>
  <c r="F1245" i="2" s="1"/>
  <c r="D1245" i="2"/>
  <c r="E1245" i="2" s="1"/>
  <c r="C1246" i="2" l="1"/>
  <c r="F1246" i="2" s="1"/>
  <c r="D1246" i="2"/>
  <c r="E1246" i="2" s="1"/>
  <c r="D1247" i="2" l="1"/>
  <c r="E1247" i="2" s="1"/>
  <c r="C1247" i="2"/>
  <c r="F1247" i="2" s="1"/>
  <c r="D1248" i="2" l="1"/>
  <c r="E1248" i="2" s="1"/>
  <c r="C1248" i="2"/>
  <c r="F1248" i="2" s="1"/>
  <c r="C1249" i="2" l="1"/>
  <c r="F1249" i="2" s="1"/>
  <c r="D1249" i="2"/>
  <c r="E1249" i="2" s="1"/>
  <c r="D1250" i="2" l="1"/>
  <c r="E1250" i="2" s="1"/>
  <c r="C1250" i="2"/>
  <c r="F1250" i="2" s="1"/>
  <c r="D1251" i="2" l="1"/>
  <c r="E1251" i="2" s="1"/>
  <c r="C1251" i="2"/>
  <c r="F1251" i="2" s="1"/>
  <c r="D1252" i="2" l="1"/>
  <c r="E1252" i="2" s="1"/>
  <c r="C1252" i="2"/>
  <c r="F1252" i="2" s="1"/>
  <c r="C1253" i="2" l="1"/>
  <c r="F1253" i="2" s="1"/>
  <c r="D1253" i="2"/>
  <c r="E1253" i="2" s="1"/>
  <c r="C1254" i="2" l="1"/>
  <c r="F1254" i="2" s="1"/>
  <c r="D1254" i="2"/>
  <c r="E1254" i="2" s="1"/>
  <c r="D1255" i="2" l="1"/>
  <c r="E1255" i="2" s="1"/>
  <c r="C1255" i="2"/>
  <c r="F1255" i="2" s="1"/>
  <c r="D1256" i="2" l="1"/>
  <c r="E1256" i="2" s="1"/>
  <c r="C1256" i="2"/>
  <c r="F1256" i="2" s="1"/>
  <c r="D1257" i="2" l="1"/>
  <c r="E1257" i="2" s="1"/>
  <c r="C1257" i="2"/>
  <c r="F1257" i="2" s="1"/>
  <c r="C1258" i="2" l="1"/>
  <c r="F1258" i="2" s="1"/>
  <c r="D1258" i="2"/>
  <c r="E1258" i="2" s="1"/>
  <c r="D1259" i="2" l="1"/>
  <c r="E1259" i="2" s="1"/>
  <c r="C1259" i="2"/>
  <c r="F1259" i="2" s="1"/>
  <c r="C1260" i="2" l="1"/>
  <c r="F1260" i="2" s="1"/>
  <c r="D1260" i="2"/>
  <c r="E1260" i="2" s="1"/>
  <c r="C1261" i="2" l="1"/>
  <c r="F1261" i="2" s="1"/>
  <c r="D1261" i="2"/>
  <c r="E1261" i="2" s="1"/>
  <c r="D1262" i="2" l="1"/>
  <c r="E1262" i="2" s="1"/>
  <c r="C1262" i="2"/>
  <c r="F1262" i="2" s="1"/>
  <c r="C1263" i="2" l="1"/>
  <c r="F1263" i="2" s="1"/>
  <c r="D1263" i="2"/>
  <c r="E1263" i="2" s="1"/>
  <c r="D1264" i="2" l="1"/>
  <c r="E1264" i="2" s="1"/>
  <c r="C1264" i="2"/>
  <c r="F1264" i="2" s="1"/>
  <c r="D1265" i="2" l="1"/>
  <c r="E1265" i="2" s="1"/>
  <c r="C1265" i="2"/>
  <c r="F1265" i="2" s="1"/>
  <c r="C1266" i="2" l="1"/>
  <c r="F1266" i="2" s="1"/>
  <c r="D1266" i="2"/>
  <c r="E1266" i="2" s="1"/>
  <c r="C1267" i="2" l="1"/>
  <c r="F1267" i="2" s="1"/>
  <c r="D1267" i="2"/>
  <c r="E1267" i="2" s="1"/>
  <c r="D1268" i="2" l="1"/>
  <c r="E1268" i="2" s="1"/>
  <c r="C1268" i="2"/>
  <c r="F1268" i="2" s="1"/>
  <c r="C1269" i="2" l="1"/>
  <c r="F1269" i="2" s="1"/>
  <c r="D1269" i="2"/>
  <c r="E1269" i="2" s="1"/>
  <c r="C1270" i="2" l="1"/>
  <c r="F1270" i="2" s="1"/>
  <c r="D1270" i="2"/>
  <c r="E1270" i="2" s="1"/>
  <c r="D1271" i="2" l="1"/>
  <c r="E1271" i="2" s="1"/>
  <c r="C1271" i="2"/>
  <c r="F1271" i="2" s="1"/>
  <c r="C1272" i="2" l="1"/>
  <c r="F1272" i="2" s="1"/>
  <c r="D1272" i="2"/>
  <c r="E1272" i="2" s="1"/>
  <c r="C1273" i="2" l="1"/>
  <c r="F1273" i="2" s="1"/>
  <c r="D1273" i="2"/>
  <c r="E1273" i="2" s="1"/>
  <c r="C1274" i="2" l="1"/>
  <c r="F1274" i="2" s="1"/>
  <c r="D1274" i="2"/>
  <c r="E1274" i="2" s="1"/>
  <c r="D1275" i="2" l="1"/>
  <c r="E1275" i="2" s="1"/>
  <c r="C1275" i="2"/>
  <c r="F1275" i="2" s="1"/>
  <c r="C1276" i="2" l="1"/>
  <c r="F1276" i="2" s="1"/>
  <c r="D1276" i="2"/>
  <c r="E1276" i="2" s="1"/>
  <c r="C1277" i="2" l="1"/>
  <c r="F1277" i="2" s="1"/>
  <c r="D1277" i="2"/>
  <c r="E1277" i="2" s="1"/>
  <c r="D1278" i="2" l="1"/>
  <c r="E1278" i="2" s="1"/>
  <c r="C1278" i="2"/>
  <c r="F1278" i="2" s="1"/>
  <c r="C1279" i="2" l="1"/>
  <c r="F1279" i="2" s="1"/>
  <c r="D1279" i="2"/>
  <c r="E1279" i="2" s="1"/>
  <c r="D1280" i="2" l="1"/>
  <c r="E1280" i="2" s="1"/>
  <c r="C1280" i="2"/>
  <c r="F1280" i="2" s="1"/>
  <c r="D1281" i="2" l="1"/>
  <c r="E1281" i="2" s="1"/>
  <c r="C1281" i="2"/>
  <c r="F1281" i="2" s="1"/>
  <c r="C1282" i="2" l="1"/>
  <c r="F1282" i="2" s="1"/>
  <c r="D1282" i="2"/>
  <c r="E1282" i="2" s="1"/>
  <c r="C1283" i="2" l="1"/>
  <c r="F1283" i="2" s="1"/>
  <c r="D1283" i="2"/>
  <c r="E1283" i="2" s="1"/>
  <c r="D1284" i="2" l="1"/>
  <c r="E1284" i="2" s="1"/>
  <c r="C1284" i="2"/>
  <c r="F1284" i="2" s="1"/>
  <c r="C1285" i="2" l="1"/>
  <c r="F1285" i="2" s="1"/>
  <c r="D1285" i="2"/>
  <c r="E1285" i="2" s="1"/>
  <c r="C1286" i="2" l="1"/>
  <c r="F1286" i="2" s="1"/>
  <c r="D1286" i="2"/>
  <c r="E1286" i="2" s="1"/>
  <c r="D1287" i="2" l="1"/>
  <c r="E1287" i="2" s="1"/>
  <c r="C1287" i="2"/>
  <c r="F1287" i="2" s="1"/>
  <c r="D1288" i="2" l="1"/>
  <c r="E1288" i="2" s="1"/>
  <c r="C1288" i="2"/>
  <c r="F1288" i="2" s="1"/>
  <c r="C1289" i="2" l="1"/>
  <c r="F1289" i="2" s="1"/>
  <c r="D1289" i="2"/>
  <c r="E1289" i="2" s="1"/>
  <c r="D1290" i="2" l="1"/>
  <c r="E1290" i="2" s="1"/>
  <c r="C1290" i="2"/>
  <c r="F1290" i="2" s="1"/>
  <c r="D1291" i="2" l="1"/>
  <c r="E1291" i="2" s="1"/>
  <c r="C1291" i="2"/>
  <c r="F1291" i="2" s="1"/>
  <c r="C1292" i="2" l="1"/>
  <c r="F1292" i="2" s="1"/>
  <c r="D1292" i="2"/>
  <c r="E1292" i="2" s="1"/>
  <c r="C1293" i="2" l="1"/>
  <c r="F1293" i="2" s="1"/>
  <c r="D1293" i="2"/>
  <c r="E1293" i="2" s="1"/>
  <c r="D1294" i="2" l="1"/>
  <c r="E1294" i="2" s="1"/>
  <c r="C1294" i="2"/>
  <c r="F1294" i="2" s="1"/>
  <c r="C1295" i="2" l="1"/>
  <c r="F1295" i="2" s="1"/>
  <c r="D1295" i="2"/>
  <c r="E1295" i="2" s="1"/>
  <c r="D1296" i="2" l="1"/>
  <c r="E1296" i="2" s="1"/>
  <c r="C1296" i="2"/>
  <c r="F1296" i="2" s="1"/>
  <c r="C1297" i="2" l="1"/>
  <c r="F1297" i="2" s="1"/>
  <c r="D1297" i="2"/>
  <c r="E1297" i="2" s="1"/>
  <c r="D1298" i="2" l="1"/>
  <c r="E1298" i="2" s="1"/>
  <c r="C1298" i="2"/>
  <c r="F1298" i="2" s="1"/>
  <c r="D1299" i="2" l="1"/>
  <c r="E1299" i="2" s="1"/>
  <c r="C1299" i="2"/>
  <c r="F1299" i="2" s="1"/>
  <c r="C1300" i="2" l="1"/>
  <c r="F1300" i="2" s="1"/>
  <c r="D1300" i="2"/>
  <c r="E1300" i="2" s="1"/>
  <c r="C1301" i="2" l="1"/>
  <c r="F1301" i="2" s="1"/>
  <c r="D1301" i="2"/>
  <c r="E1301" i="2" s="1"/>
  <c r="C1302" i="2" l="1"/>
  <c r="F1302" i="2" s="1"/>
  <c r="D1302" i="2"/>
  <c r="E1302" i="2" s="1"/>
  <c r="D1303" i="2" l="1"/>
  <c r="E1303" i="2" s="1"/>
  <c r="C1303" i="2"/>
  <c r="F1303" i="2" s="1"/>
  <c r="C1304" i="2" l="1"/>
  <c r="F1304" i="2" s="1"/>
  <c r="D1304" i="2"/>
  <c r="E1304" i="2" s="1"/>
  <c r="C1305" i="2" l="1"/>
  <c r="F1305" i="2" s="1"/>
  <c r="D1305" i="2"/>
  <c r="E1305" i="2" s="1"/>
  <c r="C1306" i="2" l="1"/>
  <c r="F1306" i="2" s="1"/>
  <c r="D1306" i="2"/>
  <c r="E1306" i="2" s="1"/>
  <c r="D1307" i="2" l="1"/>
  <c r="E1307" i="2" s="1"/>
  <c r="C1307" i="2"/>
  <c r="F1307" i="2" s="1"/>
  <c r="C1308" i="2" l="1"/>
  <c r="F1308" i="2" s="1"/>
  <c r="D1308" i="2"/>
  <c r="E1308" i="2" s="1"/>
  <c r="C1309" i="2" l="1"/>
  <c r="F1309" i="2" s="1"/>
  <c r="D1309" i="2"/>
  <c r="E1309" i="2" s="1"/>
  <c r="C1310" i="2" l="1"/>
  <c r="F1310" i="2" s="1"/>
  <c r="D1310" i="2"/>
  <c r="E1310" i="2" s="1"/>
  <c r="D1311" i="2" l="1"/>
  <c r="E1311" i="2" s="1"/>
  <c r="C1311" i="2"/>
  <c r="F1311" i="2" s="1"/>
  <c r="D1312" i="2" l="1"/>
  <c r="E1312" i="2" s="1"/>
  <c r="C1312" i="2"/>
  <c r="F1312" i="2" s="1"/>
  <c r="C1313" i="2" l="1"/>
  <c r="F1313" i="2" s="1"/>
  <c r="D1313" i="2"/>
  <c r="E1313" i="2" s="1"/>
  <c r="C1314" i="2" l="1"/>
  <c r="F1314" i="2" s="1"/>
  <c r="D1314" i="2"/>
  <c r="E1314" i="2" s="1"/>
  <c r="D1315" i="2" l="1"/>
  <c r="E1315" i="2" s="1"/>
  <c r="C1315" i="2"/>
  <c r="F1315" i="2" s="1"/>
  <c r="D1316" i="2" l="1"/>
  <c r="E1316" i="2" s="1"/>
  <c r="C1316" i="2"/>
  <c r="F1316" i="2" s="1"/>
  <c r="C1317" i="2" l="1"/>
  <c r="F1317" i="2" s="1"/>
  <c r="D1317" i="2"/>
  <c r="E1317" i="2" s="1"/>
  <c r="C1318" i="2" l="1"/>
  <c r="F1318" i="2" s="1"/>
  <c r="D1318" i="2"/>
  <c r="E1318" i="2" s="1"/>
  <c r="D1319" i="2" l="1"/>
  <c r="E1319" i="2" s="1"/>
  <c r="C1319" i="2"/>
  <c r="F1319" i="2" s="1"/>
  <c r="D1320" i="2" l="1"/>
  <c r="E1320" i="2" s="1"/>
  <c r="C1320" i="2"/>
  <c r="F1320" i="2" s="1"/>
  <c r="C1321" i="2" l="1"/>
  <c r="F1321" i="2" s="1"/>
  <c r="D1321" i="2"/>
  <c r="E1321" i="2" s="1"/>
  <c r="D1322" i="2" l="1"/>
  <c r="E1322" i="2" s="1"/>
  <c r="C1322" i="2"/>
  <c r="F1322" i="2" s="1"/>
  <c r="D1323" i="2" l="1"/>
  <c r="E1323" i="2" s="1"/>
  <c r="C1323" i="2"/>
  <c r="F1323" i="2" s="1"/>
  <c r="C1324" i="2" l="1"/>
  <c r="F1324" i="2" s="1"/>
  <c r="D1324" i="2"/>
  <c r="E1324" i="2" s="1"/>
  <c r="C1325" i="2" l="1"/>
  <c r="F1325" i="2" s="1"/>
  <c r="D1325" i="2"/>
  <c r="E1325" i="2" s="1"/>
  <c r="D1326" i="2" l="1"/>
  <c r="E1326" i="2" s="1"/>
  <c r="C1326" i="2"/>
  <c r="F1326" i="2" s="1"/>
  <c r="D1327" i="2" l="1"/>
  <c r="E1327" i="2" s="1"/>
  <c r="C1327" i="2"/>
  <c r="F1327" i="2" s="1"/>
  <c r="D1328" i="2" l="1"/>
  <c r="E1328" i="2" s="1"/>
  <c r="C1328" i="2"/>
  <c r="F1328" i="2" s="1"/>
  <c r="C1329" i="2" l="1"/>
  <c r="F1329" i="2" s="1"/>
  <c r="D1329" i="2"/>
  <c r="E1329" i="2" s="1"/>
  <c r="C1330" i="2" l="1"/>
  <c r="F1330" i="2" s="1"/>
  <c r="D1330" i="2"/>
  <c r="E1330" i="2" s="1"/>
  <c r="C1331" i="2" l="1"/>
  <c r="F1331" i="2" s="1"/>
  <c r="D1331" i="2"/>
  <c r="E1331" i="2" s="1"/>
  <c r="D1332" i="2" l="1"/>
  <c r="E1332" i="2" s="1"/>
  <c r="C1332" i="2"/>
  <c r="F1332" i="2" s="1"/>
  <c r="D1333" i="2" l="1"/>
  <c r="E1333" i="2" s="1"/>
  <c r="C1333" i="2"/>
  <c r="F1333" i="2" s="1"/>
  <c r="D1334" i="2" l="1"/>
  <c r="E1334" i="2" s="1"/>
  <c r="C1334" i="2"/>
  <c r="F1334" i="2" s="1"/>
  <c r="C1335" i="2" l="1"/>
  <c r="F1335" i="2" s="1"/>
  <c r="D1335" i="2"/>
  <c r="E1335" i="2" s="1"/>
  <c r="C1336" i="2" l="1"/>
  <c r="F1336" i="2" s="1"/>
  <c r="D1336" i="2"/>
  <c r="E1336" i="2" s="1"/>
  <c r="C1337" i="2" l="1"/>
  <c r="F1337" i="2" s="1"/>
  <c r="D1337" i="2"/>
  <c r="E1337" i="2" s="1"/>
  <c r="C1338" i="2" l="1"/>
  <c r="F1338" i="2" s="1"/>
  <c r="D1338" i="2"/>
  <c r="E1338" i="2" s="1"/>
  <c r="C1339" i="2" l="1"/>
  <c r="F1339" i="2" s="1"/>
  <c r="D1339" i="2"/>
  <c r="E1339" i="2" s="1"/>
  <c r="C1340" i="2" l="1"/>
  <c r="F1340" i="2" s="1"/>
  <c r="D1340" i="2"/>
  <c r="E1340" i="2" s="1"/>
  <c r="C1341" i="2" l="1"/>
  <c r="F1341" i="2" s="1"/>
  <c r="D1341" i="2"/>
  <c r="E1341" i="2" s="1"/>
  <c r="D1342" i="2" l="1"/>
  <c r="E1342" i="2" s="1"/>
  <c r="C1342" i="2"/>
  <c r="F1342" i="2" s="1"/>
  <c r="C1343" i="2" l="1"/>
  <c r="F1343" i="2" s="1"/>
  <c r="D1343" i="2"/>
  <c r="E1343" i="2" s="1"/>
  <c r="D1344" i="2" l="1"/>
  <c r="E1344" i="2" s="1"/>
  <c r="C1344" i="2"/>
  <c r="F1344" i="2" s="1"/>
  <c r="C1345" i="2" l="1"/>
  <c r="F1345" i="2" s="1"/>
  <c r="D1345" i="2"/>
  <c r="E1345" i="2" s="1"/>
  <c r="C1346" i="2" l="1"/>
  <c r="F1346" i="2" s="1"/>
  <c r="D1346" i="2"/>
  <c r="E1346" i="2" s="1"/>
  <c r="D1347" i="2" l="1"/>
  <c r="E1347" i="2" s="1"/>
  <c r="C1347" i="2"/>
  <c r="F1347" i="2" s="1"/>
  <c r="D1348" i="2" l="1"/>
  <c r="E1348" i="2" s="1"/>
  <c r="C1348" i="2"/>
  <c r="F1348" i="2" s="1"/>
  <c r="D1349" i="2" l="1"/>
  <c r="E1349" i="2" s="1"/>
  <c r="C1349" i="2"/>
  <c r="F1349" i="2" s="1"/>
  <c r="D1350" i="2" l="1"/>
  <c r="E1350" i="2" s="1"/>
  <c r="C1350" i="2"/>
  <c r="F1350" i="2" s="1"/>
  <c r="C1351" i="2" l="1"/>
  <c r="F1351" i="2" s="1"/>
  <c r="D1351" i="2"/>
  <c r="E1351" i="2" s="1"/>
  <c r="C1352" i="2" l="1"/>
  <c r="F1352" i="2" s="1"/>
  <c r="D1352" i="2"/>
  <c r="E1352" i="2" s="1"/>
  <c r="C1353" i="2" l="1"/>
  <c r="F1353" i="2" s="1"/>
  <c r="D1353" i="2"/>
  <c r="E1353" i="2" s="1"/>
  <c r="C1354" i="2" l="1"/>
  <c r="F1354" i="2" s="1"/>
  <c r="D1354" i="2"/>
  <c r="E1354" i="2" s="1"/>
  <c r="D1355" i="2" l="1"/>
  <c r="E1355" i="2" s="1"/>
  <c r="C1355" i="2"/>
  <c r="F1355" i="2" s="1"/>
  <c r="D1356" i="2" l="1"/>
  <c r="E1356" i="2" s="1"/>
  <c r="C1356" i="2"/>
  <c r="F1356" i="2" s="1"/>
  <c r="C1357" i="2" l="1"/>
  <c r="F1357" i="2" s="1"/>
  <c r="D1357" i="2"/>
  <c r="E1357" i="2" s="1"/>
  <c r="C1358" i="2" l="1"/>
  <c r="F1358" i="2" s="1"/>
  <c r="D1358" i="2"/>
  <c r="E1358" i="2" s="1"/>
  <c r="C1359" i="2" l="1"/>
  <c r="F1359" i="2" s="1"/>
  <c r="D1359" i="2"/>
  <c r="E1359" i="2" s="1"/>
  <c r="D1360" i="2" l="1"/>
  <c r="E1360" i="2" s="1"/>
  <c r="C1360" i="2"/>
  <c r="F1360" i="2" s="1"/>
  <c r="D1361" i="2" l="1"/>
  <c r="E1361" i="2" s="1"/>
  <c r="C1361" i="2"/>
  <c r="F1361" i="2" s="1"/>
  <c r="D1362" i="2" l="1"/>
  <c r="E1362" i="2" s="1"/>
  <c r="C1362" i="2"/>
  <c r="F1362" i="2" s="1"/>
  <c r="D1363" i="2" l="1"/>
  <c r="E1363" i="2" s="1"/>
  <c r="C1363" i="2"/>
  <c r="F1363" i="2" s="1"/>
  <c r="C1364" i="2" l="1"/>
  <c r="F1364" i="2" s="1"/>
  <c r="D1364" i="2"/>
  <c r="E1364" i="2" s="1"/>
  <c r="C1365" i="2" l="1"/>
  <c r="F1365" i="2" s="1"/>
  <c r="D1365" i="2"/>
  <c r="E1365" i="2" s="1"/>
  <c r="D1366" i="2" l="1"/>
  <c r="E1366" i="2" s="1"/>
  <c r="C1366" i="2"/>
  <c r="F1366" i="2" s="1"/>
  <c r="C1367" i="2" l="1"/>
  <c r="F1367" i="2" s="1"/>
  <c r="D1367" i="2"/>
  <c r="E1367" i="2" s="1"/>
  <c r="D1368" i="2" l="1"/>
  <c r="E1368" i="2" s="1"/>
  <c r="C1368" i="2"/>
  <c r="F1368" i="2" s="1"/>
  <c r="C1369" i="2" l="1"/>
  <c r="F1369" i="2" s="1"/>
  <c r="D1369" i="2"/>
  <c r="E1369" i="2" s="1"/>
  <c r="C1370" i="2" l="1"/>
  <c r="F1370" i="2" s="1"/>
  <c r="D1370" i="2"/>
  <c r="E1370" i="2" s="1"/>
  <c r="C1371" i="2" l="1"/>
  <c r="F1371" i="2" s="1"/>
  <c r="D1371" i="2"/>
  <c r="E1371" i="2" s="1"/>
  <c r="D1372" i="2" l="1"/>
  <c r="E1372" i="2" s="1"/>
  <c r="C1372" i="2"/>
  <c r="F1372" i="2" s="1"/>
  <c r="C1373" i="2" l="1"/>
  <c r="F1373" i="2" s="1"/>
  <c r="D1373" i="2"/>
  <c r="E1373" i="2" s="1"/>
  <c r="D1374" i="2" l="1"/>
  <c r="E1374" i="2" s="1"/>
  <c r="C1374" i="2"/>
  <c r="F1374" i="2" s="1"/>
  <c r="D1375" i="2" l="1"/>
  <c r="E1375" i="2" s="1"/>
  <c r="C1375" i="2"/>
  <c r="F1375" i="2" s="1"/>
  <c r="D1376" i="2" l="1"/>
  <c r="E1376" i="2" s="1"/>
  <c r="C1376" i="2"/>
  <c r="F1376" i="2" s="1"/>
  <c r="C1377" i="2" l="1"/>
  <c r="F1377" i="2" s="1"/>
  <c r="D1377" i="2"/>
  <c r="E1377" i="2" s="1"/>
  <c r="D1378" i="2" l="1"/>
  <c r="E1378" i="2" s="1"/>
  <c r="C1378" i="2"/>
  <c r="F1378" i="2" s="1"/>
  <c r="D1379" i="2" l="1"/>
  <c r="E1379" i="2" s="1"/>
  <c r="C1379" i="2"/>
  <c r="F1379" i="2" s="1"/>
  <c r="C1380" i="2" l="1"/>
  <c r="F1380" i="2" s="1"/>
  <c r="D1380" i="2"/>
  <c r="E1380" i="2" s="1"/>
  <c r="C1381" i="2" l="1"/>
  <c r="F1381" i="2" s="1"/>
  <c r="D1381" i="2"/>
  <c r="E1381" i="2" s="1"/>
  <c r="D1382" i="2" l="1"/>
  <c r="E1382" i="2" s="1"/>
  <c r="C1382" i="2"/>
  <c r="F1382" i="2" s="1"/>
  <c r="C1383" i="2" l="1"/>
  <c r="F1383" i="2" s="1"/>
  <c r="D1383" i="2"/>
  <c r="E1383" i="2" s="1"/>
  <c r="D1384" i="2" l="1"/>
  <c r="E1384" i="2" s="1"/>
  <c r="C1384" i="2"/>
  <c r="F1384" i="2" s="1"/>
  <c r="D1385" i="2" l="1"/>
  <c r="E1385" i="2" s="1"/>
  <c r="C1385" i="2"/>
  <c r="F1385" i="2" s="1"/>
  <c r="D1386" i="2" l="1"/>
  <c r="E1386" i="2" s="1"/>
  <c r="C1386" i="2"/>
  <c r="F1386" i="2" s="1"/>
  <c r="D1387" i="2" l="1"/>
  <c r="E1387" i="2" s="1"/>
  <c r="C1387" i="2"/>
  <c r="F1387" i="2" s="1"/>
  <c r="C1388" i="2" l="1"/>
  <c r="F1388" i="2" s="1"/>
  <c r="D1388" i="2"/>
  <c r="E1388" i="2" s="1"/>
  <c r="D1389" i="2" l="1"/>
  <c r="E1389" i="2" s="1"/>
  <c r="C1389" i="2"/>
  <c r="F1389" i="2" s="1"/>
  <c r="C1390" i="2" l="1"/>
  <c r="F1390" i="2" s="1"/>
  <c r="D1390" i="2"/>
  <c r="E1390" i="2" s="1"/>
  <c r="D1391" i="2" l="1"/>
  <c r="E1391" i="2" s="1"/>
  <c r="C1391" i="2"/>
  <c r="F1391" i="2" s="1"/>
  <c r="C1392" i="2" l="1"/>
  <c r="F1392" i="2" s="1"/>
  <c r="D1392" i="2"/>
  <c r="E1392" i="2" s="1"/>
  <c r="C1393" i="2" l="1"/>
  <c r="F1393" i="2" s="1"/>
  <c r="D1393" i="2"/>
  <c r="E1393" i="2" s="1"/>
  <c r="D1394" i="2" l="1"/>
  <c r="E1394" i="2" s="1"/>
  <c r="C1394" i="2"/>
  <c r="F1394" i="2" s="1"/>
  <c r="C1395" i="2" l="1"/>
  <c r="F1395" i="2" s="1"/>
  <c r="D1395" i="2"/>
  <c r="E1395" i="2" s="1"/>
  <c r="C1396" i="2" l="1"/>
  <c r="F1396" i="2" s="1"/>
  <c r="D1396" i="2"/>
  <c r="E1396" i="2" s="1"/>
  <c r="C1397" i="2" l="1"/>
  <c r="F1397" i="2" s="1"/>
  <c r="D1397" i="2"/>
  <c r="E1397" i="2" s="1"/>
  <c r="C1398" i="2" l="1"/>
  <c r="F1398" i="2" s="1"/>
  <c r="D1398" i="2"/>
  <c r="E1398" i="2" s="1"/>
  <c r="D1399" i="2" l="1"/>
  <c r="E1399" i="2" s="1"/>
  <c r="C1399" i="2"/>
  <c r="F1399" i="2" s="1"/>
  <c r="D1400" i="2" l="1"/>
  <c r="E1400" i="2" s="1"/>
  <c r="C1400" i="2"/>
  <c r="F1400" i="2" s="1"/>
  <c r="C1401" i="2" l="1"/>
  <c r="F1401" i="2" s="1"/>
  <c r="D1401" i="2"/>
  <c r="E1401" i="2" s="1"/>
  <c r="D1402" i="2" l="1"/>
  <c r="E1402" i="2" s="1"/>
  <c r="C1402" i="2"/>
  <c r="F1402" i="2" s="1"/>
  <c r="C1403" i="2" l="1"/>
  <c r="F1403" i="2" s="1"/>
  <c r="D1403" i="2"/>
  <c r="E1403" i="2" s="1"/>
  <c r="C1404" i="2" l="1"/>
  <c r="F1404" i="2" s="1"/>
  <c r="D1404" i="2"/>
  <c r="E1404" i="2" s="1"/>
  <c r="D1405" i="2" l="1"/>
  <c r="E1405" i="2" s="1"/>
  <c r="C1405" i="2"/>
  <c r="F1405" i="2" s="1"/>
  <c r="C1406" i="2" l="1"/>
  <c r="F1406" i="2" s="1"/>
  <c r="D1406" i="2"/>
  <c r="E1406" i="2" s="1"/>
  <c r="D1407" i="2" l="1"/>
  <c r="E1407" i="2" s="1"/>
  <c r="C1407" i="2"/>
  <c r="F1407" i="2" s="1"/>
  <c r="D1408" i="2" l="1"/>
  <c r="E1408" i="2" s="1"/>
  <c r="C1408" i="2"/>
  <c r="F1408" i="2" s="1"/>
  <c r="D1409" i="2" l="1"/>
  <c r="E1409" i="2" s="1"/>
  <c r="C1409" i="2"/>
  <c r="F1409" i="2" s="1"/>
  <c r="D1410" i="2" l="1"/>
  <c r="E1410" i="2" s="1"/>
  <c r="C1410" i="2"/>
  <c r="F1410" i="2" s="1"/>
  <c r="C1411" i="2" l="1"/>
  <c r="F1411" i="2" s="1"/>
  <c r="D1411" i="2"/>
  <c r="E1411" i="2" s="1"/>
  <c r="D1412" i="2" l="1"/>
  <c r="E1412" i="2" s="1"/>
  <c r="C1412" i="2"/>
  <c r="F1412" i="2" s="1"/>
  <c r="D1413" i="2" l="1"/>
  <c r="E1413" i="2" s="1"/>
  <c r="C1413" i="2"/>
  <c r="F1413" i="2" s="1"/>
  <c r="C1414" i="2" l="1"/>
  <c r="F1414" i="2" s="1"/>
  <c r="D1414" i="2"/>
  <c r="E1414" i="2" s="1"/>
  <c r="D1415" i="2" l="1"/>
  <c r="E1415" i="2" s="1"/>
  <c r="C1415" i="2"/>
  <c r="F1415" i="2" s="1"/>
  <c r="D1416" i="2" l="1"/>
  <c r="E1416" i="2" s="1"/>
  <c r="C1416" i="2"/>
  <c r="F1416" i="2" s="1"/>
  <c r="D1417" i="2" l="1"/>
  <c r="E1417" i="2" s="1"/>
  <c r="C1417" i="2"/>
  <c r="F1417" i="2" s="1"/>
  <c r="C1418" i="2" l="1"/>
  <c r="F1418" i="2" s="1"/>
  <c r="D1418" i="2"/>
  <c r="E1418" i="2" s="1"/>
  <c r="D1419" i="2" l="1"/>
  <c r="E1419" i="2" s="1"/>
  <c r="C1419" i="2"/>
  <c r="F1419" i="2" s="1"/>
  <c r="C1420" i="2" l="1"/>
  <c r="F1420" i="2" s="1"/>
  <c r="D1420" i="2"/>
  <c r="E1420" i="2" s="1"/>
  <c r="C1421" i="2" l="1"/>
  <c r="F1421" i="2" s="1"/>
  <c r="D1421" i="2"/>
  <c r="E1421" i="2" s="1"/>
  <c r="C1422" i="2" l="1"/>
  <c r="F1422" i="2" s="1"/>
  <c r="D1422" i="2"/>
  <c r="E1422" i="2" s="1"/>
  <c r="D1423" i="2" l="1"/>
  <c r="E1423" i="2" s="1"/>
  <c r="C1423" i="2"/>
  <c r="F1423" i="2" s="1"/>
  <c r="C1424" i="2" l="1"/>
  <c r="F1424" i="2" s="1"/>
  <c r="D1424" i="2"/>
  <c r="E1424" i="2" s="1"/>
  <c r="C1425" i="2" l="1"/>
  <c r="F1425" i="2" s="1"/>
  <c r="D1425" i="2"/>
  <c r="E1425" i="2" s="1"/>
  <c r="D1426" i="2" l="1"/>
  <c r="E1426" i="2" s="1"/>
  <c r="C1426" i="2"/>
  <c r="F1426" i="2" s="1"/>
  <c r="D1427" i="2" l="1"/>
  <c r="E1427" i="2" s="1"/>
  <c r="C1427" i="2"/>
  <c r="F1427" i="2" s="1"/>
  <c r="D1428" i="2" l="1"/>
  <c r="E1428" i="2" s="1"/>
  <c r="C1428" i="2"/>
  <c r="F1428" i="2" s="1"/>
  <c r="D1429" i="2" l="1"/>
  <c r="E1429" i="2" s="1"/>
  <c r="C1429" i="2"/>
  <c r="F1429" i="2" s="1"/>
  <c r="C1430" i="2" l="1"/>
  <c r="F1430" i="2" s="1"/>
  <c r="D1430" i="2"/>
  <c r="E1430" i="2" s="1"/>
  <c r="D1431" i="2" l="1"/>
  <c r="E1431" i="2" s="1"/>
  <c r="C1431" i="2"/>
  <c r="F1431" i="2" s="1"/>
  <c r="D1432" i="2" l="1"/>
  <c r="E1432" i="2" s="1"/>
  <c r="C1432" i="2"/>
  <c r="F1432" i="2" s="1"/>
  <c r="C1433" i="2" l="1"/>
  <c r="F1433" i="2" s="1"/>
  <c r="D1433" i="2"/>
  <c r="E1433" i="2" s="1"/>
  <c r="D1434" i="2" l="1"/>
  <c r="E1434" i="2" s="1"/>
  <c r="C1434" i="2"/>
  <c r="F1434" i="2" s="1"/>
  <c r="D1435" i="2" l="1"/>
  <c r="E1435" i="2" s="1"/>
  <c r="C1435" i="2"/>
  <c r="F1435" i="2" s="1"/>
  <c r="C1436" i="2" l="1"/>
  <c r="F1436" i="2" s="1"/>
  <c r="D1436" i="2"/>
  <c r="E1436" i="2" s="1"/>
  <c r="C1437" i="2" l="1"/>
  <c r="F1437" i="2" s="1"/>
  <c r="D1437" i="2"/>
  <c r="E1437" i="2" s="1"/>
  <c r="D1438" i="2" l="1"/>
  <c r="E1438" i="2" s="1"/>
  <c r="C1438" i="2"/>
  <c r="F1438" i="2" s="1"/>
  <c r="C1439" i="2" l="1"/>
  <c r="F1439" i="2" s="1"/>
  <c r="D1439" i="2"/>
  <c r="E1439" i="2" s="1"/>
  <c r="C1440" i="2" l="1"/>
  <c r="F1440" i="2" s="1"/>
  <c r="D1440" i="2"/>
  <c r="E1440" i="2" s="1"/>
  <c r="C1441" i="2" l="1"/>
  <c r="F1441" i="2" s="1"/>
  <c r="D1441" i="2"/>
  <c r="E1441" i="2" s="1"/>
  <c r="D1442" i="2" l="1"/>
  <c r="E1442" i="2" s="1"/>
  <c r="C1442" i="2"/>
  <c r="F1442" i="2" s="1"/>
  <c r="D1443" i="2" l="1"/>
  <c r="E1443" i="2" s="1"/>
  <c r="C1443" i="2"/>
  <c r="F1443" i="2" s="1"/>
  <c r="D1444" i="2" l="1"/>
  <c r="E1444" i="2" s="1"/>
  <c r="C1444" i="2"/>
  <c r="F1444" i="2" s="1"/>
  <c r="C1445" i="2" l="1"/>
  <c r="F1445" i="2" s="1"/>
  <c r="D1445" i="2"/>
  <c r="E1445" i="2" s="1"/>
  <c r="D1446" i="2" l="1"/>
  <c r="E1446" i="2" s="1"/>
  <c r="C1446" i="2"/>
  <c r="F1446" i="2" s="1"/>
  <c r="D1447" i="2" l="1"/>
  <c r="E1447" i="2" s="1"/>
  <c r="C1447" i="2"/>
  <c r="F1447" i="2" s="1"/>
  <c r="D1448" i="2" l="1"/>
  <c r="E1448" i="2" s="1"/>
  <c r="C1448" i="2"/>
  <c r="F1448" i="2" s="1"/>
  <c r="D1449" i="2" l="1"/>
  <c r="E1449" i="2" s="1"/>
  <c r="C1449" i="2"/>
  <c r="F1449" i="2" s="1"/>
  <c r="C1450" i="2" l="1"/>
  <c r="F1450" i="2" s="1"/>
  <c r="D1450" i="2"/>
  <c r="E1450" i="2" s="1"/>
  <c r="D1451" i="2" l="1"/>
  <c r="E1451" i="2" s="1"/>
  <c r="C1451" i="2"/>
  <c r="F1451" i="2" s="1"/>
  <c r="C1452" i="2" l="1"/>
  <c r="F1452" i="2" s="1"/>
  <c r="D1452" i="2"/>
  <c r="E1452" i="2" s="1"/>
  <c r="C1453" i="2" l="1"/>
  <c r="F1453" i="2" s="1"/>
  <c r="D1453" i="2"/>
  <c r="E1453" i="2" s="1"/>
  <c r="D1454" i="2" l="1"/>
  <c r="E1454" i="2" s="1"/>
  <c r="C1454" i="2"/>
  <c r="F1454" i="2" s="1"/>
  <c r="D1455" i="2" l="1"/>
  <c r="E1455" i="2" s="1"/>
  <c r="C1455" i="2"/>
  <c r="F1455" i="2" s="1"/>
  <c r="D1456" i="2" l="1"/>
  <c r="E1456" i="2" s="1"/>
  <c r="C1456" i="2"/>
  <c r="F1456" i="2" s="1"/>
  <c r="C1457" i="2" l="1"/>
  <c r="F1457" i="2" s="1"/>
  <c r="D1457" i="2"/>
  <c r="E1457" i="2" s="1"/>
  <c r="C1458" i="2" l="1"/>
  <c r="F1458" i="2" s="1"/>
  <c r="D1458" i="2"/>
  <c r="E1458" i="2" s="1"/>
  <c r="C1459" i="2" l="1"/>
  <c r="F1459" i="2" s="1"/>
  <c r="D1459" i="2"/>
  <c r="E1459" i="2" s="1"/>
  <c r="D1460" i="2" l="1"/>
  <c r="E1460" i="2" s="1"/>
  <c r="C1460" i="2"/>
  <c r="F1460" i="2" s="1"/>
  <c r="C1461" i="2" l="1"/>
  <c r="F1461" i="2" s="1"/>
  <c r="D1461" i="2"/>
  <c r="E1461" i="2" s="1"/>
  <c r="D1462" i="2" l="1"/>
  <c r="E1462" i="2" s="1"/>
  <c r="C1462" i="2"/>
  <c r="F1462" i="2" s="1"/>
  <c r="C1463" i="2" l="1"/>
  <c r="F1463" i="2" s="1"/>
  <c r="D1463" i="2"/>
  <c r="E1463" i="2" s="1"/>
  <c r="D1464" i="2" l="1"/>
  <c r="E1464" i="2" s="1"/>
  <c r="C1464" i="2"/>
  <c r="F1464" i="2" s="1"/>
  <c r="C1465" i="2" l="1"/>
  <c r="F1465" i="2" s="1"/>
  <c r="D1465" i="2"/>
  <c r="E1465" i="2" s="1"/>
  <c r="D1466" i="2" l="1"/>
  <c r="E1466" i="2" s="1"/>
  <c r="C1466" i="2"/>
  <c r="F1466" i="2" s="1"/>
  <c r="C1467" i="2" l="1"/>
  <c r="F1467" i="2" s="1"/>
  <c r="D1467" i="2"/>
  <c r="E1467" i="2" s="1"/>
  <c r="C1468" i="2" l="1"/>
  <c r="F1468" i="2" s="1"/>
  <c r="D1468" i="2"/>
  <c r="E1468" i="2" s="1"/>
  <c r="C1469" i="2" l="1"/>
  <c r="F1469" i="2" s="1"/>
  <c r="D1469" i="2"/>
  <c r="E1469" i="2" s="1"/>
  <c r="C1470" i="2" l="1"/>
  <c r="F1470" i="2" s="1"/>
  <c r="D1470" i="2"/>
  <c r="E1470" i="2" s="1"/>
  <c r="C1471" i="2" l="1"/>
  <c r="F1471" i="2" s="1"/>
  <c r="D1471" i="2"/>
  <c r="E1471" i="2" s="1"/>
  <c r="D1472" i="2" l="1"/>
  <c r="E1472" i="2" s="1"/>
  <c r="C1472" i="2"/>
  <c r="F1472" i="2" s="1"/>
  <c r="C1473" i="2" l="1"/>
  <c r="F1473" i="2" s="1"/>
  <c r="D1473" i="2"/>
  <c r="E1473" i="2" s="1"/>
  <c r="D1474" i="2" l="1"/>
  <c r="E1474" i="2" s="1"/>
  <c r="C1474" i="2"/>
  <c r="F1474" i="2" s="1"/>
  <c r="D1475" i="2" l="1"/>
  <c r="E1475" i="2" s="1"/>
  <c r="C1475" i="2"/>
  <c r="F1475" i="2" s="1"/>
  <c r="C1476" i="2" l="1"/>
  <c r="F1476" i="2" s="1"/>
  <c r="D1476" i="2"/>
  <c r="E1476" i="2" s="1"/>
  <c r="C1477" i="2" l="1"/>
  <c r="F1477" i="2" s="1"/>
  <c r="D1477" i="2"/>
  <c r="E1477" i="2" s="1"/>
  <c r="C1478" i="2" l="1"/>
  <c r="F1478" i="2" s="1"/>
  <c r="D1478" i="2"/>
  <c r="E1478" i="2" s="1"/>
  <c r="D1479" i="2" l="1"/>
  <c r="E1479" i="2" s="1"/>
  <c r="C1479" i="2"/>
  <c r="F1479" i="2" s="1"/>
  <c r="C1480" i="2" l="1"/>
  <c r="F1480" i="2" s="1"/>
  <c r="D1480" i="2"/>
  <c r="E1480" i="2" s="1"/>
  <c r="D1481" i="2" l="1"/>
  <c r="E1481" i="2" s="1"/>
  <c r="C1481" i="2"/>
  <c r="F1481" i="2" s="1"/>
  <c r="C1482" i="2" l="1"/>
  <c r="F1482" i="2" s="1"/>
  <c r="D1482" i="2"/>
  <c r="E1482" i="2" s="1"/>
  <c r="D1483" i="2" l="1"/>
  <c r="E1483" i="2" s="1"/>
  <c r="C1483" i="2"/>
  <c r="F1483" i="2" s="1"/>
  <c r="C1484" i="2" l="1"/>
  <c r="F1484" i="2" s="1"/>
  <c r="D1484" i="2"/>
  <c r="E1484" i="2" s="1"/>
  <c r="C1485" i="2" l="1"/>
  <c r="F1485" i="2" s="1"/>
  <c r="D1485" i="2"/>
  <c r="E1485" i="2" s="1"/>
  <c r="D1486" i="2" l="1"/>
  <c r="E1486" i="2" s="1"/>
  <c r="C1486" i="2"/>
  <c r="F1486" i="2" s="1"/>
  <c r="C1487" i="2" l="1"/>
  <c r="F1487" i="2" s="1"/>
  <c r="D1487" i="2"/>
  <c r="E1487" i="2" s="1"/>
  <c r="C1488" i="2" l="1"/>
  <c r="F1488" i="2" s="1"/>
  <c r="D1488" i="2"/>
  <c r="E1488" i="2" s="1"/>
  <c r="C1489" i="2" l="1"/>
  <c r="F1489" i="2" s="1"/>
  <c r="D1489" i="2"/>
  <c r="E1489" i="2" s="1"/>
  <c r="D1490" i="2" l="1"/>
  <c r="E1490" i="2" s="1"/>
  <c r="C1490" i="2"/>
  <c r="F1490" i="2" s="1"/>
  <c r="D1491" i="2" l="1"/>
  <c r="E1491" i="2" s="1"/>
  <c r="C1491" i="2"/>
  <c r="F1491" i="2" s="1"/>
  <c r="C1492" i="2" l="1"/>
  <c r="F1492" i="2" s="1"/>
  <c r="D1492" i="2"/>
  <c r="E1492" i="2" s="1"/>
  <c r="C1493" i="2" l="1"/>
  <c r="F1493" i="2" s="1"/>
  <c r="D1493" i="2"/>
  <c r="E1493" i="2" s="1"/>
  <c r="D1494" i="2" l="1"/>
  <c r="E1494" i="2" s="1"/>
  <c r="C1494" i="2"/>
  <c r="F1494" i="2" s="1"/>
  <c r="C1495" i="2" l="1"/>
  <c r="F1495" i="2" s="1"/>
  <c r="D1495" i="2"/>
  <c r="E1495" i="2" s="1"/>
  <c r="D1496" i="2" l="1"/>
  <c r="E1496" i="2" s="1"/>
  <c r="C1496" i="2"/>
  <c r="F1496" i="2" s="1"/>
  <c r="C1497" i="2" l="1"/>
  <c r="F1497" i="2" s="1"/>
  <c r="D1497" i="2"/>
  <c r="E1497" i="2" s="1"/>
  <c r="D1498" i="2" l="1"/>
  <c r="E1498" i="2" s="1"/>
  <c r="C1498" i="2"/>
  <c r="F1498" i="2" s="1"/>
  <c r="C1499" i="2" l="1"/>
  <c r="F1499" i="2" s="1"/>
  <c r="D1499" i="2"/>
  <c r="E1499" i="2" s="1"/>
  <c r="C1500" i="2" l="1"/>
  <c r="F1500" i="2" s="1"/>
  <c r="D1500" i="2"/>
  <c r="E1500" i="2" s="1"/>
  <c r="C1501" i="2" l="1"/>
  <c r="F1501" i="2" s="1"/>
  <c r="D1501" i="2"/>
  <c r="E1501" i="2" s="1"/>
  <c r="D1502" i="2" l="1"/>
  <c r="E1502" i="2" s="1"/>
  <c r="C1502" i="2"/>
  <c r="F1502" i="2" s="1"/>
  <c r="D1503" i="2" l="1"/>
  <c r="E1503" i="2" s="1"/>
  <c r="C1503" i="2"/>
  <c r="F1503" i="2" s="1"/>
  <c r="C1504" i="2" l="1"/>
  <c r="F1504" i="2" s="1"/>
  <c r="D1504" i="2"/>
  <c r="E1504" i="2" s="1"/>
  <c r="D1505" i="2" l="1"/>
  <c r="E1505" i="2" s="1"/>
  <c r="C1505" i="2"/>
  <c r="F1505" i="2" s="1"/>
  <c r="C1506" i="2" l="1"/>
  <c r="F1506" i="2" s="1"/>
  <c r="D1506" i="2"/>
  <c r="E1506" i="2" s="1"/>
  <c r="C1507" i="2" l="1"/>
  <c r="F1507" i="2" s="1"/>
  <c r="D1507" i="2"/>
  <c r="E1507" i="2" s="1"/>
  <c r="C1508" i="2" l="1"/>
  <c r="F1508" i="2" s="1"/>
  <c r="D1508" i="2"/>
  <c r="E1508" i="2" s="1"/>
  <c r="C1509" i="2" l="1"/>
  <c r="F1509" i="2" s="1"/>
  <c r="D1509" i="2"/>
  <c r="E1509" i="2" s="1"/>
  <c r="C1510" i="2" l="1"/>
  <c r="F1510" i="2" s="1"/>
  <c r="D1510" i="2"/>
  <c r="E1510" i="2" s="1"/>
  <c r="C1511" i="2" l="1"/>
  <c r="F1511" i="2" s="1"/>
  <c r="D1511" i="2"/>
  <c r="E1511" i="2" s="1"/>
  <c r="C1512" i="2" l="1"/>
  <c r="F1512" i="2" s="1"/>
  <c r="D1512" i="2"/>
  <c r="E1512" i="2" s="1"/>
  <c r="C1513" i="2" l="1"/>
  <c r="F1513" i="2" s="1"/>
  <c r="D1513" i="2"/>
  <c r="E1513" i="2" s="1"/>
  <c r="D1514" i="2" l="1"/>
  <c r="E1514" i="2" s="1"/>
  <c r="C1514" i="2"/>
  <c r="F1514" i="2" s="1"/>
  <c r="D1515" i="2" l="1"/>
  <c r="E1515" i="2" s="1"/>
  <c r="C1515" i="2"/>
  <c r="F1515" i="2" s="1"/>
  <c r="D1516" i="2" l="1"/>
  <c r="E1516" i="2" s="1"/>
  <c r="C1516" i="2"/>
  <c r="F1516" i="2" s="1"/>
  <c r="C1517" i="2" l="1"/>
  <c r="F1517" i="2" s="1"/>
  <c r="D1517" i="2"/>
  <c r="E1517" i="2" s="1"/>
  <c r="C1518" i="2" l="1"/>
  <c r="F1518" i="2" s="1"/>
  <c r="D1518" i="2"/>
  <c r="E1518" i="2" s="1"/>
  <c r="D1519" i="2" l="1"/>
  <c r="E1519" i="2" s="1"/>
  <c r="C1519" i="2"/>
  <c r="F1519" i="2" s="1"/>
  <c r="C1520" i="2" l="1"/>
  <c r="F1520" i="2" s="1"/>
  <c r="D1520" i="2"/>
  <c r="E1520" i="2" s="1"/>
  <c r="D1521" i="2" l="1"/>
  <c r="E1521" i="2" s="1"/>
  <c r="C1521" i="2"/>
  <c r="F1521" i="2" s="1"/>
  <c r="D1522" i="2" l="1"/>
  <c r="E1522" i="2" s="1"/>
  <c r="C1522" i="2"/>
  <c r="F1522" i="2" s="1"/>
  <c r="C1523" i="2" l="1"/>
  <c r="F1523" i="2" s="1"/>
  <c r="D1523" i="2"/>
  <c r="E1523" i="2" s="1"/>
  <c r="D1524" i="2" l="1"/>
  <c r="E1524" i="2" s="1"/>
  <c r="C1524" i="2"/>
  <c r="F1524" i="2" s="1"/>
  <c r="C1525" i="2" l="1"/>
  <c r="F1525" i="2" s="1"/>
  <c r="D1525" i="2"/>
  <c r="E1525" i="2" s="1"/>
  <c r="C1526" i="2" l="1"/>
  <c r="F1526" i="2" s="1"/>
  <c r="D1526" i="2"/>
  <c r="E1526" i="2" s="1"/>
  <c r="C1527" i="2" l="1"/>
  <c r="F1527" i="2" s="1"/>
  <c r="D1527" i="2"/>
  <c r="E1527" i="2" s="1"/>
  <c r="D1528" i="2" l="1"/>
  <c r="E1528" i="2" s="1"/>
  <c r="C1528" i="2"/>
  <c r="F1528" i="2" s="1"/>
  <c r="D1529" i="2" l="1"/>
  <c r="E1529" i="2" s="1"/>
  <c r="C1529" i="2"/>
  <c r="F1529" i="2" s="1"/>
  <c r="C1530" i="2" l="1"/>
  <c r="F1530" i="2" s="1"/>
  <c r="D1530" i="2"/>
  <c r="E1530" i="2" s="1"/>
  <c r="D1531" i="2" l="1"/>
  <c r="E1531" i="2" s="1"/>
  <c r="C1531" i="2"/>
  <c r="F1531" i="2" s="1"/>
  <c r="C1532" i="2" l="1"/>
  <c r="F1532" i="2" s="1"/>
  <c r="D1532" i="2"/>
  <c r="E1532" i="2" s="1"/>
  <c r="D1533" i="2" l="1"/>
  <c r="E1533" i="2" s="1"/>
  <c r="C1533" i="2"/>
  <c r="F1533" i="2" s="1"/>
  <c r="C1534" i="2" l="1"/>
  <c r="F1534" i="2" s="1"/>
  <c r="D1534" i="2"/>
  <c r="E1534" i="2" s="1"/>
  <c r="D1535" i="2" l="1"/>
  <c r="E1535" i="2" s="1"/>
  <c r="C1535" i="2"/>
  <c r="F1535" i="2" s="1"/>
  <c r="D1536" i="2" l="1"/>
  <c r="E1536" i="2" s="1"/>
  <c r="C1536" i="2"/>
  <c r="F1536" i="2" s="1"/>
  <c r="D1537" i="2" l="1"/>
  <c r="E1537" i="2" s="1"/>
  <c r="C1537" i="2"/>
  <c r="F1537" i="2" s="1"/>
  <c r="D1538" i="2" l="1"/>
  <c r="E1538" i="2" s="1"/>
  <c r="C1538" i="2"/>
  <c r="F1538" i="2" s="1"/>
  <c r="D1539" i="2" l="1"/>
  <c r="E1539" i="2" s="1"/>
  <c r="C1539" i="2"/>
  <c r="F1539" i="2" s="1"/>
  <c r="C1540" i="2" l="1"/>
  <c r="F1540" i="2" s="1"/>
  <c r="D1540" i="2"/>
  <c r="E1540" i="2" s="1"/>
  <c r="D1541" i="2" l="1"/>
  <c r="E1541" i="2" s="1"/>
  <c r="C1541" i="2"/>
  <c r="F1541" i="2" s="1"/>
  <c r="C1542" i="2" l="1"/>
  <c r="F1542" i="2" s="1"/>
  <c r="D1542" i="2"/>
  <c r="E1542" i="2" s="1"/>
  <c r="C1543" i="2" l="1"/>
  <c r="F1543" i="2" s="1"/>
  <c r="D1543" i="2"/>
  <c r="E1543" i="2" s="1"/>
  <c r="D1544" i="2" l="1"/>
  <c r="E1544" i="2" s="1"/>
  <c r="C1544" i="2"/>
  <c r="F1544" i="2" s="1"/>
  <c r="D1545" i="2" l="1"/>
  <c r="E1545" i="2" s="1"/>
  <c r="C1545" i="2"/>
  <c r="F1545" i="2" s="1"/>
  <c r="C1546" i="2" l="1"/>
  <c r="F1546" i="2" s="1"/>
  <c r="D1546" i="2"/>
  <c r="E1546" i="2" s="1"/>
  <c r="C1547" i="2" l="1"/>
  <c r="F1547" i="2" s="1"/>
  <c r="D1547" i="2"/>
  <c r="E1547" i="2" s="1"/>
  <c r="C1548" i="2" l="1"/>
  <c r="F1548" i="2" s="1"/>
  <c r="D1548" i="2"/>
  <c r="E1548" i="2" s="1"/>
  <c r="C1549" i="2" l="1"/>
  <c r="F1549" i="2" s="1"/>
  <c r="D1549" i="2"/>
  <c r="E1549" i="2" s="1"/>
  <c r="C1550" i="2" l="1"/>
  <c r="F1550" i="2" s="1"/>
  <c r="D1550" i="2"/>
  <c r="E1550" i="2" s="1"/>
  <c r="D1551" i="2" l="1"/>
  <c r="E1551" i="2" s="1"/>
  <c r="C1551" i="2"/>
  <c r="F1551" i="2" s="1"/>
  <c r="C1552" i="2" l="1"/>
  <c r="F1552" i="2" s="1"/>
  <c r="D1552" i="2"/>
  <c r="E1552" i="2" s="1"/>
  <c r="D1553" i="2" l="1"/>
  <c r="E1553" i="2" s="1"/>
  <c r="C1553" i="2"/>
  <c r="F1553" i="2" s="1"/>
  <c r="D1554" i="2" l="1"/>
  <c r="E1554" i="2" s="1"/>
  <c r="C1554" i="2"/>
  <c r="F1554" i="2" s="1"/>
  <c r="C1555" i="2" l="1"/>
  <c r="F1555" i="2" s="1"/>
  <c r="D1555" i="2"/>
  <c r="E1555" i="2" s="1"/>
  <c r="C1556" i="2" l="1"/>
  <c r="F1556" i="2" s="1"/>
  <c r="D1556" i="2"/>
  <c r="E1556" i="2" s="1"/>
  <c r="C1557" i="2" l="1"/>
  <c r="F1557" i="2" s="1"/>
  <c r="D1557" i="2"/>
  <c r="E1557" i="2" s="1"/>
  <c r="C1558" i="2" l="1"/>
  <c r="F1558" i="2" s="1"/>
  <c r="D1558" i="2"/>
  <c r="E1558" i="2" s="1"/>
  <c r="D1559" i="2" l="1"/>
  <c r="E1559" i="2" s="1"/>
  <c r="C1559" i="2"/>
  <c r="F1559" i="2" s="1"/>
  <c r="C1560" i="2" l="1"/>
  <c r="F1560" i="2" s="1"/>
  <c r="D1560" i="2"/>
  <c r="E1560" i="2" s="1"/>
  <c r="D1561" i="2" l="1"/>
  <c r="E1561" i="2" s="1"/>
  <c r="C1561" i="2"/>
  <c r="F1561" i="2" s="1"/>
  <c r="C1562" i="2" l="1"/>
  <c r="F1562" i="2" s="1"/>
  <c r="D1562" i="2"/>
  <c r="E1562" i="2" s="1"/>
  <c r="D1563" i="2" l="1"/>
  <c r="E1563" i="2" s="1"/>
  <c r="C1563" i="2"/>
  <c r="F1563" i="2" s="1"/>
  <c r="C1564" i="2" l="1"/>
  <c r="F1564" i="2" s="1"/>
  <c r="D1564" i="2"/>
  <c r="E1564" i="2" s="1"/>
  <c r="C1565" i="2" l="1"/>
  <c r="F1565" i="2" s="1"/>
  <c r="D1565" i="2"/>
  <c r="E1565" i="2" s="1"/>
  <c r="D1566" i="2" l="1"/>
  <c r="E1566" i="2" s="1"/>
  <c r="C1566" i="2"/>
  <c r="F1566" i="2" s="1"/>
  <c r="D1567" i="2" l="1"/>
  <c r="E1567" i="2" s="1"/>
  <c r="C1567" i="2"/>
  <c r="F1567" i="2" s="1"/>
  <c r="C1568" i="2" l="1"/>
  <c r="F1568" i="2" s="1"/>
  <c r="D1568" i="2"/>
  <c r="E1568" i="2" s="1"/>
  <c r="D1569" i="2" l="1"/>
  <c r="E1569" i="2" s="1"/>
  <c r="C1569" i="2"/>
  <c r="F1569" i="2" s="1"/>
  <c r="D1570" i="2" l="1"/>
  <c r="E1570" i="2" s="1"/>
  <c r="C1570" i="2"/>
  <c r="F1570" i="2" s="1"/>
  <c r="D1571" i="2" l="1"/>
  <c r="E1571" i="2" s="1"/>
  <c r="C1571" i="2"/>
  <c r="F1571" i="2" s="1"/>
  <c r="C1572" i="2" l="1"/>
  <c r="F1572" i="2" s="1"/>
  <c r="D1572" i="2"/>
  <c r="E1572" i="2" s="1"/>
  <c r="D1573" i="2" l="1"/>
  <c r="E1573" i="2" s="1"/>
  <c r="C1573" i="2"/>
  <c r="F1573" i="2" s="1"/>
  <c r="C1574" i="2" l="1"/>
  <c r="F1574" i="2" s="1"/>
  <c r="D1574" i="2"/>
  <c r="E1574" i="2" s="1"/>
  <c r="C1575" i="2" l="1"/>
  <c r="F1575" i="2" s="1"/>
  <c r="D1575" i="2"/>
  <c r="E1575" i="2" s="1"/>
  <c r="D1576" i="2" l="1"/>
  <c r="E1576" i="2" s="1"/>
  <c r="C1576" i="2"/>
  <c r="F1576" i="2" s="1"/>
  <c r="D1577" i="2" l="1"/>
  <c r="E1577" i="2" s="1"/>
  <c r="C1577" i="2"/>
  <c r="F1577" i="2" s="1"/>
  <c r="C1578" i="2" l="1"/>
  <c r="F1578" i="2" s="1"/>
  <c r="D1578" i="2"/>
  <c r="E1578" i="2" s="1"/>
  <c r="D1579" i="2" l="1"/>
  <c r="E1579" i="2" s="1"/>
  <c r="C1579" i="2"/>
  <c r="F1579" i="2" s="1"/>
  <c r="C1580" i="2" l="1"/>
  <c r="F1580" i="2" s="1"/>
  <c r="D1580" i="2"/>
  <c r="E1580" i="2" s="1"/>
  <c r="C1581" i="2" l="1"/>
  <c r="F1581" i="2" s="1"/>
  <c r="D1581" i="2"/>
  <c r="E1581" i="2" s="1"/>
  <c r="C1582" i="2" l="1"/>
  <c r="F1582" i="2" s="1"/>
  <c r="D1582" i="2"/>
  <c r="E1582" i="2" s="1"/>
  <c r="C1583" i="2" l="1"/>
  <c r="F1583" i="2" s="1"/>
  <c r="D1583" i="2"/>
  <c r="E1583" i="2" s="1"/>
  <c r="C1584" i="2" l="1"/>
  <c r="F1584" i="2" s="1"/>
  <c r="D1584" i="2"/>
  <c r="E1584" i="2" s="1"/>
  <c r="D1585" i="2" l="1"/>
  <c r="E1585" i="2" s="1"/>
  <c r="C1585" i="2"/>
  <c r="F1585" i="2" s="1"/>
  <c r="C1586" i="2" l="1"/>
  <c r="F1586" i="2" s="1"/>
  <c r="D1586" i="2"/>
  <c r="E1586" i="2" s="1"/>
  <c r="C1587" i="2" l="1"/>
  <c r="F1587" i="2" s="1"/>
  <c r="D1587" i="2"/>
  <c r="E1587" i="2" s="1"/>
  <c r="C1588" i="2" l="1"/>
  <c r="F1588" i="2" s="1"/>
  <c r="D1588" i="2"/>
  <c r="E1588" i="2" s="1"/>
  <c r="C1589" i="2" l="1"/>
  <c r="F1589" i="2" s="1"/>
  <c r="D1589" i="2"/>
  <c r="E1589" i="2" s="1"/>
  <c r="C1590" i="2" l="1"/>
  <c r="F1590" i="2" s="1"/>
  <c r="D1590" i="2"/>
  <c r="E1590" i="2" s="1"/>
  <c r="C1591" i="2" l="1"/>
  <c r="F1591" i="2" s="1"/>
  <c r="D1591" i="2"/>
  <c r="E1591" i="2" s="1"/>
  <c r="C1592" i="2" l="1"/>
  <c r="F1592" i="2" s="1"/>
  <c r="D1592" i="2"/>
  <c r="E1592" i="2" s="1"/>
  <c r="D1593" i="2" l="1"/>
  <c r="E1593" i="2" s="1"/>
  <c r="C1593" i="2"/>
  <c r="F1593" i="2" s="1"/>
  <c r="D1594" i="2" l="1"/>
  <c r="E1594" i="2" s="1"/>
  <c r="C1594" i="2"/>
  <c r="F1594" i="2" s="1"/>
  <c r="C1595" i="2" l="1"/>
  <c r="F1595" i="2" s="1"/>
  <c r="D1595" i="2"/>
  <c r="E1595" i="2" s="1"/>
  <c r="D1596" i="2" l="1"/>
  <c r="E1596" i="2" s="1"/>
  <c r="C1596" i="2"/>
  <c r="F1596" i="2" s="1"/>
  <c r="D1597" i="2" l="1"/>
  <c r="E1597" i="2" s="1"/>
  <c r="C1597" i="2"/>
  <c r="F1597" i="2" s="1"/>
  <c r="D1598" i="2" l="1"/>
  <c r="E1598" i="2" s="1"/>
  <c r="C1598" i="2"/>
  <c r="F1598" i="2" s="1"/>
  <c r="D1599" i="2" l="1"/>
  <c r="E1599" i="2" s="1"/>
  <c r="C1599" i="2"/>
  <c r="F1599" i="2" s="1"/>
  <c r="C1600" i="2" l="1"/>
  <c r="F1600" i="2" s="1"/>
  <c r="D1600" i="2"/>
  <c r="E1600" i="2" s="1"/>
  <c r="D1601" i="2" l="1"/>
  <c r="E1601" i="2" s="1"/>
  <c r="C1601" i="2"/>
  <c r="F1601" i="2" s="1"/>
  <c r="D1602" i="2" l="1"/>
  <c r="E1602" i="2" s="1"/>
  <c r="C1602" i="2"/>
  <c r="F1602" i="2" s="1"/>
  <c r="D1603" i="2" l="1"/>
  <c r="E1603" i="2" s="1"/>
  <c r="C1603" i="2"/>
  <c r="F1603" i="2" s="1"/>
  <c r="C1604" i="2" l="1"/>
  <c r="F1604" i="2" s="1"/>
  <c r="D1604" i="2"/>
  <c r="E1604" i="2" s="1"/>
  <c r="C1605" i="2" l="1"/>
  <c r="F1605" i="2" s="1"/>
  <c r="D1605" i="2"/>
  <c r="E1605" i="2" s="1"/>
  <c r="C1606" i="2" l="1"/>
  <c r="F1606" i="2" s="1"/>
  <c r="D1606" i="2"/>
  <c r="E1606" i="2" s="1"/>
  <c r="D1607" i="2" l="1"/>
  <c r="E1607" i="2" s="1"/>
  <c r="C1607" i="2"/>
  <c r="F1607" i="2" s="1"/>
  <c r="D1608" i="2" l="1"/>
  <c r="E1608" i="2" s="1"/>
  <c r="C1608" i="2"/>
  <c r="F1608" i="2" s="1"/>
  <c r="D1609" i="2" l="1"/>
  <c r="E1609" i="2" s="1"/>
  <c r="C1609" i="2"/>
  <c r="F1609" i="2" s="1"/>
  <c r="D1610" i="2" l="1"/>
  <c r="E1610" i="2" s="1"/>
  <c r="C1610" i="2"/>
  <c r="F1610" i="2" s="1"/>
  <c r="D1611" i="2" l="1"/>
  <c r="E1611" i="2" s="1"/>
  <c r="C1611" i="2"/>
  <c r="F1611" i="2" s="1"/>
  <c r="D1612" i="2" l="1"/>
  <c r="E1612" i="2" s="1"/>
  <c r="C1612" i="2"/>
  <c r="F1612" i="2" s="1"/>
  <c r="C1613" i="2" l="1"/>
  <c r="F1613" i="2" s="1"/>
  <c r="D1613" i="2"/>
  <c r="E1613" i="2" s="1"/>
  <c r="D1614" i="2" l="1"/>
  <c r="E1614" i="2" s="1"/>
  <c r="C1614" i="2"/>
  <c r="F1614" i="2" s="1"/>
  <c r="C1615" i="2" l="1"/>
  <c r="F1615" i="2" s="1"/>
  <c r="D1615" i="2"/>
  <c r="E1615" i="2" s="1"/>
  <c r="C1616" i="2" l="1"/>
  <c r="F1616" i="2" s="1"/>
  <c r="D1616" i="2"/>
  <c r="E1616" i="2" s="1"/>
  <c r="C1617" i="2" l="1"/>
  <c r="F1617" i="2" s="1"/>
  <c r="D1617" i="2"/>
  <c r="E1617" i="2" s="1"/>
  <c r="D1618" i="2" l="1"/>
  <c r="E1618" i="2" s="1"/>
  <c r="C1618" i="2"/>
  <c r="F1618" i="2" s="1"/>
  <c r="D1619" i="2" l="1"/>
  <c r="E1619" i="2" s="1"/>
  <c r="C1619" i="2"/>
  <c r="F1619" i="2" s="1"/>
  <c r="C1620" i="2" l="1"/>
  <c r="F1620" i="2" s="1"/>
  <c r="D1620" i="2"/>
  <c r="E1620" i="2" s="1"/>
  <c r="C1621" i="2" l="1"/>
  <c r="F1621" i="2" s="1"/>
  <c r="D1621" i="2"/>
  <c r="E1621" i="2" s="1"/>
  <c r="C1622" i="2" l="1"/>
  <c r="F1622" i="2" s="1"/>
  <c r="D1622" i="2"/>
  <c r="E1622" i="2" s="1"/>
  <c r="C1623" i="2" l="1"/>
  <c r="F1623" i="2" s="1"/>
  <c r="D1623" i="2"/>
  <c r="E1623" i="2" s="1"/>
  <c r="C1624" i="2" l="1"/>
  <c r="F1624" i="2" s="1"/>
  <c r="D1624" i="2"/>
  <c r="E1624" i="2" s="1"/>
  <c r="C1625" i="2" l="1"/>
  <c r="F1625" i="2" s="1"/>
  <c r="D1625" i="2"/>
  <c r="E1625" i="2" s="1"/>
  <c r="D1626" i="2" l="1"/>
  <c r="E1626" i="2" s="1"/>
  <c r="C1626" i="2"/>
  <c r="F1626" i="2" s="1"/>
  <c r="D1627" i="2" l="1"/>
  <c r="E1627" i="2" s="1"/>
  <c r="C1627" i="2"/>
  <c r="F1627" i="2" s="1"/>
  <c r="D1628" i="2" l="1"/>
  <c r="E1628" i="2" s="1"/>
  <c r="C1628" i="2"/>
  <c r="F1628" i="2" s="1"/>
  <c r="D1629" i="2" l="1"/>
  <c r="E1629" i="2" s="1"/>
  <c r="C1629" i="2"/>
  <c r="F1629" i="2" s="1"/>
  <c r="C1630" i="2" l="1"/>
  <c r="F1630" i="2" s="1"/>
  <c r="D1630" i="2"/>
  <c r="E1630" i="2" s="1"/>
  <c r="C1631" i="2" l="1"/>
  <c r="F1631" i="2" s="1"/>
  <c r="D1631" i="2"/>
  <c r="E1631" i="2" s="1"/>
  <c r="C1632" i="2" l="1"/>
  <c r="F1632" i="2" s="1"/>
  <c r="D1632" i="2"/>
  <c r="E1632" i="2" s="1"/>
  <c r="C1633" i="2" l="1"/>
  <c r="F1633" i="2" s="1"/>
  <c r="D1633" i="2"/>
  <c r="E1633" i="2" s="1"/>
  <c r="D1634" i="2" l="1"/>
  <c r="E1634" i="2" s="1"/>
  <c r="C1634" i="2"/>
  <c r="F1634" i="2" s="1"/>
  <c r="D1635" i="2" l="1"/>
  <c r="E1635" i="2" s="1"/>
  <c r="C1635" i="2"/>
  <c r="F1635" i="2" s="1"/>
  <c r="C1636" i="2" l="1"/>
  <c r="F1636" i="2" s="1"/>
  <c r="D1636" i="2"/>
  <c r="E1636" i="2" s="1"/>
  <c r="D1637" i="2" l="1"/>
  <c r="E1637" i="2" s="1"/>
  <c r="C1637" i="2"/>
  <c r="F1637" i="2" s="1"/>
  <c r="C1638" i="2" l="1"/>
  <c r="F1638" i="2" s="1"/>
  <c r="D1638" i="2"/>
  <c r="E1638" i="2" s="1"/>
  <c r="D1639" i="2" l="1"/>
  <c r="E1639" i="2" s="1"/>
  <c r="C1639" i="2"/>
  <c r="F1639" i="2" s="1"/>
  <c r="C1640" i="2" l="1"/>
  <c r="F1640" i="2" s="1"/>
  <c r="D1640" i="2"/>
  <c r="E1640" i="2" s="1"/>
  <c r="D1641" i="2" l="1"/>
  <c r="E1641" i="2" s="1"/>
  <c r="C1641" i="2"/>
  <c r="F1641" i="2" s="1"/>
  <c r="D1642" i="2" l="1"/>
  <c r="E1642" i="2" s="1"/>
  <c r="C1642" i="2"/>
  <c r="F1642" i="2" s="1"/>
  <c r="D1643" i="2" l="1"/>
  <c r="E1643" i="2" s="1"/>
  <c r="C1643" i="2"/>
  <c r="F1643" i="2" s="1"/>
  <c r="C1644" i="2" l="1"/>
  <c r="F1644" i="2" s="1"/>
  <c r="D1644" i="2"/>
  <c r="E1644" i="2" s="1"/>
  <c r="C1645" i="2" l="1"/>
  <c r="F1645" i="2" s="1"/>
  <c r="D1645" i="2"/>
  <c r="E1645" i="2" s="1"/>
  <c r="C1646" i="2" l="1"/>
  <c r="F1646" i="2" s="1"/>
  <c r="D1646" i="2"/>
  <c r="E1646" i="2" s="1"/>
  <c r="C1647" i="2" l="1"/>
  <c r="F1647" i="2" s="1"/>
  <c r="D1647" i="2"/>
  <c r="E1647" i="2" s="1"/>
  <c r="C1648" i="2" l="1"/>
  <c r="F1648" i="2" s="1"/>
  <c r="D1648" i="2"/>
  <c r="E1648" i="2" s="1"/>
  <c r="D1649" i="2" l="1"/>
  <c r="E1649" i="2" s="1"/>
  <c r="C1649" i="2"/>
  <c r="F1649" i="2" s="1"/>
  <c r="E3" i="1" l="1"/>
  <c r="C1650" i="2"/>
  <c r="F1650" i="2" s="1"/>
  <c r="D1650" i="2"/>
  <c r="E1650" i="2" s="1"/>
  <c r="D1651" i="2" l="1"/>
  <c r="E1651" i="2" s="1"/>
  <c r="C1651" i="2"/>
  <c r="F1651" i="2" s="1"/>
  <c r="C1652" i="2" l="1"/>
  <c r="F1652" i="2" s="1"/>
  <c r="D1652" i="2"/>
  <c r="E1652" i="2" s="1"/>
  <c r="C1653" i="2" l="1"/>
  <c r="F1653" i="2" s="1"/>
  <c r="D1653" i="2"/>
  <c r="E1653" i="2" s="1"/>
  <c r="D1654" i="2" l="1"/>
  <c r="E1654" i="2" s="1"/>
  <c r="C1654" i="2"/>
  <c r="F1654" i="2" s="1"/>
  <c r="C1655" i="2" l="1"/>
  <c r="F1655" i="2" s="1"/>
  <c r="D1655" i="2"/>
  <c r="E1655" i="2" s="1"/>
  <c r="D1656" i="2" l="1"/>
  <c r="E1656" i="2" s="1"/>
  <c r="C1656" i="2"/>
  <c r="F1656" i="2" s="1"/>
  <c r="D1657" i="2" l="1"/>
  <c r="E1657" i="2" s="1"/>
  <c r="C1657" i="2"/>
  <c r="F1657" i="2" s="1"/>
  <c r="C1658" i="2" l="1"/>
  <c r="F1658" i="2" s="1"/>
  <c r="D1658" i="2"/>
  <c r="E1658" i="2" s="1"/>
  <c r="D1659" i="2" l="1"/>
  <c r="E1659" i="2" s="1"/>
  <c r="C1659" i="2"/>
  <c r="F1659" i="2" s="1"/>
  <c r="C1660" i="2" l="1"/>
  <c r="F1660" i="2" s="1"/>
  <c r="D1660" i="2"/>
  <c r="E1660" i="2" s="1"/>
  <c r="D1661" i="2" l="1"/>
  <c r="E1661" i="2" s="1"/>
  <c r="C1661" i="2"/>
  <c r="F1661" i="2" s="1"/>
  <c r="C1662" i="2" l="1"/>
  <c r="F1662" i="2" s="1"/>
  <c r="D1662" i="2"/>
  <c r="E1662" i="2" s="1"/>
  <c r="D1663" i="2" l="1"/>
  <c r="E1663" i="2" s="1"/>
  <c r="C1663" i="2"/>
  <c r="F1663" i="2" s="1"/>
  <c r="D1664" i="2" l="1"/>
  <c r="E1664" i="2" s="1"/>
  <c r="C1664" i="2"/>
  <c r="F1664" i="2" s="1"/>
  <c r="C1665" i="2" l="1"/>
  <c r="F1665" i="2" s="1"/>
  <c r="D1665" i="2"/>
  <c r="E1665" i="2" s="1"/>
  <c r="D1666" i="2" l="1"/>
  <c r="E1666" i="2" s="1"/>
  <c r="C1666" i="2"/>
  <c r="F1666" i="2" s="1"/>
  <c r="D1667" i="2" l="1"/>
  <c r="E1667" i="2" s="1"/>
  <c r="C1667" i="2"/>
  <c r="F1667" i="2" s="1"/>
  <c r="C1668" i="2" l="1"/>
  <c r="F1668" i="2" s="1"/>
  <c r="D1668" i="2"/>
  <c r="E1668" i="2" s="1"/>
  <c r="C1669" i="2" l="1"/>
  <c r="F1669" i="2" s="1"/>
  <c r="D1669" i="2"/>
  <c r="E1669" i="2" s="1"/>
  <c r="D1670" i="2" l="1"/>
  <c r="E1670" i="2" s="1"/>
  <c r="C1670" i="2"/>
  <c r="F1670" i="2" s="1"/>
  <c r="C1671" i="2" l="1"/>
  <c r="F1671" i="2" s="1"/>
  <c r="D1671" i="2"/>
  <c r="E1671" i="2" s="1"/>
  <c r="C1672" i="2" l="1"/>
  <c r="F1672" i="2" s="1"/>
  <c r="D1672" i="2"/>
  <c r="E1672" i="2" s="1"/>
  <c r="D1673" i="2" l="1"/>
  <c r="E1673" i="2" s="1"/>
  <c r="C1673" i="2"/>
  <c r="F1673" i="2" s="1"/>
  <c r="C1674" i="2" l="1"/>
  <c r="F1674" i="2" s="1"/>
  <c r="D1674" i="2"/>
  <c r="E1674" i="2" s="1"/>
  <c r="C1675" i="2" l="1"/>
  <c r="F1675" i="2" s="1"/>
  <c r="D1675" i="2"/>
  <c r="E1675" i="2" s="1"/>
  <c r="C1676" i="2" l="1"/>
  <c r="F1676" i="2" s="1"/>
  <c r="D1676" i="2"/>
  <c r="E1676" i="2" s="1"/>
  <c r="D1677" i="2" l="1"/>
  <c r="E1677" i="2" s="1"/>
  <c r="C1677" i="2"/>
  <c r="F1677" i="2" s="1"/>
  <c r="D1678" i="2" l="1"/>
  <c r="E1678" i="2" s="1"/>
  <c r="C1678" i="2"/>
  <c r="F1678" i="2" s="1"/>
  <c r="D1679" i="2" l="1"/>
  <c r="E1679" i="2" s="1"/>
  <c r="C1679" i="2"/>
  <c r="F1679" i="2" s="1"/>
  <c r="D1680" i="2" l="1"/>
  <c r="E1680" i="2" s="1"/>
  <c r="C1680" i="2"/>
  <c r="F1680" i="2" s="1"/>
  <c r="C1681" i="2" l="1"/>
  <c r="F1681" i="2" s="1"/>
  <c r="D1681" i="2"/>
  <c r="E1681" i="2" s="1"/>
  <c r="C1682" i="2" l="1"/>
  <c r="F1682" i="2" s="1"/>
  <c r="D1682" i="2"/>
  <c r="E1682" i="2" s="1"/>
  <c r="D1683" i="2" l="1"/>
  <c r="E1683" i="2" s="1"/>
  <c r="C1683" i="2"/>
  <c r="F1683" i="2" s="1"/>
  <c r="D1684" i="2" l="1"/>
  <c r="E1684" i="2" s="1"/>
  <c r="C1684" i="2"/>
  <c r="F1684" i="2" s="1"/>
  <c r="C1685" i="2" l="1"/>
  <c r="F1685" i="2" s="1"/>
  <c r="D1685" i="2"/>
  <c r="E1685" i="2" s="1"/>
  <c r="D1686" i="2" l="1"/>
  <c r="E1686" i="2" s="1"/>
  <c r="C1686" i="2"/>
  <c r="F1686" i="2" s="1"/>
  <c r="D1687" i="2" l="1"/>
  <c r="E1687" i="2" s="1"/>
  <c r="C1687" i="2"/>
  <c r="F1687" i="2" s="1"/>
  <c r="C1688" i="2" l="1"/>
  <c r="F1688" i="2" s="1"/>
  <c r="D1688" i="2"/>
  <c r="E1688" i="2" s="1"/>
  <c r="C1689" i="2" l="1"/>
  <c r="F1689" i="2" s="1"/>
  <c r="D1689" i="2"/>
  <c r="E1689" i="2" s="1"/>
  <c r="D1690" i="2" l="1"/>
  <c r="E1690" i="2" s="1"/>
  <c r="C1690" i="2"/>
  <c r="F1690" i="2" s="1"/>
  <c r="D1691" i="2" l="1"/>
  <c r="E1691" i="2" s="1"/>
  <c r="C1691" i="2"/>
  <c r="F1691" i="2" s="1"/>
  <c r="C1692" i="2" l="1"/>
  <c r="F1692" i="2" s="1"/>
  <c r="D1692" i="2"/>
  <c r="E1692" i="2" s="1"/>
  <c r="C1693" i="2" l="1"/>
  <c r="F1693" i="2" s="1"/>
  <c r="D1693" i="2"/>
  <c r="E1693" i="2" s="1"/>
  <c r="C1694" i="2" l="1"/>
  <c r="F1694" i="2" s="1"/>
  <c r="D1694" i="2"/>
  <c r="E1694" i="2" s="1"/>
  <c r="D1695" i="2" l="1"/>
  <c r="E1695" i="2" s="1"/>
  <c r="C1695" i="2"/>
  <c r="F1695" i="2" s="1"/>
  <c r="C1696" i="2" l="1"/>
  <c r="F1696" i="2" s="1"/>
  <c r="D1696" i="2"/>
  <c r="E1696" i="2" s="1"/>
  <c r="D1697" i="2" l="1"/>
  <c r="E1697" i="2" s="1"/>
  <c r="C1697" i="2"/>
  <c r="F1697" i="2" s="1"/>
  <c r="D1698" i="2" l="1"/>
  <c r="E1698" i="2" s="1"/>
  <c r="C1698" i="2"/>
  <c r="F1698" i="2" s="1"/>
  <c r="D1699" i="2" l="1"/>
  <c r="E1699" i="2" s="1"/>
  <c r="C1699" i="2"/>
  <c r="F1699" i="2" s="1"/>
  <c r="C1700" i="2" l="1"/>
  <c r="F1700" i="2" s="1"/>
  <c r="D1700" i="2"/>
  <c r="E1700" i="2" s="1"/>
  <c r="C1701" i="2" l="1"/>
  <c r="F1701" i="2" s="1"/>
  <c r="D1701" i="2"/>
  <c r="E1701" i="2" s="1"/>
  <c r="D1702" i="2" l="1"/>
  <c r="E1702" i="2" s="1"/>
  <c r="C1702" i="2"/>
  <c r="F1702" i="2" s="1"/>
  <c r="D1703" i="2" l="1"/>
  <c r="E1703" i="2" s="1"/>
  <c r="C1703" i="2"/>
  <c r="F1703" i="2" s="1"/>
  <c r="C1704" i="2" l="1"/>
  <c r="F1704" i="2" s="1"/>
  <c r="D1704" i="2"/>
  <c r="E1704" i="2" s="1"/>
  <c r="D1705" i="2" l="1"/>
  <c r="E1705" i="2" s="1"/>
  <c r="C1705" i="2"/>
  <c r="F1705" i="2" s="1"/>
  <c r="C1706" i="2" l="1"/>
  <c r="F1706" i="2" s="1"/>
  <c r="D1706" i="2"/>
  <c r="E1706" i="2" s="1"/>
  <c r="D1707" i="2" l="1"/>
  <c r="E1707" i="2" s="1"/>
  <c r="C1707" i="2"/>
  <c r="F1707" i="2" s="1"/>
  <c r="C1708" i="2" l="1"/>
  <c r="F1708" i="2" s="1"/>
  <c r="D1708" i="2"/>
  <c r="E1708" i="2" s="1"/>
  <c r="C1709" i="2" l="1"/>
  <c r="F1709" i="2" s="1"/>
  <c r="D1709" i="2"/>
  <c r="E1709" i="2" s="1"/>
  <c r="D1710" i="2" l="1"/>
  <c r="E1710" i="2" s="1"/>
  <c r="C1710" i="2"/>
  <c r="F1710" i="2" s="1"/>
  <c r="C1711" i="2" l="1"/>
  <c r="F1711" i="2" s="1"/>
  <c r="D1711" i="2"/>
  <c r="E1711" i="2" s="1"/>
  <c r="D1712" i="2" l="1"/>
  <c r="E1712" i="2" s="1"/>
  <c r="C1712" i="2"/>
  <c r="F1712" i="2" s="1"/>
  <c r="D1713" i="2" l="1"/>
  <c r="E1713" i="2" s="1"/>
  <c r="C1713" i="2"/>
  <c r="F1713" i="2" s="1"/>
  <c r="C1714" i="2" l="1"/>
  <c r="F1714" i="2" s="1"/>
  <c r="D1714" i="2"/>
  <c r="E1714" i="2" s="1"/>
  <c r="D1715" i="2" l="1"/>
  <c r="E1715" i="2" s="1"/>
  <c r="C1715" i="2"/>
  <c r="F1715" i="2" s="1"/>
  <c r="C1716" i="2" l="1"/>
  <c r="F1716" i="2" s="1"/>
  <c r="D1716" i="2"/>
  <c r="E1716" i="2" s="1"/>
  <c r="D1717" i="2" l="1"/>
  <c r="E1717" i="2" s="1"/>
  <c r="C1717" i="2"/>
  <c r="F1717" i="2" s="1"/>
  <c r="C1718" i="2" l="1"/>
  <c r="F1718" i="2" s="1"/>
  <c r="D1718" i="2"/>
  <c r="E1718" i="2" s="1"/>
  <c r="C1719" i="2" l="1"/>
  <c r="F1719" i="2" s="1"/>
  <c r="D1719" i="2"/>
  <c r="E1719" i="2" s="1"/>
  <c r="C1720" i="2" l="1"/>
  <c r="F1720" i="2" s="1"/>
  <c r="D1720" i="2"/>
  <c r="E1720" i="2" s="1"/>
  <c r="C1721" i="2" l="1"/>
  <c r="F1721" i="2" s="1"/>
  <c r="D1721" i="2"/>
  <c r="E1721" i="2" s="1"/>
  <c r="C1722" i="2" l="1"/>
  <c r="F1722" i="2" s="1"/>
  <c r="D1722" i="2"/>
  <c r="E1722" i="2" s="1"/>
  <c r="C1723" i="2" l="1"/>
  <c r="F1723" i="2" s="1"/>
  <c r="D1723" i="2"/>
  <c r="E1723" i="2" s="1"/>
  <c r="C1724" i="2" l="1"/>
  <c r="F1724" i="2" s="1"/>
  <c r="D1724" i="2"/>
  <c r="E1724" i="2" s="1"/>
  <c r="C1725" i="2" l="1"/>
  <c r="F1725" i="2" s="1"/>
  <c r="D1725" i="2"/>
  <c r="E1725" i="2" s="1"/>
  <c r="C1726" i="2" l="1"/>
  <c r="F1726" i="2" s="1"/>
  <c r="D1726" i="2"/>
  <c r="E1726" i="2" s="1"/>
  <c r="C1727" i="2" l="1"/>
  <c r="F1727" i="2" s="1"/>
  <c r="D1727" i="2"/>
  <c r="E1727" i="2" s="1"/>
  <c r="D1728" i="2" l="1"/>
  <c r="E1728" i="2" s="1"/>
  <c r="C1728" i="2"/>
  <c r="F1728" i="2" s="1"/>
  <c r="C1729" i="2" l="1"/>
  <c r="F1729" i="2" s="1"/>
  <c r="D1729" i="2"/>
  <c r="E1729" i="2" s="1"/>
  <c r="C1730" i="2" l="1"/>
  <c r="F1730" i="2" s="1"/>
  <c r="D1730" i="2"/>
  <c r="E1730" i="2" s="1"/>
  <c r="D1731" i="2" l="1"/>
  <c r="E1731" i="2" s="1"/>
  <c r="C1731" i="2"/>
  <c r="F1731" i="2" s="1"/>
  <c r="D1732" i="2" l="1"/>
  <c r="E1732" i="2" s="1"/>
  <c r="C1732" i="2"/>
  <c r="F1732" i="2" s="1"/>
  <c r="D1733" i="2" l="1"/>
  <c r="E1733" i="2" s="1"/>
  <c r="C1733" i="2"/>
  <c r="F1733" i="2" s="1"/>
  <c r="C1734" i="2" l="1"/>
  <c r="F1734" i="2" s="1"/>
  <c r="D1734" i="2"/>
  <c r="E1734" i="2" s="1"/>
  <c r="C1735" i="2" l="1"/>
  <c r="F1735" i="2" s="1"/>
  <c r="D1735" i="2"/>
  <c r="E1735" i="2" s="1"/>
  <c r="C1736" i="2" l="1"/>
  <c r="F1736" i="2" s="1"/>
  <c r="D1736" i="2"/>
  <c r="E1736" i="2" s="1"/>
  <c r="D1737" i="2" l="1"/>
  <c r="E1737" i="2" s="1"/>
  <c r="C1737" i="2"/>
  <c r="F1737" i="2" s="1"/>
  <c r="C1738" i="2" l="1"/>
  <c r="F1738" i="2" s="1"/>
  <c r="D1738" i="2"/>
  <c r="E1738" i="2" s="1"/>
  <c r="D1739" i="2" l="1"/>
  <c r="E1739" i="2" s="1"/>
  <c r="C1739" i="2"/>
  <c r="F1739" i="2" s="1"/>
  <c r="D1740" i="2" l="1"/>
  <c r="E1740" i="2" s="1"/>
  <c r="C1740" i="2"/>
  <c r="F1740" i="2" s="1"/>
  <c r="C1741" i="2" l="1"/>
  <c r="F1741" i="2" s="1"/>
  <c r="D1741" i="2"/>
  <c r="E1741" i="2" s="1"/>
  <c r="D1742" i="2" l="1"/>
  <c r="E1742" i="2" s="1"/>
  <c r="C1742" i="2"/>
  <c r="F1742" i="2" s="1"/>
  <c r="D1743" i="2" l="1"/>
  <c r="E1743" i="2" s="1"/>
  <c r="C1743" i="2"/>
  <c r="F1743" i="2" s="1"/>
  <c r="C1744" i="2" l="1"/>
  <c r="F1744" i="2" s="1"/>
  <c r="D1744" i="2"/>
  <c r="E1744" i="2" s="1"/>
  <c r="C1745" i="2" l="1"/>
  <c r="F1745" i="2" s="1"/>
  <c r="D1745" i="2"/>
  <c r="E1745" i="2" s="1"/>
  <c r="D1746" i="2" l="1"/>
  <c r="E1746" i="2" s="1"/>
  <c r="C1746" i="2"/>
  <c r="F1746" i="2" s="1"/>
  <c r="C1747" i="2" l="1"/>
  <c r="F1747" i="2" s="1"/>
  <c r="D1747" i="2"/>
  <c r="E1747" i="2" s="1"/>
  <c r="D1748" i="2" l="1"/>
  <c r="E1748" i="2" s="1"/>
  <c r="C1748" i="2"/>
  <c r="F1748" i="2" s="1"/>
  <c r="D1749" i="2" l="1"/>
  <c r="E1749" i="2" s="1"/>
  <c r="C1749" i="2"/>
  <c r="F1749" i="2" s="1"/>
  <c r="C1750" i="2" l="1"/>
  <c r="F1750" i="2" s="1"/>
  <c r="D1750" i="2"/>
  <c r="E1750" i="2" s="1"/>
  <c r="C1751" i="2" l="1"/>
  <c r="F1751" i="2" s="1"/>
  <c r="D1751" i="2"/>
  <c r="E1751" i="2" s="1"/>
  <c r="C1752" i="2" l="1"/>
  <c r="F1752" i="2" s="1"/>
  <c r="D1752" i="2"/>
  <c r="E1752" i="2" s="1"/>
  <c r="C1753" i="2" l="1"/>
  <c r="F1753" i="2" s="1"/>
  <c r="D1753" i="2"/>
  <c r="E1753" i="2" s="1"/>
  <c r="C1754" i="2" l="1"/>
  <c r="F1754" i="2" s="1"/>
  <c r="D1754" i="2"/>
  <c r="E1754" i="2" s="1"/>
  <c r="C1755" i="2" l="1"/>
  <c r="F1755" i="2" s="1"/>
  <c r="D1755" i="2"/>
  <c r="E1755" i="2" s="1"/>
  <c r="C1756" i="2" l="1"/>
  <c r="F1756" i="2" s="1"/>
  <c r="D1756" i="2"/>
  <c r="E1756" i="2" s="1"/>
  <c r="C1757" i="2" l="1"/>
  <c r="F1757" i="2" s="1"/>
  <c r="D1757" i="2"/>
  <c r="E1757" i="2" s="1"/>
  <c r="C1758" i="2" l="1"/>
  <c r="F1758" i="2" s="1"/>
  <c r="D1758" i="2"/>
  <c r="E1758" i="2" s="1"/>
  <c r="D1759" i="2" l="1"/>
  <c r="E1759" i="2" s="1"/>
  <c r="C1759" i="2"/>
  <c r="F1759" i="2" s="1"/>
  <c r="D1760" i="2" l="1"/>
  <c r="E1760" i="2" s="1"/>
  <c r="C1760" i="2"/>
  <c r="F1760" i="2" s="1"/>
  <c r="C1761" i="2" l="1"/>
  <c r="F1761" i="2" s="1"/>
  <c r="D1761" i="2"/>
  <c r="E1761" i="2" s="1"/>
  <c r="C1762" i="2" l="1"/>
  <c r="F1762" i="2" s="1"/>
  <c r="D1762" i="2"/>
  <c r="E1762" i="2" s="1"/>
  <c r="C1763" i="2" l="1"/>
  <c r="F1763" i="2" s="1"/>
  <c r="D1763" i="2"/>
  <c r="E1763" i="2" s="1"/>
  <c r="D1764" i="2" l="1"/>
  <c r="E1764" i="2" s="1"/>
  <c r="C1764" i="2"/>
  <c r="F1764" i="2" s="1"/>
  <c r="C1765" i="2" l="1"/>
  <c r="F1765" i="2" s="1"/>
  <c r="D1765" i="2"/>
  <c r="E1765" i="2" s="1"/>
  <c r="C1766" i="2" l="1"/>
  <c r="F1766" i="2" s="1"/>
  <c r="D1766" i="2"/>
  <c r="E1766" i="2" s="1"/>
  <c r="C1767" i="2" l="1"/>
  <c r="F1767" i="2" s="1"/>
  <c r="D1767" i="2"/>
  <c r="E1767" i="2" s="1"/>
  <c r="C1768" i="2" l="1"/>
  <c r="F1768" i="2" s="1"/>
  <c r="D1768" i="2"/>
  <c r="E1768" i="2" s="1"/>
  <c r="D1769" i="2" l="1"/>
  <c r="E1769" i="2" s="1"/>
  <c r="C1769" i="2"/>
  <c r="F1769" i="2" s="1"/>
  <c r="D1770" i="2" l="1"/>
  <c r="E1770" i="2" s="1"/>
  <c r="C1770" i="2"/>
  <c r="F1770" i="2" s="1"/>
  <c r="C1771" i="2" l="1"/>
  <c r="F1771" i="2" s="1"/>
  <c r="D1771" i="2"/>
  <c r="E1771" i="2" s="1"/>
  <c r="D1772" i="2" l="1"/>
  <c r="E1772" i="2" s="1"/>
  <c r="C1772" i="2"/>
  <c r="F1772" i="2" s="1"/>
  <c r="C1773" i="2" l="1"/>
  <c r="F1773" i="2" s="1"/>
  <c r="D1773" i="2"/>
  <c r="E1773" i="2" s="1"/>
  <c r="C1774" i="2" l="1"/>
  <c r="F1774" i="2" s="1"/>
  <c r="D1774" i="2"/>
  <c r="E1774" i="2" s="1"/>
  <c r="C1775" i="2" l="1"/>
  <c r="F1775" i="2" s="1"/>
  <c r="D1775" i="2"/>
  <c r="E1775" i="2" s="1"/>
  <c r="C1776" i="2" l="1"/>
  <c r="F1776" i="2" s="1"/>
  <c r="D1776" i="2"/>
  <c r="E1776" i="2" s="1"/>
  <c r="D1777" i="2" l="1"/>
  <c r="E1777" i="2" s="1"/>
  <c r="C1777" i="2"/>
  <c r="F1777" i="2" s="1"/>
  <c r="C1778" i="2" l="1"/>
  <c r="F1778" i="2" s="1"/>
  <c r="D1778" i="2"/>
  <c r="E1778" i="2" s="1"/>
  <c r="D1779" i="2" l="1"/>
  <c r="E1779" i="2" s="1"/>
  <c r="C1779" i="2"/>
  <c r="F1779" i="2" s="1"/>
  <c r="D1780" i="2" l="1"/>
  <c r="E1780" i="2" s="1"/>
  <c r="C1780" i="2"/>
  <c r="F1780" i="2" s="1"/>
  <c r="D1781" i="2" l="1"/>
  <c r="E1781" i="2" s="1"/>
  <c r="C1781" i="2"/>
  <c r="F1781" i="2" s="1"/>
  <c r="C1782" i="2" l="1"/>
  <c r="F1782" i="2" s="1"/>
  <c r="D1782" i="2"/>
  <c r="E1782" i="2" s="1"/>
  <c r="C1783" i="2" l="1"/>
  <c r="F1783" i="2" s="1"/>
  <c r="D1783" i="2"/>
  <c r="E1783" i="2" s="1"/>
  <c r="D1784" i="2" l="1"/>
  <c r="E1784" i="2" s="1"/>
  <c r="C1784" i="2"/>
  <c r="F1784" i="2" s="1"/>
  <c r="C1785" i="2" l="1"/>
  <c r="F1785" i="2" s="1"/>
  <c r="D1785" i="2"/>
  <c r="E1785" i="2" s="1"/>
  <c r="D1786" i="2" l="1"/>
  <c r="E1786" i="2" s="1"/>
  <c r="C1786" i="2"/>
  <c r="F1786" i="2" s="1"/>
  <c r="C1787" i="2" l="1"/>
  <c r="F1787" i="2" s="1"/>
  <c r="D1787" i="2"/>
  <c r="E1787" i="2" s="1"/>
  <c r="C1788" i="2" l="1"/>
  <c r="F1788" i="2" s="1"/>
  <c r="D1788" i="2"/>
  <c r="E1788" i="2" s="1"/>
  <c r="C1789" i="2" l="1"/>
  <c r="F1789" i="2" s="1"/>
  <c r="D1789" i="2"/>
  <c r="E1789" i="2" s="1"/>
  <c r="C1790" i="2" l="1"/>
  <c r="F1790" i="2" s="1"/>
  <c r="D1790" i="2"/>
  <c r="E1790" i="2" s="1"/>
  <c r="C1791" i="2" l="1"/>
  <c r="F1791" i="2" s="1"/>
  <c r="D1791" i="2"/>
  <c r="E1791" i="2" s="1"/>
  <c r="D1792" i="2" l="1"/>
  <c r="E1792" i="2" s="1"/>
  <c r="C1792" i="2"/>
  <c r="F1792" i="2" s="1"/>
  <c r="C1793" i="2" l="1"/>
  <c r="F1793" i="2" s="1"/>
  <c r="D1793" i="2"/>
  <c r="E1793" i="2" s="1"/>
  <c r="C1794" i="2" l="1"/>
  <c r="F1794" i="2" s="1"/>
  <c r="D1794" i="2"/>
  <c r="E1794" i="2" s="1"/>
  <c r="C1795" i="2" l="1"/>
  <c r="F1795" i="2" s="1"/>
  <c r="D1795" i="2"/>
  <c r="E1795" i="2" s="1"/>
  <c r="C1796" i="2" l="1"/>
  <c r="F1796" i="2" s="1"/>
  <c r="D1796" i="2"/>
  <c r="E1796" i="2" s="1"/>
  <c r="D1797" i="2" l="1"/>
  <c r="E1797" i="2" s="1"/>
  <c r="C1797" i="2"/>
  <c r="F1797" i="2" s="1"/>
  <c r="C1798" i="2" l="1"/>
  <c r="F1798" i="2" s="1"/>
  <c r="D1798" i="2"/>
  <c r="E1798" i="2" s="1"/>
  <c r="D1799" i="2" l="1"/>
  <c r="E1799" i="2" s="1"/>
  <c r="C1799" i="2"/>
  <c r="F1799" i="2" s="1"/>
  <c r="C1800" i="2" l="1"/>
  <c r="F1800" i="2" s="1"/>
  <c r="D1800" i="2"/>
  <c r="E1800" i="2" s="1"/>
  <c r="C1801" i="2" l="1"/>
  <c r="F1801" i="2" s="1"/>
  <c r="D1801" i="2"/>
  <c r="E1801" i="2" s="1"/>
  <c r="C1802" i="2" l="1"/>
  <c r="F1802" i="2" s="1"/>
  <c r="D1802" i="2"/>
  <c r="E1802" i="2" s="1"/>
  <c r="C1803" i="2" l="1"/>
  <c r="F1803" i="2" s="1"/>
  <c r="D1803" i="2"/>
  <c r="E1803" i="2" s="1"/>
  <c r="D1804" i="2" l="1"/>
  <c r="E1804" i="2" s="1"/>
  <c r="C1804" i="2"/>
  <c r="F1804" i="2" s="1"/>
  <c r="D1805" i="2" l="1"/>
  <c r="E1805" i="2" s="1"/>
  <c r="C1805" i="2"/>
  <c r="F1805" i="2" s="1"/>
  <c r="C1806" i="2" l="1"/>
  <c r="F1806" i="2" s="1"/>
  <c r="D1806" i="2"/>
  <c r="E1806" i="2" s="1"/>
  <c r="C1807" i="2" l="1"/>
  <c r="F1807" i="2" s="1"/>
  <c r="D1807" i="2"/>
  <c r="E1807" i="2" s="1"/>
  <c r="C1808" i="2" l="1"/>
  <c r="F1808" i="2" s="1"/>
  <c r="D1808" i="2"/>
  <c r="E1808" i="2" s="1"/>
  <c r="C1809" i="2" l="1"/>
  <c r="F1809" i="2" s="1"/>
  <c r="D1809" i="2"/>
  <c r="E1809" i="2" s="1"/>
  <c r="C1810" i="2" l="1"/>
  <c r="F1810" i="2" s="1"/>
  <c r="D1810" i="2"/>
  <c r="E1810" i="2" s="1"/>
  <c r="D1811" i="2" l="1"/>
  <c r="E1811" i="2" s="1"/>
  <c r="C1811" i="2"/>
  <c r="F1811" i="2" s="1"/>
  <c r="C1812" i="2" l="1"/>
  <c r="F1812" i="2" s="1"/>
  <c r="D1812" i="2"/>
  <c r="E1812" i="2" s="1"/>
  <c r="C1813" i="2" l="1"/>
  <c r="F1813" i="2" s="1"/>
  <c r="D1813" i="2"/>
  <c r="E1813" i="2" s="1"/>
  <c r="D1814" i="2" l="1"/>
  <c r="E1814" i="2" s="1"/>
  <c r="C1814" i="2"/>
  <c r="F1814" i="2" s="1"/>
  <c r="C1815" i="2" l="1"/>
  <c r="F1815" i="2" s="1"/>
  <c r="D1815" i="2"/>
  <c r="E1815" i="2" s="1"/>
  <c r="C1816" i="2" l="1"/>
  <c r="F1816" i="2" s="1"/>
  <c r="D1816" i="2"/>
  <c r="E1816" i="2" s="1"/>
  <c r="C1817" i="2" l="1"/>
  <c r="F1817" i="2" s="1"/>
  <c r="D1817" i="2"/>
  <c r="E1817" i="2" s="1"/>
  <c r="C1818" i="2" l="1"/>
  <c r="F1818" i="2" s="1"/>
  <c r="D1818" i="2"/>
  <c r="E1818" i="2" s="1"/>
  <c r="D1819" i="2" l="1"/>
  <c r="E1819" i="2" s="1"/>
  <c r="C1819" i="2"/>
  <c r="F1819" i="2" s="1"/>
  <c r="D1820" i="2" l="1"/>
  <c r="E1820" i="2" s="1"/>
  <c r="C1820" i="2"/>
  <c r="F1820" i="2" s="1"/>
  <c r="C1821" i="2" l="1"/>
  <c r="F1821" i="2" s="1"/>
  <c r="D1821" i="2"/>
  <c r="E1821" i="2" s="1"/>
  <c r="C1822" i="2" l="1"/>
  <c r="F1822" i="2" s="1"/>
  <c r="D1822" i="2"/>
  <c r="E1822" i="2" s="1"/>
  <c r="D1823" i="2" l="1"/>
  <c r="E1823" i="2" s="1"/>
  <c r="C1823" i="2"/>
  <c r="F1823" i="2" s="1"/>
  <c r="C1824" i="2" l="1"/>
  <c r="F1824" i="2" s="1"/>
  <c r="D1824" i="2"/>
  <c r="E1824" i="2" s="1"/>
  <c r="D1825" i="2" l="1"/>
  <c r="E1825" i="2" s="1"/>
  <c r="C1825" i="2"/>
  <c r="F1825" i="2" s="1"/>
  <c r="D1826" i="2" l="1"/>
  <c r="E1826" i="2" s="1"/>
  <c r="C1826" i="2"/>
  <c r="F1826" i="2" s="1"/>
  <c r="C1827" i="2" l="1"/>
  <c r="F1827" i="2" s="1"/>
  <c r="D1827" i="2"/>
  <c r="E1827" i="2" s="1"/>
  <c r="C1828" i="2" l="1"/>
  <c r="F1828" i="2" s="1"/>
  <c r="D1828" i="2"/>
  <c r="E1828" i="2" s="1"/>
  <c r="C1829" i="2" l="1"/>
  <c r="F1829" i="2" s="1"/>
  <c r="D1829" i="2"/>
  <c r="E1829" i="2" s="1"/>
  <c r="C1830" i="2" l="1"/>
  <c r="F1830" i="2" s="1"/>
  <c r="D1830" i="2"/>
  <c r="E1830" i="2" s="1"/>
  <c r="C1831" i="2" l="1"/>
  <c r="F1831" i="2" s="1"/>
  <c r="D1831" i="2"/>
  <c r="E1831" i="2" s="1"/>
  <c r="C1832" i="2" l="1"/>
  <c r="F1832" i="2" s="1"/>
  <c r="D1832" i="2"/>
  <c r="E1832" i="2" s="1"/>
  <c r="D1833" i="2" l="1"/>
  <c r="E1833" i="2" s="1"/>
  <c r="C1833" i="2"/>
  <c r="F1833" i="2" s="1"/>
  <c r="D1834" i="2" l="1"/>
  <c r="E1834" i="2" s="1"/>
  <c r="C1834" i="2"/>
  <c r="F1834" i="2" s="1"/>
  <c r="C1835" i="2" l="1"/>
  <c r="F1835" i="2" s="1"/>
  <c r="D1835" i="2"/>
  <c r="E1835" i="2" s="1"/>
  <c r="C1836" i="2" l="1"/>
  <c r="F1836" i="2" s="1"/>
  <c r="D1836" i="2"/>
  <c r="E1836" i="2" s="1"/>
  <c r="C1837" i="2" l="1"/>
  <c r="F1837" i="2" s="1"/>
  <c r="D1837" i="2"/>
  <c r="E1837" i="2" s="1"/>
  <c r="C1838" i="2" l="1"/>
  <c r="F1838" i="2" s="1"/>
  <c r="D1838" i="2"/>
  <c r="E1838" i="2" s="1"/>
  <c r="D1839" i="2" l="1"/>
  <c r="E1839" i="2" s="1"/>
  <c r="C1839" i="2"/>
  <c r="F1839" i="2" s="1"/>
  <c r="C1840" i="2" l="1"/>
  <c r="F1840" i="2" s="1"/>
  <c r="D1840" i="2"/>
  <c r="E1840" i="2" s="1"/>
  <c r="D1841" i="2" l="1"/>
  <c r="E1841" i="2" s="1"/>
  <c r="C1841" i="2"/>
  <c r="F1841" i="2" s="1"/>
  <c r="D1842" i="2" l="1"/>
  <c r="E1842" i="2" s="1"/>
  <c r="C1842" i="2"/>
  <c r="F1842" i="2" s="1"/>
  <c r="D1843" i="2" l="1"/>
  <c r="E1843" i="2" s="1"/>
  <c r="C1843" i="2"/>
  <c r="F1843" i="2" s="1"/>
  <c r="D1844" i="2" l="1"/>
  <c r="E1844" i="2" s="1"/>
  <c r="C1844" i="2"/>
  <c r="F1844" i="2" s="1"/>
  <c r="C1845" i="2" l="1"/>
  <c r="F1845" i="2" s="1"/>
  <c r="D1845" i="2"/>
  <c r="E1845" i="2" s="1"/>
  <c r="D1846" i="2" l="1"/>
  <c r="E1846" i="2" s="1"/>
  <c r="C1846" i="2"/>
  <c r="F1846" i="2" s="1"/>
  <c r="D1847" i="2" l="1"/>
  <c r="E1847" i="2" s="1"/>
  <c r="C1847" i="2"/>
  <c r="F1847" i="2" s="1"/>
  <c r="C1848" i="2" l="1"/>
  <c r="F1848" i="2" s="1"/>
  <c r="D1848" i="2"/>
  <c r="E1848" i="2" s="1"/>
  <c r="D1849" i="2" l="1"/>
  <c r="E1849" i="2" s="1"/>
  <c r="C1849" i="2"/>
  <c r="F1849" i="2" s="1"/>
  <c r="C1850" i="2" l="1"/>
  <c r="F1850" i="2" s="1"/>
  <c r="D1850" i="2"/>
  <c r="E1850" i="2" s="1"/>
  <c r="D1851" i="2" l="1"/>
  <c r="E1851" i="2" s="1"/>
  <c r="C1851" i="2"/>
  <c r="F1851" i="2" s="1"/>
  <c r="C1852" i="2" l="1"/>
  <c r="F1852" i="2" s="1"/>
  <c r="D1852" i="2"/>
  <c r="E1852" i="2" s="1"/>
  <c r="C9" i="1" l="1"/>
  <c r="Q9" i="1" s="1"/>
  <c r="Q10" i="1" s="1"/>
  <c r="G9" i="1"/>
  <c r="G10" i="1" s="1"/>
  <c r="L9" i="1"/>
  <c r="L10" i="1" s="1"/>
  <c r="D8" i="1"/>
  <c r="W9" i="1"/>
  <c r="Z9" i="1"/>
  <c r="T9" i="1"/>
  <c r="O9" i="1"/>
  <c r="J9" i="1"/>
  <c r="E9" i="1"/>
  <c r="C8" i="1"/>
  <c r="D1853" i="2"/>
  <c r="E1853" i="2" s="1"/>
  <c r="C1853" i="2"/>
  <c r="F1853" i="2" s="1"/>
  <c r="P9" i="1" l="1"/>
  <c r="F9" i="1"/>
  <c r="F10" i="1" s="1"/>
  <c r="K9" i="1"/>
  <c r="K10" i="1" s="1"/>
  <c r="F8" i="1"/>
  <c r="Q8" i="1"/>
  <c r="K8" i="1"/>
  <c r="P8" i="1"/>
  <c r="L8" i="1"/>
  <c r="G8" i="1"/>
  <c r="W8" i="1"/>
  <c r="Z8" i="1"/>
  <c r="D7" i="1"/>
  <c r="T8" i="1"/>
  <c r="J8" i="1"/>
  <c r="E8" i="1"/>
  <c r="O8" i="1"/>
  <c r="D1854" i="2"/>
  <c r="E1854" i="2" s="1"/>
  <c r="C1854" i="2"/>
  <c r="F1854" i="2" s="1"/>
  <c r="P10" i="1"/>
  <c r="L7" i="1" l="1"/>
  <c r="F7" i="1"/>
  <c r="Q7" i="1"/>
  <c r="K7" i="1"/>
  <c r="P7" i="1"/>
  <c r="G7" i="1"/>
  <c r="C1855" i="2"/>
  <c r="F1855" i="2" s="1"/>
  <c r="D1855" i="2"/>
  <c r="E1855" i="2" s="1"/>
  <c r="M7" i="1"/>
  <c r="S7" i="1"/>
  <c r="C1856" i="2" l="1"/>
  <c r="F1856" i="2" s="1"/>
  <c r="D1856" i="2"/>
  <c r="E1856" i="2" s="1"/>
  <c r="H7" i="1"/>
  <c r="M8" i="1"/>
  <c r="S8" i="1"/>
  <c r="N7" i="1"/>
  <c r="R7" i="1"/>
  <c r="I7" i="1"/>
  <c r="C1857" i="2" l="1"/>
  <c r="F1857" i="2" s="1"/>
  <c r="D1857" i="2"/>
  <c r="E1857" i="2" s="1"/>
  <c r="H8" i="1"/>
  <c r="N8" i="1"/>
  <c r="M9" i="1"/>
  <c r="S9" i="1"/>
  <c r="I8" i="1"/>
  <c r="R8" i="1"/>
  <c r="D1858" i="2" l="1"/>
  <c r="E1858" i="2" s="1"/>
  <c r="C1858" i="2"/>
  <c r="F1858" i="2" s="1"/>
  <c r="N9" i="1"/>
  <c r="H9" i="1"/>
  <c r="I9" i="1"/>
  <c r="S10" i="1"/>
  <c r="M10" i="1"/>
  <c r="R9" i="1"/>
  <c r="D1859" i="2" l="1"/>
  <c r="E1859" i="2" s="1"/>
  <c r="C1859" i="2"/>
  <c r="F1859" i="2" s="1"/>
  <c r="I10" i="1"/>
  <c r="H10" i="1"/>
  <c r="N10" i="1"/>
  <c r="R10" i="1"/>
  <c r="M80" i="4" l="1"/>
  <c r="M36" i="4"/>
  <c r="M39" i="4"/>
  <c r="M29" i="4"/>
  <c r="M20" i="4"/>
  <c r="M81" i="4"/>
  <c r="M116" i="4"/>
  <c r="M40" i="4"/>
  <c r="M115" i="4"/>
  <c r="M111" i="4"/>
  <c r="M59" i="4"/>
  <c r="M42" i="4"/>
  <c r="M28" i="4"/>
  <c r="M41" i="4"/>
  <c r="M35" i="4"/>
  <c r="M125" i="4"/>
  <c r="M123" i="4"/>
  <c r="M140" i="4"/>
  <c r="G15" i="1"/>
  <c r="G18" i="1" s="1"/>
  <c r="AD7" i="1" s="1"/>
  <c r="M65" i="4"/>
  <c r="M85" i="4"/>
  <c r="M24" i="4"/>
  <c r="M99" i="4"/>
  <c r="M86" i="4"/>
  <c r="M82" i="4"/>
  <c r="M64" i="4"/>
  <c r="M17" i="4"/>
  <c r="M60" i="4"/>
  <c r="M112" i="4"/>
  <c r="M63" i="4"/>
  <c r="M23" i="4"/>
  <c r="M103" i="4"/>
  <c r="M21" i="4"/>
  <c r="M129" i="4"/>
  <c r="M61" i="4"/>
  <c r="M77" i="4"/>
  <c r="M135" i="4"/>
  <c r="M69" i="4"/>
  <c r="M75" i="4"/>
  <c r="M89" i="4"/>
  <c r="M124" i="4"/>
  <c r="M25" i="4"/>
  <c r="M68" i="4"/>
  <c r="M119" i="4"/>
  <c r="M67" i="4"/>
  <c r="M62" i="4"/>
  <c r="M58" i="4"/>
  <c r="M70" i="4"/>
  <c r="M114" i="4"/>
  <c r="M44" i="4"/>
  <c r="M87" i="4"/>
  <c r="M30" i="4"/>
  <c r="M71" i="4"/>
  <c r="M97" i="4"/>
  <c r="M132" i="4"/>
  <c r="M56" i="4"/>
  <c r="M126" i="4"/>
  <c r="M50" i="4"/>
  <c r="M49" i="4"/>
  <c r="M141" i="4"/>
  <c r="M6" i="4"/>
  <c r="M66" i="4"/>
  <c r="M127" i="4"/>
  <c r="M88" i="4"/>
  <c r="M31" i="4"/>
  <c r="M130" i="4"/>
  <c r="M121" i="4"/>
  <c r="M43" i="4"/>
  <c r="M26" i="4"/>
  <c r="M131" i="4"/>
  <c r="M122" i="4"/>
  <c r="M139" i="4"/>
  <c r="M137" i="4"/>
  <c r="M138" i="4"/>
  <c r="M134" i="4"/>
  <c r="M27" i="4"/>
  <c r="M37" i="4"/>
  <c r="M73" i="4"/>
  <c r="M108" i="4"/>
  <c r="M32" i="4"/>
  <c r="M107" i="4"/>
  <c r="M94" i="4"/>
  <c r="M90" i="4"/>
  <c r="M38" i="4"/>
  <c r="M34" i="4"/>
  <c r="M54" i="4"/>
  <c r="M120" i="4"/>
  <c r="M12" i="4"/>
  <c r="M47" i="4"/>
  <c r="M19" i="4"/>
  <c r="M84" i="4"/>
  <c r="M98" i="4"/>
  <c r="M128" i="4"/>
  <c r="M8" i="4"/>
  <c r="M53" i="4"/>
  <c r="M113" i="4"/>
  <c r="M52" i="4"/>
  <c r="M51" i="4"/>
  <c r="M15" i="4"/>
  <c r="M11" i="4"/>
  <c r="M13" i="4"/>
  <c r="M46" i="4"/>
  <c r="M136" i="4"/>
  <c r="M142" i="4"/>
  <c r="M100" i="4"/>
  <c r="M22" i="4"/>
  <c r="M117" i="4"/>
  <c r="M110" i="4"/>
  <c r="M92" i="4"/>
  <c r="M143" i="4"/>
  <c r="M144" i="4"/>
  <c r="M55" i="4"/>
  <c r="M91" i="4"/>
  <c r="M14" i="4"/>
  <c r="M10" i="4"/>
  <c r="M101" i="4"/>
  <c r="M96" i="4"/>
  <c r="M93" i="4"/>
  <c r="M7" i="4"/>
  <c r="M109" i="4"/>
  <c r="M102" i="4"/>
  <c r="M33" i="4"/>
  <c r="M76" i="4"/>
  <c r="M83" i="4"/>
  <c r="M16" i="4"/>
  <c r="M78" i="4"/>
  <c r="M74" i="4"/>
  <c r="M9" i="4"/>
  <c r="M95" i="4"/>
  <c r="M133" i="4"/>
  <c r="M105" i="4"/>
  <c r="M72" i="4"/>
  <c r="M45" i="4"/>
  <c r="M118" i="4"/>
  <c r="G19" i="1"/>
  <c r="G23" i="1" s="1"/>
  <c r="AD10" i="1" s="1"/>
  <c r="AD9" i="1" s="1"/>
  <c r="M79" i="4"/>
  <c r="M104" i="4"/>
  <c r="M48" i="4"/>
  <c r="M57" i="4"/>
  <c r="M18" i="4"/>
  <c r="M106" i="4"/>
  <c r="N141" i="4"/>
  <c r="N139" i="4"/>
  <c r="N25" i="4"/>
  <c r="N53" i="4"/>
  <c r="N127" i="4"/>
  <c r="N27" i="4"/>
  <c r="N86" i="4"/>
  <c r="N26" i="4"/>
  <c r="N39" i="4"/>
  <c r="N128" i="4"/>
  <c r="N13" i="4"/>
  <c r="N72" i="4"/>
  <c r="N115" i="4"/>
  <c r="N31" i="4"/>
  <c r="N114" i="4"/>
  <c r="N132" i="4"/>
  <c r="N81" i="4"/>
  <c r="N109" i="4"/>
  <c r="N19" i="4"/>
  <c r="N76" i="4"/>
  <c r="N75" i="4"/>
  <c r="N105" i="4"/>
  <c r="N17" i="4"/>
  <c r="N138" i="4"/>
  <c r="N6" i="4"/>
  <c r="N89" i="4"/>
  <c r="N117" i="4"/>
  <c r="N48" i="4"/>
  <c r="N91" i="4"/>
  <c r="N7" i="4"/>
  <c r="N90" i="4"/>
  <c r="N58" i="4"/>
  <c r="N49" i="4"/>
  <c r="N103" i="4"/>
  <c r="N136" i="4"/>
  <c r="N21" i="4"/>
  <c r="N95" i="4"/>
  <c r="N116" i="4"/>
  <c r="N62" i="4"/>
  <c r="N36" i="4"/>
  <c r="N77" i="4"/>
  <c r="N88" i="4"/>
  <c r="N65" i="4"/>
  <c r="N110" i="4"/>
  <c r="N144" i="4"/>
  <c r="N70" i="4"/>
  <c r="N10" i="4"/>
  <c r="N100" i="4"/>
  <c r="N112" i="4"/>
  <c r="N108" i="4"/>
  <c r="N71" i="4"/>
  <c r="N52" i="4"/>
  <c r="N30" i="4"/>
  <c r="N113" i="4"/>
  <c r="N131" i="4"/>
  <c r="N57" i="4"/>
  <c r="N85" i="4"/>
  <c r="N16" i="4"/>
  <c r="N59" i="4"/>
  <c r="N126" i="4"/>
  <c r="N66" i="4"/>
  <c r="N73" i="4"/>
  <c r="H19" i="1"/>
  <c r="H23" i="1" s="1"/>
  <c r="AE10" i="1" s="1"/>
  <c r="AE9" i="1" s="1"/>
  <c r="N78" i="4"/>
  <c r="N79" i="4"/>
  <c r="N106" i="4"/>
  <c r="N32" i="4"/>
  <c r="N63" i="4"/>
  <c r="N107" i="4"/>
  <c r="N50" i="4"/>
  <c r="N134" i="4"/>
  <c r="N74" i="4"/>
  <c r="N101" i="4"/>
  <c r="N33" i="4"/>
  <c r="N61" i="4"/>
  <c r="N135" i="4"/>
  <c r="N35" i="4"/>
  <c r="N94" i="4"/>
  <c r="N34" i="4"/>
  <c r="N38" i="4"/>
  <c r="N121" i="4"/>
  <c r="N54" i="4"/>
  <c r="N80" i="4"/>
  <c r="N123" i="4"/>
  <c r="N47" i="4"/>
  <c r="N130" i="4"/>
  <c r="N37" i="4"/>
  <c r="N119" i="4"/>
  <c r="N18" i="4"/>
  <c r="N124" i="4"/>
  <c r="N23" i="4"/>
  <c r="N93" i="4"/>
  <c r="N22" i="4"/>
  <c r="N8" i="4"/>
  <c r="N45" i="4"/>
  <c r="N143" i="4"/>
  <c r="N55" i="4"/>
  <c r="N20" i="4"/>
  <c r="N14" i="4"/>
  <c r="N97" i="4"/>
  <c r="N125" i="4"/>
  <c r="N56" i="4"/>
  <c r="N99" i="4"/>
  <c r="N15" i="4"/>
  <c r="N98" i="4"/>
  <c r="N102" i="4"/>
  <c r="N42" i="4"/>
  <c r="N24" i="4"/>
  <c r="N60" i="4"/>
  <c r="N29" i="4"/>
  <c r="N111" i="4"/>
  <c r="N11" i="4"/>
  <c r="N137" i="4"/>
  <c r="N120" i="4"/>
  <c r="N122" i="4"/>
  <c r="N84" i="4"/>
  <c r="N64" i="4"/>
  <c r="N9" i="4"/>
  <c r="H15" i="1"/>
  <c r="H18" i="1" s="1"/>
  <c r="AE7" i="1" s="1"/>
  <c r="N40" i="4"/>
  <c r="N83" i="4"/>
  <c r="N68" i="4"/>
  <c r="N82" i="4"/>
  <c r="N67" i="4"/>
  <c r="N41" i="4"/>
  <c r="N69" i="4"/>
  <c r="N28" i="4"/>
  <c r="N43" i="4"/>
  <c r="N87" i="4"/>
  <c r="N92" i="4"/>
  <c r="N46" i="4"/>
  <c r="N129" i="4"/>
  <c r="N118" i="4"/>
  <c r="N96" i="4"/>
  <c r="N12" i="4"/>
  <c r="N142" i="4"/>
  <c r="N140" i="4"/>
  <c r="N104" i="4"/>
  <c r="N44" i="4"/>
  <c r="N133" i="4"/>
  <c r="N51" i="4"/>
  <c r="L40" i="4"/>
  <c r="L131" i="4"/>
  <c r="L133" i="4"/>
  <c r="L105" i="4"/>
  <c r="L55" i="4"/>
  <c r="L103" i="4"/>
  <c r="L43" i="4"/>
  <c r="L22" i="4"/>
  <c r="L121" i="4"/>
  <c r="L54" i="4"/>
  <c r="L123" i="4"/>
  <c r="L102" i="4"/>
  <c r="L73" i="4"/>
  <c r="L21" i="4"/>
  <c r="L86" i="4"/>
  <c r="L19" i="4"/>
  <c r="L110" i="4"/>
  <c r="L58" i="4"/>
  <c r="L126" i="4"/>
  <c r="L93" i="4"/>
  <c r="L68" i="4"/>
  <c r="L79" i="4"/>
  <c r="L115" i="4"/>
  <c r="L97" i="4"/>
  <c r="L15" i="4"/>
  <c r="L63" i="4"/>
  <c r="L46" i="4"/>
  <c r="L31" i="4"/>
  <c r="L39" i="4"/>
  <c r="L12" i="4"/>
  <c r="L89" i="4"/>
  <c r="L104" i="4"/>
  <c r="L52" i="4"/>
  <c r="L111" i="4"/>
  <c r="L26" i="4"/>
  <c r="L53" i="4"/>
  <c r="L56" i="4"/>
  <c r="L135" i="4"/>
  <c r="L127" i="4"/>
  <c r="L42" i="4"/>
  <c r="L88" i="4"/>
  <c r="L11" i="4"/>
  <c r="L117" i="4"/>
  <c r="L30" i="4"/>
  <c r="L136" i="4"/>
  <c r="L96" i="4"/>
  <c r="L34" i="4"/>
  <c r="L16" i="4"/>
  <c r="L137" i="4"/>
  <c r="L140" i="4"/>
  <c r="L90" i="4"/>
  <c r="L106" i="4"/>
  <c r="L122" i="4"/>
  <c r="L132" i="4"/>
  <c r="L84" i="4"/>
  <c r="L82" i="4"/>
  <c r="L109" i="4"/>
  <c r="L61" i="4"/>
  <c r="L28" i="4"/>
  <c r="L142" i="4"/>
  <c r="L139" i="4"/>
  <c r="L144" i="4"/>
  <c r="L18" i="4"/>
  <c r="L45" i="4"/>
  <c r="L71" i="4"/>
  <c r="L35" i="4"/>
  <c r="L69" i="4"/>
  <c r="L113" i="4"/>
  <c r="L87" i="4"/>
  <c r="L47" i="4"/>
  <c r="L51" i="4"/>
  <c r="L65" i="4"/>
  <c r="L70" i="4"/>
  <c r="L78" i="4"/>
  <c r="L83" i="4"/>
  <c r="L81" i="4"/>
  <c r="L25" i="4"/>
  <c r="L108" i="4"/>
  <c r="L48" i="4"/>
  <c r="L64" i="4"/>
  <c r="L130" i="4"/>
  <c r="L141" i="4"/>
  <c r="L138" i="4"/>
  <c r="F19" i="1"/>
  <c r="F23" i="1" s="1"/>
  <c r="AC10" i="1" s="1"/>
  <c r="AC9" i="1" s="1"/>
  <c r="L6" i="4"/>
  <c r="L59" i="4"/>
  <c r="L7" i="4"/>
  <c r="L112" i="4"/>
  <c r="L60" i="4"/>
  <c r="L29" i="4"/>
  <c r="L98" i="4"/>
  <c r="L125" i="4"/>
  <c r="L128" i="4"/>
  <c r="L119" i="4"/>
  <c r="L50" i="4"/>
  <c r="L77" i="4"/>
  <c r="L80" i="4"/>
  <c r="L92" i="4"/>
  <c r="L118" i="4"/>
  <c r="L10" i="4"/>
  <c r="L37" i="4"/>
  <c r="L67" i="4"/>
  <c r="L33" i="4"/>
  <c r="L36" i="4"/>
  <c r="L20" i="4"/>
  <c r="L32" i="4"/>
  <c r="L49" i="4"/>
  <c r="L100" i="4"/>
  <c r="L44" i="4"/>
  <c r="L129" i="4"/>
  <c r="L134" i="4"/>
  <c r="L143" i="4"/>
  <c r="F15" i="1"/>
  <c r="F18" i="1" s="1"/>
  <c r="AC7" i="1" s="1"/>
  <c r="L23" i="4"/>
  <c r="L27" i="4"/>
  <c r="L76" i="4"/>
  <c r="L41" i="4"/>
  <c r="L124" i="4"/>
  <c r="L38" i="4"/>
  <c r="L91" i="4"/>
  <c r="L95" i="4"/>
  <c r="L57" i="4"/>
  <c r="L99" i="4"/>
  <c r="L114" i="4"/>
  <c r="L14" i="4"/>
  <c r="L9" i="4"/>
  <c r="L94" i="4"/>
  <c r="L17" i="4"/>
  <c r="L74" i="4"/>
  <c r="L101" i="4"/>
  <c r="L8" i="4"/>
  <c r="L85" i="4"/>
  <c r="L116" i="4"/>
  <c r="L120" i="4"/>
  <c r="L72" i="4"/>
  <c r="L62" i="4"/>
  <c r="L75" i="4"/>
  <c r="L107" i="4"/>
  <c r="L24" i="4"/>
  <c r="L66" i="4"/>
  <c r="L13" i="4"/>
  <c r="D1860" i="2"/>
  <c r="E1860" i="2" s="1"/>
  <c r="C1860" i="2"/>
  <c r="F1860" i="2" s="1"/>
  <c r="AD8" i="1" l="1"/>
  <c r="X7" i="1" s="1"/>
  <c r="AC8" i="1"/>
  <c r="AE8" i="1"/>
  <c r="C1861" i="2"/>
  <c r="F1861" i="2" s="1"/>
  <c r="D1861" i="2"/>
  <c r="E1861" i="2" s="1"/>
  <c r="AA7" i="1" l="1"/>
  <c r="U7" i="1"/>
  <c r="X8" i="1"/>
  <c r="Y7" i="1"/>
  <c r="C1862" i="2"/>
  <c r="F1862" i="2" s="1"/>
  <c r="D1862" i="2"/>
  <c r="E1862" i="2" s="1"/>
  <c r="AA8" i="1" l="1"/>
  <c r="X9" i="1"/>
  <c r="V7" i="1"/>
  <c r="Y8" i="1"/>
  <c r="U8" i="1"/>
  <c r="AB7" i="1"/>
  <c r="C1863" i="2"/>
  <c r="F1863" i="2" s="1"/>
  <c r="D1863" i="2"/>
  <c r="E1863" i="2" s="1"/>
  <c r="Y9" i="1" l="1"/>
  <c r="Y10" i="1" s="1"/>
  <c r="AB8" i="1"/>
  <c r="AA9" i="1"/>
  <c r="X10" i="1"/>
  <c r="S47" i="4"/>
  <c r="U9" i="1"/>
  <c r="V8" i="1"/>
  <c r="S111" i="4"/>
  <c r="S67" i="4"/>
  <c r="C1864" i="2"/>
  <c r="F1864" i="2" s="1"/>
  <c r="D1864" i="2"/>
  <c r="E1864" i="2" s="1"/>
  <c r="P64" i="4" l="1"/>
  <c r="P138" i="4"/>
  <c r="P143" i="4"/>
  <c r="Y138" i="4"/>
  <c r="Y143" i="4"/>
  <c r="P140" i="4"/>
  <c r="Y140" i="4"/>
  <c r="P139" i="4"/>
  <c r="P142" i="4"/>
  <c r="Y139" i="4"/>
  <c r="Y142" i="4"/>
  <c r="P137" i="4"/>
  <c r="P141" i="4"/>
  <c r="P144" i="4"/>
  <c r="Y137" i="4"/>
  <c r="Y141" i="4"/>
  <c r="Y144" i="4"/>
  <c r="P8" i="4"/>
  <c r="P45" i="4"/>
  <c r="P25" i="4"/>
  <c r="P135" i="4"/>
  <c r="P111" i="4"/>
  <c r="P129" i="4"/>
  <c r="P63" i="4"/>
  <c r="P115" i="4"/>
  <c r="P92" i="4"/>
  <c r="P76" i="4"/>
  <c r="P84" i="4"/>
  <c r="P24" i="4"/>
  <c r="AB9" i="1"/>
  <c r="AB10" i="1" s="1"/>
  <c r="P70" i="4"/>
  <c r="P134" i="4"/>
  <c r="P106" i="4"/>
  <c r="P78" i="4"/>
  <c r="P50" i="4"/>
  <c r="P91" i="4"/>
  <c r="P114" i="4"/>
  <c r="P89" i="4"/>
  <c r="P7" i="4"/>
  <c r="P100" i="4"/>
  <c r="P80" i="4"/>
  <c r="P43" i="4"/>
  <c r="P127" i="4"/>
  <c r="P107" i="4"/>
  <c r="P71" i="4"/>
  <c r="P51" i="4"/>
  <c r="P108" i="4"/>
  <c r="P6" i="4"/>
  <c r="P128" i="4"/>
  <c r="P109" i="4"/>
  <c r="P72" i="4"/>
  <c r="P53" i="4"/>
  <c r="P86" i="4"/>
  <c r="P42" i="4"/>
  <c r="P14" i="4"/>
  <c r="P136" i="4"/>
  <c r="P11" i="4"/>
  <c r="P104" i="4"/>
  <c r="P40" i="4"/>
  <c r="P119" i="4"/>
  <c r="P73" i="4"/>
  <c r="P21" i="4"/>
  <c r="P19" i="4"/>
  <c r="P120" i="4"/>
  <c r="P112" i="4"/>
  <c r="P56" i="4"/>
  <c r="P94" i="4"/>
  <c r="P99" i="4"/>
  <c r="P66" i="4"/>
  <c r="P123" i="4"/>
  <c r="P10" i="4"/>
  <c r="P105" i="4"/>
  <c r="P101" i="4"/>
  <c r="P49" i="4"/>
  <c r="P125" i="4"/>
  <c r="P90" i="4"/>
  <c r="P79" i="4"/>
  <c r="P130" i="4"/>
  <c r="P39" i="4"/>
  <c r="P117" i="4"/>
  <c r="P122" i="4"/>
  <c r="P81" i="4"/>
  <c r="P13" i="4"/>
  <c r="P18" i="4"/>
  <c r="P102" i="4"/>
  <c r="P116" i="4"/>
  <c r="P55" i="4"/>
  <c r="P93" i="4"/>
  <c r="P98" i="4"/>
  <c r="P26" i="4"/>
  <c r="P38" i="4"/>
  <c r="P59" i="4"/>
  <c r="P33" i="4"/>
  <c r="P52" i="4"/>
  <c r="P9" i="4"/>
  <c r="P126" i="4"/>
  <c r="P36" i="4"/>
  <c r="P31" i="4"/>
  <c r="P132" i="4"/>
  <c r="P68" i="4"/>
  <c r="P23" i="4"/>
  <c r="P61" i="4"/>
  <c r="P17" i="4"/>
  <c r="P88" i="4"/>
  <c r="P27" i="4"/>
  <c r="P103" i="4"/>
  <c r="P69" i="4"/>
  <c r="P32" i="4"/>
  <c r="P29" i="4"/>
  <c r="P48" i="4"/>
  <c r="P121" i="4"/>
  <c r="P58" i="4"/>
  <c r="P133" i="4"/>
  <c r="P44" i="4"/>
  <c r="P41" i="4"/>
  <c r="P28" i="4"/>
  <c r="P46" i="4"/>
  <c r="P67" i="4"/>
  <c r="P47" i="4"/>
  <c r="P77" i="4"/>
  <c r="P113" i="4"/>
  <c r="P85" i="4"/>
  <c r="P82" i="4"/>
  <c r="P87" i="4"/>
  <c r="P124" i="4"/>
  <c r="Y134" i="4"/>
  <c r="P74" i="4"/>
  <c r="P62" i="4"/>
  <c r="P60" i="4"/>
  <c r="P65" i="4"/>
  <c r="P54" i="4"/>
  <c r="P75" i="4"/>
  <c r="Y131" i="4"/>
  <c r="Y6" i="4"/>
  <c r="Y7" i="4"/>
  <c r="Y122" i="4"/>
  <c r="Y15" i="4"/>
  <c r="Y35" i="4"/>
  <c r="Y32" i="4"/>
  <c r="Y43" i="4"/>
  <c r="Y49" i="4"/>
  <c r="Y100" i="4"/>
  <c r="Y103" i="4"/>
  <c r="Y9" i="4"/>
  <c r="Y48" i="4"/>
  <c r="P20" i="4"/>
  <c r="Y67" i="4"/>
  <c r="Y89" i="4"/>
  <c r="P15" i="4"/>
  <c r="Y93" i="4"/>
  <c r="P83" i="4"/>
  <c r="Y71" i="4"/>
  <c r="Y108" i="4"/>
  <c r="Y79" i="4"/>
  <c r="Y99" i="4"/>
  <c r="Y96" i="4"/>
  <c r="Y107" i="4"/>
  <c r="Y65" i="4"/>
  <c r="Y112" i="4"/>
  <c r="Y111" i="4"/>
  <c r="Y113" i="4"/>
  <c r="Y114" i="4"/>
  <c r="Y57" i="4"/>
  <c r="P12" i="4"/>
  <c r="Y77" i="4"/>
  <c r="Y42" i="4"/>
  <c r="Y63" i="4"/>
  <c r="P96" i="4"/>
  <c r="P22" i="4"/>
  <c r="Y16" i="4"/>
  <c r="Y27" i="4"/>
  <c r="Y24" i="4"/>
  <c r="Y60" i="4"/>
  <c r="Y41" i="4"/>
  <c r="Y76" i="4"/>
  <c r="Y18" i="4"/>
  <c r="Y81" i="4"/>
  <c r="Y120" i="4"/>
  <c r="Y106" i="4"/>
  <c r="Y19" i="4"/>
  <c r="Y26" i="4"/>
  <c r="P37" i="4"/>
  <c r="Y86" i="4"/>
  <c r="Y84" i="4"/>
  <c r="Y72" i="4"/>
  <c r="P16" i="4"/>
  <c r="P97" i="4"/>
  <c r="Y80" i="4"/>
  <c r="Y91" i="4"/>
  <c r="Y88" i="4"/>
  <c r="Y110" i="4"/>
  <c r="Y17" i="4"/>
  <c r="Y13" i="4"/>
  <c r="Y82" i="4"/>
  <c r="Y90" i="4"/>
  <c r="Y97" i="4"/>
  <c r="Y11" i="4"/>
  <c r="Y36" i="4"/>
  <c r="Y44" i="4"/>
  <c r="Y47" i="4"/>
  <c r="P30" i="4"/>
  <c r="Y75" i="4"/>
  <c r="Y105" i="4"/>
  <c r="P57" i="4"/>
  <c r="P131" i="4"/>
  <c r="Y25" i="4"/>
  <c r="Y52" i="4"/>
  <c r="Y33" i="4"/>
  <c r="Y69" i="4"/>
  <c r="Y10" i="4"/>
  <c r="Y31" i="4"/>
  <c r="Y28" i="4"/>
  <c r="Y70" i="4"/>
  <c r="Y98" i="4"/>
  <c r="Y12" i="4"/>
  <c r="Y45" i="4"/>
  <c r="Y59" i="4"/>
  <c r="Y56" i="4"/>
  <c r="P35" i="4"/>
  <c r="Y30" i="4"/>
  <c r="Y50" i="4"/>
  <c r="Y133" i="4"/>
  <c r="Y121" i="4"/>
  <c r="Y78" i="4"/>
  <c r="S78" i="4" s="1"/>
  <c r="Y119" i="4"/>
  <c r="S118" i="4" s="1"/>
  <c r="Y22" i="4"/>
  <c r="Y74" i="4"/>
  <c r="Y95" i="4"/>
  <c r="Y54" i="4"/>
  <c r="Y123" i="4"/>
  <c r="Y94" i="4"/>
  <c r="Y37" i="4"/>
  <c r="Y38" i="4"/>
  <c r="Y116" i="4"/>
  <c r="Y73" i="4"/>
  <c r="P95" i="4"/>
  <c r="Y85" i="4"/>
  <c r="Y92" i="4"/>
  <c r="Y102" i="4"/>
  <c r="Y61" i="4"/>
  <c r="S61" i="4" s="1"/>
  <c r="Y66" i="4"/>
  <c r="Y23" i="4"/>
  <c r="Y20" i="4"/>
  <c r="Y40" i="4"/>
  <c r="Y51" i="4"/>
  <c r="Y21" i="4"/>
  <c r="Y29" i="4"/>
  <c r="Y117" i="4"/>
  <c r="P34" i="4"/>
  <c r="Y53" i="4"/>
  <c r="Y34" i="4"/>
  <c r="Y55" i="4"/>
  <c r="Y118" i="4"/>
  <c r="Y83" i="4"/>
  <c r="Y135" i="4"/>
  <c r="Y58" i="4"/>
  <c r="Y125" i="4"/>
  <c r="Y124" i="4"/>
  <c r="Y87" i="4"/>
  <c r="Y14" i="4"/>
  <c r="Y104" i="4"/>
  <c r="Y115" i="4"/>
  <c r="Y101" i="4"/>
  <c r="Y109" i="4"/>
  <c r="Y8" i="4"/>
  <c r="S7" i="4" s="1"/>
  <c r="Y39" i="4"/>
  <c r="Y62" i="4"/>
  <c r="Y68" i="4"/>
  <c r="Y64" i="4"/>
  <c r="P110" i="4"/>
  <c r="Y46" i="4"/>
  <c r="P118" i="4"/>
  <c r="Y136" i="4"/>
  <c r="S136" i="4" s="1"/>
  <c r="Y127" i="4"/>
  <c r="Y126" i="4"/>
  <c r="S125" i="4" s="1"/>
  <c r="Y128" i="4"/>
  <c r="Y129" i="4"/>
  <c r="Y132" i="4"/>
  <c r="Y130" i="4"/>
  <c r="S79" i="4"/>
  <c r="S101" i="4"/>
  <c r="AA10" i="1"/>
  <c r="T101" i="4"/>
  <c r="T47" i="4"/>
  <c r="T118" i="4"/>
  <c r="T79" i="4"/>
  <c r="T111" i="4"/>
  <c r="T89" i="4"/>
  <c r="T67" i="4"/>
  <c r="V9" i="1"/>
  <c r="V10" i="1" s="1"/>
  <c r="U10" i="1"/>
  <c r="S89" i="4"/>
  <c r="D1865" i="2"/>
  <c r="E1865" i="2" s="1"/>
  <c r="C1865" i="2"/>
  <c r="F1865" i="2" s="1"/>
  <c r="S143" i="4" l="1"/>
  <c r="S43" i="4"/>
  <c r="S140" i="4"/>
  <c r="S14" i="4"/>
  <c r="S98" i="4"/>
  <c r="S132" i="4"/>
  <c r="S124" i="4"/>
  <c r="S120" i="4"/>
  <c r="S25" i="4"/>
  <c r="S80" i="4"/>
  <c r="S144" i="4"/>
  <c r="S141" i="4"/>
  <c r="Y145" i="4"/>
  <c r="G29" i="1" s="1"/>
  <c r="G30" i="1" s="1"/>
  <c r="AC33" i="4"/>
  <c r="X139" i="4"/>
  <c r="U139" i="4" s="1"/>
  <c r="O142" i="4"/>
  <c r="O139" i="4"/>
  <c r="X142" i="4"/>
  <c r="U142" i="4" s="1"/>
  <c r="O138" i="4"/>
  <c r="O141" i="4"/>
  <c r="O144" i="4"/>
  <c r="X138" i="4"/>
  <c r="U138" i="4" s="1"/>
  <c r="X141" i="4"/>
  <c r="X144" i="4"/>
  <c r="X137" i="4"/>
  <c r="U137" i="4" s="1"/>
  <c r="O143" i="4"/>
  <c r="O137" i="4"/>
  <c r="X143" i="4"/>
  <c r="O140" i="4"/>
  <c r="X140" i="4"/>
  <c r="Q140" i="4"/>
  <c r="Z140" i="4"/>
  <c r="Q139" i="4"/>
  <c r="Q142" i="4"/>
  <c r="Z139" i="4"/>
  <c r="AA139" i="4" s="1"/>
  <c r="Z142" i="4"/>
  <c r="AA142" i="4" s="1"/>
  <c r="Q137" i="4"/>
  <c r="Q141" i="4"/>
  <c r="Q144" i="4"/>
  <c r="Z137" i="4"/>
  <c r="AA137" i="4" s="1"/>
  <c r="Z141" i="4"/>
  <c r="Z144" i="4"/>
  <c r="Q138" i="4"/>
  <c r="Q143" i="4"/>
  <c r="Z138" i="4"/>
  <c r="AA138" i="4" s="1"/>
  <c r="Z143" i="4"/>
  <c r="X12" i="4"/>
  <c r="U12" i="4" s="1"/>
  <c r="Q135" i="4"/>
  <c r="G31" i="1"/>
  <c r="Q136" i="4"/>
  <c r="O67" i="4"/>
  <c r="O127" i="4"/>
  <c r="O123" i="4"/>
  <c r="O40" i="4"/>
  <c r="O12" i="4"/>
  <c r="O32" i="4"/>
  <c r="O43" i="4"/>
  <c r="O39" i="4"/>
  <c r="O37" i="4"/>
  <c r="O42" i="4"/>
  <c r="O38" i="4"/>
  <c r="O108" i="4"/>
  <c r="O49" i="4"/>
  <c r="O100" i="4"/>
  <c r="O41" i="4"/>
  <c r="X29" i="4"/>
  <c r="U29" i="4" s="1"/>
  <c r="X45" i="4"/>
  <c r="U45" i="4" s="1"/>
  <c r="X35" i="4"/>
  <c r="U35" i="4" s="1"/>
  <c r="X102" i="4"/>
  <c r="U102" i="4" s="1"/>
  <c r="X107" i="4"/>
  <c r="U107" i="4" s="1"/>
  <c r="X56" i="4"/>
  <c r="U56" i="4" s="1"/>
  <c r="X22" i="4"/>
  <c r="U22" i="4" s="1"/>
  <c r="X104" i="4"/>
  <c r="U104" i="4" s="1"/>
  <c r="X38" i="4"/>
  <c r="U38" i="4" s="1"/>
  <c r="X113" i="4"/>
  <c r="U113" i="4" s="1"/>
  <c r="X55" i="4"/>
  <c r="U55" i="4" s="1"/>
  <c r="X58" i="4"/>
  <c r="U58" i="4" s="1"/>
  <c r="X68" i="4"/>
  <c r="U68" i="4" s="1"/>
  <c r="X19" i="4"/>
  <c r="U19" i="4" s="1"/>
  <c r="X70" i="4"/>
  <c r="U70" i="4" s="1"/>
  <c r="O63" i="4"/>
  <c r="O59" i="4"/>
  <c r="O111" i="4"/>
  <c r="O122" i="4"/>
  <c r="O60" i="4"/>
  <c r="O121" i="4"/>
  <c r="O44" i="4"/>
  <c r="O128" i="4"/>
  <c r="O36" i="4"/>
  <c r="O120" i="4"/>
  <c r="X27" i="4"/>
  <c r="U27" i="4" s="1"/>
  <c r="X86" i="4"/>
  <c r="U86" i="4" s="1"/>
  <c r="X99" i="4"/>
  <c r="U99" i="4" s="1"/>
  <c r="X103" i="4"/>
  <c r="U103" i="4" s="1"/>
  <c r="X117" i="4"/>
  <c r="U117" i="4" s="1"/>
  <c r="X80" i="4"/>
  <c r="X23" i="4"/>
  <c r="U23" i="4" s="1"/>
  <c r="X112" i="4"/>
  <c r="U112" i="4" s="1"/>
  <c r="X39" i="4"/>
  <c r="U39" i="4" s="1"/>
  <c r="X81" i="4"/>
  <c r="U81" i="4" s="1"/>
  <c r="X120" i="4"/>
  <c r="X122" i="4"/>
  <c r="U122" i="4" s="1"/>
  <c r="X46" i="4"/>
  <c r="U46" i="4" s="1"/>
  <c r="X83" i="4"/>
  <c r="U83" i="4" s="1"/>
  <c r="X87" i="4"/>
  <c r="U87" i="4" s="1"/>
  <c r="X16" i="4"/>
  <c r="U16" i="4" s="1"/>
  <c r="O89" i="4"/>
  <c r="O117" i="4"/>
  <c r="O119" i="4"/>
  <c r="O115" i="4"/>
  <c r="O118" i="4"/>
  <c r="O80" i="4"/>
  <c r="Q134" i="4"/>
  <c r="O82" i="4"/>
  <c r="O61" i="4"/>
  <c r="O29" i="4"/>
  <c r="O55" i="4"/>
  <c r="O51" i="4"/>
  <c r="O47" i="4"/>
  <c r="O58" i="4"/>
  <c r="O54" i="4"/>
  <c r="O109" i="4"/>
  <c r="O16" i="4"/>
  <c r="O57" i="4"/>
  <c r="O77" i="4"/>
  <c r="O64" i="4"/>
  <c r="O21" i="4"/>
  <c r="O56" i="4"/>
  <c r="X91" i="4"/>
  <c r="U91" i="4" s="1"/>
  <c r="X111" i="4"/>
  <c r="U111" i="4" s="1"/>
  <c r="X93" i="4"/>
  <c r="U93" i="4" s="1"/>
  <c r="X40" i="4"/>
  <c r="U40" i="4" s="1"/>
  <c r="X32" i="4"/>
  <c r="U32" i="4" s="1"/>
  <c r="X41" i="4"/>
  <c r="U41" i="4" s="1"/>
  <c r="X64" i="4"/>
  <c r="U64" i="4" s="1"/>
  <c r="X49" i="4"/>
  <c r="U49" i="4" s="1"/>
  <c r="X88" i="4"/>
  <c r="U88" i="4" s="1"/>
  <c r="X57" i="4"/>
  <c r="U57" i="4" s="1"/>
  <c r="X60" i="4"/>
  <c r="U60" i="4" s="1"/>
  <c r="X11" i="4"/>
  <c r="U11" i="4" s="1"/>
  <c r="X63" i="4"/>
  <c r="U63" i="4" s="1"/>
  <c r="X37" i="4"/>
  <c r="U37" i="4" s="1"/>
  <c r="O33" i="4"/>
  <c r="O18" i="4"/>
  <c r="O78" i="4"/>
  <c r="O74" i="4"/>
  <c r="O70" i="4"/>
  <c r="O66" i="4"/>
  <c r="O126" i="4"/>
  <c r="O73" i="4"/>
  <c r="O99" i="4"/>
  <c r="O95" i="4"/>
  <c r="O52" i="4"/>
  <c r="O72" i="4"/>
  <c r="O83" i="4"/>
  <c r="O53" i="4"/>
  <c r="O75" i="4"/>
  <c r="O71" i="4"/>
  <c r="X61" i="4"/>
  <c r="X24" i="4"/>
  <c r="U24" i="4" s="1"/>
  <c r="X110" i="4"/>
  <c r="U110" i="4" s="1"/>
  <c r="X33" i="4"/>
  <c r="U33" i="4" s="1"/>
  <c r="X36" i="4"/>
  <c r="U36" i="4" s="1"/>
  <c r="X34" i="4"/>
  <c r="U34" i="4" s="1"/>
  <c r="X44" i="4"/>
  <c r="U44" i="4" s="1"/>
  <c r="X42" i="4"/>
  <c r="U42" i="4" s="1"/>
  <c r="X52" i="4"/>
  <c r="U52" i="4" s="1"/>
  <c r="X50" i="4"/>
  <c r="U50" i="4" s="1"/>
  <c r="X124" i="4"/>
  <c r="X75" i="4"/>
  <c r="U75" i="4" s="1"/>
  <c r="X97" i="4"/>
  <c r="U97" i="4" s="1"/>
  <c r="X78" i="4"/>
  <c r="O97" i="4"/>
  <c r="O14" i="4"/>
  <c r="O10" i="4"/>
  <c r="O6" i="4"/>
  <c r="O45" i="4"/>
  <c r="O62" i="4"/>
  <c r="O9" i="4"/>
  <c r="O35" i="4"/>
  <c r="O31" i="4"/>
  <c r="O93" i="4"/>
  <c r="O8" i="4"/>
  <c r="O19" i="4"/>
  <c r="O79" i="4"/>
  <c r="O11" i="4"/>
  <c r="O7" i="4"/>
  <c r="Q131" i="4"/>
  <c r="X94" i="4"/>
  <c r="U94" i="4" s="1"/>
  <c r="X25" i="4"/>
  <c r="X119" i="4"/>
  <c r="U119" i="4" s="1"/>
  <c r="X26" i="4"/>
  <c r="U26" i="4" s="1"/>
  <c r="X100" i="4"/>
  <c r="U100" i="4" s="1"/>
  <c r="X98" i="4"/>
  <c r="X108" i="4"/>
  <c r="U108" i="4" s="1"/>
  <c r="X106" i="4"/>
  <c r="U106" i="4" s="1"/>
  <c r="X116" i="4"/>
  <c r="U116" i="4" s="1"/>
  <c r="X114" i="4"/>
  <c r="U114" i="4" s="1"/>
  <c r="X30" i="4"/>
  <c r="U30" i="4" s="1"/>
  <c r="X21" i="4"/>
  <c r="U21" i="4" s="1"/>
  <c r="X8" i="4"/>
  <c r="U8" i="4" s="1"/>
  <c r="X79" i="4"/>
  <c r="U79" i="4" s="1"/>
  <c r="O81" i="4"/>
  <c r="O124" i="4"/>
  <c r="O88" i="4"/>
  <c r="O114" i="4"/>
  <c r="O110" i="4"/>
  <c r="O91" i="4"/>
  <c r="O87" i="4"/>
  <c r="O98" i="4"/>
  <c r="O15" i="4"/>
  <c r="O90" i="4"/>
  <c r="O86" i="4"/>
  <c r="Q132" i="4"/>
  <c r="X17" i="4"/>
  <c r="U17" i="4" s="1"/>
  <c r="X95" i="4"/>
  <c r="U95" i="4" s="1"/>
  <c r="X18" i="4"/>
  <c r="U18" i="4" s="1"/>
  <c r="X28" i="4"/>
  <c r="U28" i="4" s="1"/>
  <c r="X90" i="4"/>
  <c r="U90" i="4" s="1"/>
  <c r="X85" i="4"/>
  <c r="U85" i="4" s="1"/>
  <c r="X101" i="4"/>
  <c r="U101" i="4" s="1"/>
  <c r="X109" i="4"/>
  <c r="U109" i="4" s="1"/>
  <c r="X125" i="4"/>
  <c r="U125" i="4" s="1"/>
  <c r="X14" i="4"/>
  <c r="X73" i="4"/>
  <c r="U73" i="4" s="1"/>
  <c r="X47" i="4"/>
  <c r="U47" i="4" s="1"/>
  <c r="X62" i="4"/>
  <c r="U62" i="4" s="1"/>
  <c r="X9" i="4"/>
  <c r="U9" i="4" s="1"/>
  <c r="Z102" i="4"/>
  <c r="AA102" i="4" s="1"/>
  <c r="Z55" i="4"/>
  <c r="Z32" i="4"/>
  <c r="Z96" i="4"/>
  <c r="Z95" i="4"/>
  <c r="Z65" i="4"/>
  <c r="AA65" i="4" s="1"/>
  <c r="Z36" i="4"/>
  <c r="Z50" i="4"/>
  <c r="Z114" i="4"/>
  <c r="Z27" i="4"/>
  <c r="Z91" i="4"/>
  <c r="Z116" i="4"/>
  <c r="Z61" i="4"/>
  <c r="Z125" i="4"/>
  <c r="AA125" i="4" s="1"/>
  <c r="Q89" i="4"/>
  <c r="Q124" i="4"/>
  <c r="Q104" i="4"/>
  <c r="Q47" i="4"/>
  <c r="Q48" i="4"/>
  <c r="Q115" i="4"/>
  <c r="Q127" i="4"/>
  <c r="Q123" i="4"/>
  <c r="Q64" i="4"/>
  <c r="Q28" i="4"/>
  <c r="Q65" i="4"/>
  <c r="Q110" i="4"/>
  <c r="Q73" i="4"/>
  <c r="Q69" i="4"/>
  <c r="Q30" i="4"/>
  <c r="Q6" i="4"/>
  <c r="Z14" i="4"/>
  <c r="Z118" i="4"/>
  <c r="Z63" i="4"/>
  <c r="Z40" i="4"/>
  <c r="Z104" i="4"/>
  <c r="Z9" i="4"/>
  <c r="Z73" i="4"/>
  <c r="Z68" i="4"/>
  <c r="Z58" i="4"/>
  <c r="AA58" i="4" s="1"/>
  <c r="Z122" i="4"/>
  <c r="Z35" i="4"/>
  <c r="Z99" i="4"/>
  <c r="Z87" i="4"/>
  <c r="Z69" i="4"/>
  <c r="Z46" i="4"/>
  <c r="Q18" i="4"/>
  <c r="Q21" i="4"/>
  <c r="Q33" i="4"/>
  <c r="Q68" i="4"/>
  <c r="Q112" i="4"/>
  <c r="Q12" i="4"/>
  <c r="Q56" i="4"/>
  <c r="Q20" i="4"/>
  <c r="Q128" i="4"/>
  <c r="Q92" i="4"/>
  <c r="Q58" i="4"/>
  <c r="Q61" i="4"/>
  <c r="Q66" i="4"/>
  <c r="Q87" i="4"/>
  <c r="Q27" i="4"/>
  <c r="Z22" i="4"/>
  <c r="Z111" i="4"/>
  <c r="Z71" i="4"/>
  <c r="Z48" i="4"/>
  <c r="Z112" i="4"/>
  <c r="Z17" i="4"/>
  <c r="Z81" i="4"/>
  <c r="Z100" i="4"/>
  <c r="AA100" i="4" s="1"/>
  <c r="Z66" i="4"/>
  <c r="Z20" i="4"/>
  <c r="Z43" i="4"/>
  <c r="Z107" i="4"/>
  <c r="AA107" i="4" s="1"/>
  <c r="Z13" i="4"/>
  <c r="Z77" i="4"/>
  <c r="Z62" i="4"/>
  <c r="Q82" i="4"/>
  <c r="Q85" i="4"/>
  <c r="Q97" i="4"/>
  <c r="Q29" i="4"/>
  <c r="Q41" i="4"/>
  <c r="Q76" i="4"/>
  <c r="Q120" i="4"/>
  <c r="Q84" i="4"/>
  <c r="Q57" i="4"/>
  <c r="Q78" i="4"/>
  <c r="Q122" i="4"/>
  <c r="Q125" i="4"/>
  <c r="Q19" i="4"/>
  <c r="Q24" i="4"/>
  <c r="Q91" i="4"/>
  <c r="Z30" i="4"/>
  <c r="Z15" i="4"/>
  <c r="Z79" i="4"/>
  <c r="Z56" i="4"/>
  <c r="Z120" i="4"/>
  <c r="Z25" i="4"/>
  <c r="Z89" i="4"/>
  <c r="Z10" i="4"/>
  <c r="AA10" i="4" s="1"/>
  <c r="Z74" i="4"/>
  <c r="Z44" i="4"/>
  <c r="Z51" i="4"/>
  <c r="Z115" i="4"/>
  <c r="Z21" i="4"/>
  <c r="Z85" i="4"/>
  <c r="Z78" i="4"/>
  <c r="Q95" i="4"/>
  <c r="Q38" i="4"/>
  <c r="Q46" i="4"/>
  <c r="Q26" i="4"/>
  <c r="Q93" i="4"/>
  <c r="Q105" i="4"/>
  <c r="Q22" i="4"/>
  <c r="Q49" i="4"/>
  <c r="Q54" i="4"/>
  <c r="Q121" i="4"/>
  <c r="Q53" i="4"/>
  <c r="Q11" i="4"/>
  <c r="Q83" i="4"/>
  <c r="Q88" i="4"/>
  <c r="Q94" i="4"/>
  <c r="Z38" i="4"/>
  <c r="AA38" i="4" s="1"/>
  <c r="Z23" i="4"/>
  <c r="Z119" i="4"/>
  <c r="Z64" i="4"/>
  <c r="Z28" i="4"/>
  <c r="Z33" i="4"/>
  <c r="Z97" i="4"/>
  <c r="Z18" i="4"/>
  <c r="AA18" i="4" s="1"/>
  <c r="Z82" i="4"/>
  <c r="Z76" i="4"/>
  <c r="Z59" i="4"/>
  <c r="Z123" i="4"/>
  <c r="Z29" i="4"/>
  <c r="Z93" i="4"/>
  <c r="Z94" i="4"/>
  <c r="Q103" i="4"/>
  <c r="Q35" i="4"/>
  <c r="Q90" i="4"/>
  <c r="Q86" i="4"/>
  <c r="Q34" i="4"/>
  <c r="Q37" i="4"/>
  <c r="Q113" i="4"/>
  <c r="Q45" i="4"/>
  <c r="Q50" i="4"/>
  <c r="Q117" i="4"/>
  <c r="Q75" i="4"/>
  <c r="Q79" i="4"/>
  <c r="Q62" i="4"/>
  <c r="Q17" i="4"/>
  <c r="Q52" i="4"/>
  <c r="Z54" i="4"/>
  <c r="Z31" i="4"/>
  <c r="Z8" i="4"/>
  <c r="Z72" i="4"/>
  <c r="Z60" i="4"/>
  <c r="Z41" i="4"/>
  <c r="Z105" i="4"/>
  <c r="Z26" i="4"/>
  <c r="Z90" i="4"/>
  <c r="Z108" i="4"/>
  <c r="Z67" i="4"/>
  <c r="Z12" i="4"/>
  <c r="Z37" i="4"/>
  <c r="Z101" i="4"/>
  <c r="Z110" i="4"/>
  <c r="Q32" i="4"/>
  <c r="Q99" i="4"/>
  <c r="Q7" i="4"/>
  <c r="Q70" i="4"/>
  <c r="Q98" i="4"/>
  <c r="Q101" i="4"/>
  <c r="Q42" i="4"/>
  <c r="Q109" i="4"/>
  <c r="Q114" i="4"/>
  <c r="Q39" i="4"/>
  <c r="Q14" i="4"/>
  <c r="Q16" i="4"/>
  <c r="Q44" i="4"/>
  <c r="Q81" i="4"/>
  <c r="Q116" i="4"/>
  <c r="Z70" i="4"/>
  <c r="Z39" i="4"/>
  <c r="AA39" i="4" s="1"/>
  <c r="Z16" i="4"/>
  <c r="Z80" i="4"/>
  <c r="Z84" i="4"/>
  <c r="Z49" i="4"/>
  <c r="Z113" i="4"/>
  <c r="Z34" i="4"/>
  <c r="Z98" i="4"/>
  <c r="Z11" i="4"/>
  <c r="Z75" i="4"/>
  <c r="Z52" i="4"/>
  <c r="Z45" i="4"/>
  <c r="Z109" i="4"/>
  <c r="Z103" i="4"/>
  <c r="Q96" i="4"/>
  <c r="Q126" i="4"/>
  <c r="Q111" i="4"/>
  <c r="Q43" i="4"/>
  <c r="Q15" i="4"/>
  <c r="Q102" i="4"/>
  <c r="Q118" i="4"/>
  <c r="Q106" i="4"/>
  <c r="Q71" i="4"/>
  <c r="Q55" i="4"/>
  <c r="Q8" i="4"/>
  <c r="Q36" i="4"/>
  <c r="Q80" i="4"/>
  <c r="Q108" i="4"/>
  <c r="Q10" i="4"/>
  <c r="Q13" i="4"/>
  <c r="Z7" i="4"/>
  <c r="Z6" i="4"/>
  <c r="Z86" i="4"/>
  <c r="Z47" i="4"/>
  <c r="AA47" i="4" s="1"/>
  <c r="Z24" i="4"/>
  <c r="Z88" i="4"/>
  <c r="Z124" i="4"/>
  <c r="Z57" i="4"/>
  <c r="Z121" i="4"/>
  <c r="Z42" i="4"/>
  <c r="Z106" i="4"/>
  <c r="Z19" i="4"/>
  <c r="Z83" i="4"/>
  <c r="Z92" i="4"/>
  <c r="Z53" i="4"/>
  <c r="Z117" i="4"/>
  <c r="Q25" i="4"/>
  <c r="Q60" i="4"/>
  <c r="Q40" i="4"/>
  <c r="Q107" i="4"/>
  <c r="Q119" i="4"/>
  <c r="Q51" i="4"/>
  <c r="Q23" i="4"/>
  <c r="Q59" i="4"/>
  <c r="Q31" i="4"/>
  <c r="Q67" i="4"/>
  <c r="Q72" i="4"/>
  <c r="Q100" i="4"/>
  <c r="Q9" i="4"/>
  <c r="Q63" i="4"/>
  <c r="Q74" i="4"/>
  <c r="Q77" i="4"/>
  <c r="X6" i="4"/>
  <c r="X7" i="4"/>
  <c r="U7" i="4" s="1"/>
  <c r="O92" i="4"/>
  <c r="O25" i="4"/>
  <c r="O13" i="4"/>
  <c r="O17" i="4"/>
  <c r="O68" i="4"/>
  <c r="O24" i="4"/>
  <c r="O50" i="4"/>
  <c r="O46" i="4"/>
  <c r="O27" i="4"/>
  <c r="O23" i="4"/>
  <c r="O34" i="4"/>
  <c r="O94" i="4"/>
  <c r="O125" i="4"/>
  <c r="O26" i="4"/>
  <c r="O22" i="4"/>
  <c r="Q129" i="4"/>
  <c r="X10" i="4"/>
  <c r="U10" i="4" s="1"/>
  <c r="X20" i="4"/>
  <c r="U20" i="4" s="1"/>
  <c r="X82" i="4"/>
  <c r="U82" i="4" s="1"/>
  <c r="X92" i="4"/>
  <c r="U92" i="4" s="1"/>
  <c r="X77" i="4"/>
  <c r="U77" i="4" s="1"/>
  <c r="X118" i="4"/>
  <c r="U118" i="4" s="1"/>
  <c r="X51" i="4"/>
  <c r="U51" i="4" s="1"/>
  <c r="X15" i="4"/>
  <c r="U15" i="4" s="1"/>
  <c r="X59" i="4"/>
  <c r="U59" i="4" s="1"/>
  <c r="X31" i="4"/>
  <c r="U31" i="4" s="1"/>
  <c r="X67" i="4"/>
  <c r="U67" i="4" s="1"/>
  <c r="X121" i="4"/>
  <c r="U121" i="4" s="1"/>
  <c r="X71" i="4"/>
  <c r="U71" i="4" s="1"/>
  <c r="X105" i="4"/>
  <c r="U105" i="4" s="1"/>
  <c r="X76" i="4"/>
  <c r="U76" i="4" s="1"/>
  <c r="O85" i="4"/>
  <c r="O69" i="4"/>
  <c r="O116" i="4"/>
  <c r="O112" i="4"/>
  <c r="O84" i="4"/>
  <c r="Q133" i="4"/>
  <c r="O28" i="4"/>
  <c r="O48" i="4"/>
  <c r="O20" i="4"/>
  <c r="O104" i="4"/>
  <c r="O76" i="4"/>
  <c r="O96" i="4"/>
  <c r="O107" i="4"/>
  <c r="O103" i="4"/>
  <c r="O65" i="4"/>
  <c r="O106" i="4"/>
  <c r="O102" i="4"/>
  <c r="O113" i="4"/>
  <c r="O30" i="4"/>
  <c r="O101" i="4"/>
  <c r="O105" i="4"/>
  <c r="Q130" i="4"/>
  <c r="X74" i="4"/>
  <c r="U74" i="4" s="1"/>
  <c r="X84" i="4"/>
  <c r="U84" i="4" s="1"/>
  <c r="X53" i="4"/>
  <c r="U53" i="4" s="1"/>
  <c r="X69" i="4"/>
  <c r="U69" i="4" s="1"/>
  <c r="X43" i="4"/>
  <c r="X48" i="4"/>
  <c r="U48" i="4" s="1"/>
  <c r="X115" i="4"/>
  <c r="U115" i="4" s="1"/>
  <c r="X72" i="4"/>
  <c r="U72" i="4" s="1"/>
  <c r="X123" i="4"/>
  <c r="U123" i="4" s="1"/>
  <c r="X96" i="4"/>
  <c r="U96" i="4" s="1"/>
  <c r="X54" i="4"/>
  <c r="U54" i="4" s="1"/>
  <c r="X65" i="4"/>
  <c r="U65" i="4" s="1"/>
  <c r="X89" i="4"/>
  <c r="U89" i="4" s="1"/>
  <c r="X66" i="4"/>
  <c r="U66" i="4" s="1"/>
  <c r="X13" i="4"/>
  <c r="U13" i="4" s="1"/>
  <c r="Z130" i="4"/>
  <c r="AA130" i="4" s="1"/>
  <c r="Z133" i="4"/>
  <c r="AA133" i="4" s="1"/>
  <c r="Z126" i="4"/>
  <c r="AA126" i="4" s="1"/>
  <c r="Z135" i="4"/>
  <c r="AA135" i="4" s="1"/>
  <c r="Z127" i="4"/>
  <c r="AA127" i="4" s="1"/>
  <c r="Z129" i="4"/>
  <c r="Z134" i="4"/>
  <c r="AA134" i="4" s="1"/>
  <c r="Z131" i="4"/>
  <c r="AA131" i="4" s="1"/>
  <c r="Z128" i="4"/>
  <c r="Z136" i="4"/>
  <c r="AA136" i="4" s="1"/>
  <c r="Z132" i="4"/>
  <c r="X126" i="4"/>
  <c r="U126" i="4" s="1"/>
  <c r="X129" i="4"/>
  <c r="U129" i="4" s="1"/>
  <c r="X132" i="4"/>
  <c r="U132" i="4" s="1"/>
  <c r="X130" i="4"/>
  <c r="U130" i="4" s="1"/>
  <c r="X127" i="4"/>
  <c r="U127" i="4" s="1"/>
  <c r="X131" i="4"/>
  <c r="U131" i="4" s="1"/>
  <c r="X128" i="4"/>
  <c r="U128" i="4" s="1"/>
  <c r="X134" i="4"/>
  <c r="U134" i="4" s="1"/>
  <c r="X133" i="4"/>
  <c r="U133" i="4" s="1"/>
  <c r="X136" i="4"/>
  <c r="X135" i="4"/>
  <c r="U135" i="4" s="1"/>
  <c r="T125" i="4"/>
  <c r="O133" i="4"/>
  <c r="O136" i="4"/>
  <c r="O132" i="4"/>
  <c r="O131" i="4"/>
  <c r="O135" i="4"/>
  <c r="O134" i="4"/>
  <c r="O129" i="4"/>
  <c r="O130" i="4"/>
  <c r="R67" i="4"/>
  <c r="R118" i="4"/>
  <c r="R111" i="4"/>
  <c r="R79" i="4"/>
  <c r="R47" i="4"/>
  <c r="R101" i="4"/>
  <c r="R89" i="4"/>
  <c r="C1866" i="2"/>
  <c r="F1866" i="2" s="1"/>
  <c r="D1866" i="2"/>
  <c r="E1866" i="2" s="1"/>
  <c r="T80" i="4" l="1"/>
  <c r="R7" i="4"/>
  <c r="T43" i="4"/>
  <c r="T98" i="4"/>
  <c r="T61" i="4"/>
  <c r="T132" i="4"/>
  <c r="T25" i="4"/>
  <c r="T120" i="4"/>
  <c r="T14" i="4"/>
  <c r="AA144" i="4"/>
  <c r="T144" i="4"/>
  <c r="AA78" i="4"/>
  <c r="T78" i="4"/>
  <c r="U144" i="4"/>
  <c r="R144" i="4"/>
  <c r="U78" i="4"/>
  <c r="R78" i="4"/>
  <c r="U141" i="4"/>
  <c r="R141" i="4"/>
  <c r="U98" i="4"/>
  <c r="R98" i="4"/>
  <c r="U14" i="4"/>
  <c r="R14" i="4"/>
  <c r="U124" i="4"/>
  <c r="R124" i="4"/>
  <c r="U43" i="4"/>
  <c r="R43" i="4"/>
  <c r="U140" i="4"/>
  <c r="R140" i="4"/>
  <c r="U61" i="4"/>
  <c r="R61" i="4"/>
  <c r="U80" i="4"/>
  <c r="R80" i="4"/>
  <c r="AA143" i="4"/>
  <c r="T143" i="4"/>
  <c r="AA140" i="4"/>
  <c r="T140" i="4"/>
  <c r="AA141" i="4"/>
  <c r="T141" i="4"/>
  <c r="T124" i="4"/>
  <c r="U25" i="4"/>
  <c r="R25" i="4"/>
  <c r="U143" i="4"/>
  <c r="R143" i="4"/>
  <c r="T7" i="4"/>
  <c r="U120" i="4"/>
  <c r="R120" i="4"/>
  <c r="AA6" i="4"/>
  <c r="Z145" i="4"/>
  <c r="U6" i="4"/>
  <c r="X145" i="4"/>
  <c r="V137" i="4"/>
  <c r="V65" i="4"/>
  <c r="V107" i="4"/>
  <c r="V133" i="4"/>
  <c r="V138" i="4"/>
  <c r="V142" i="4"/>
  <c r="V143" i="4"/>
  <c r="V139" i="4"/>
  <c r="V144" i="4"/>
  <c r="V141" i="4"/>
  <c r="V140" i="4"/>
  <c r="V100" i="4"/>
  <c r="V135" i="4"/>
  <c r="V130" i="4"/>
  <c r="V6" i="4"/>
  <c r="V126" i="4"/>
  <c r="V131" i="4"/>
  <c r="V127" i="4"/>
  <c r="AA121" i="4"/>
  <c r="V121" i="4"/>
  <c r="AA7" i="4"/>
  <c r="V7" i="4"/>
  <c r="AA34" i="4"/>
  <c r="V34" i="4"/>
  <c r="AA101" i="4"/>
  <c r="V101" i="4"/>
  <c r="AA41" i="4"/>
  <c r="V41" i="4"/>
  <c r="AA123" i="4"/>
  <c r="V123" i="4"/>
  <c r="AA64" i="4"/>
  <c r="V64" i="4"/>
  <c r="AA44" i="4"/>
  <c r="V44" i="4"/>
  <c r="AA15" i="4"/>
  <c r="V15" i="4"/>
  <c r="AA69" i="4"/>
  <c r="V69" i="4"/>
  <c r="AA9" i="4"/>
  <c r="V9" i="4"/>
  <c r="AA116" i="4"/>
  <c r="V116" i="4"/>
  <c r="AA96" i="4"/>
  <c r="V96" i="4"/>
  <c r="V58" i="4"/>
  <c r="V125" i="4"/>
  <c r="AA117" i="4"/>
  <c r="V117" i="4"/>
  <c r="AA57" i="4"/>
  <c r="V57" i="4"/>
  <c r="AA103" i="4"/>
  <c r="V103" i="4"/>
  <c r="AA113" i="4"/>
  <c r="V113" i="4"/>
  <c r="AA37" i="4"/>
  <c r="V37" i="4"/>
  <c r="AA60" i="4"/>
  <c r="V60" i="4"/>
  <c r="AA59" i="4"/>
  <c r="V59" i="4"/>
  <c r="AA119" i="4"/>
  <c r="V119" i="4"/>
  <c r="AA74" i="4"/>
  <c r="V74" i="4"/>
  <c r="AA30" i="4"/>
  <c r="V30" i="4"/>
  <c r="AA62" i="4"/>
  <c r="V62" i="4"/>
  <c r="AA81" i="4"/>
  <c r="V81" i="4"/>
  <c r="AA87" i="4"/>
  <c r="V87" i="4"/>
  <c r="AA104" i="4"/>
  <c r="V104" i="4"/>
  <c r="AA91" i="4"/>
  <c r="V91" i="4"/>
  <c r="AA32" i="4"/>
  <c r="V32" i="4"/>
  <c r="AA53" i="4"/>
  <c r="V53" i="4"/>
  <c r="AA124" i="4"/>
  <c r="V124" i="4"/>
  <c r="AA109" i="4"/>
  <c r="V109" i="4"/>
  <c r="AA49" i="4"/>
  <c r="V49" i="4"/>
  <c r="AA12" i="4"/>
  <c r="V12" i="4"/>
  <c r="AA72" i="4"/>
  <c r="V72" i="4"/>
  <c r="AA76" i="4"/>
  <c r="V76" i="4"/>
  <c r="AA23" i="4"/>
  <c r="V23" i="4"/>
  <c r="AA77" i="4"/>
  <c r="V77" i="4"/>
  <c r="AA17" i="4"/>
  <c r="V17" i="4"/>
  <c r="AA99" i="4"/>
  <c r="V99" i="4"/>
  <c r="AA40" i="4"/>
  <c r="V40" i="4"/>
  <c r="AA27" i="4"/>
  <c r="V27" i="4"/>
  <c r="AA55" i="4"/>
  <c r="V55" i="4"/>
  <c r="AA92" i="4"/>
  <c r="V92" i="4"/>
  <c r="AA88" i="4"/>
  <c r="V88" i="4"/>
  <c r="AA45" i="4"/>
  <c r="V45" i="4"/>
  <c r="AA84" i="4"/>
  <c r="V84" i="4"/>
  <c r="AA67" i="4"/>
  <c r="V67" i="4"/>
  <c r="AA8" i="4"/>
  <c r="V8" i="4"/>
  <c r="AA82" i="4"/>
  <c r="V82" i="4"/>
  <c r="AA89" i="4"/>
  <c r="V89" i="4"/>
  <c r="AA13" i="4"/>
  <c r="V13" i="4"/>
  <c r="AA112" i="4"/>
  <c r="V112" i="4"/>
  <c r="AA35" i="4"/>
  <c r="V35" i="4"/>
  <c r="AA63" i="4"/>
  <c r="V63" i="4"/>
  <c r="AA114" i="4"/>
  <c r="V114" i="4"/>
  <c r="AA83" i="4"/>
  <c r="V83" i="4"/>
  <c r="AA24" i="4"/>
  <c r="V24" i="4"/>
  <c r="AA52" i="4"/>
  <c r="V52" i="4"/>
  <c r="AA80" i="4"/>
  <c r="V80" i="4"/>
  <c r="AA108" i="4"/>
  <c r="V108" i="4"/>
  <c r="AA31" i="4"/>
  <c r="V31" i="4"/>
  <c r="AA85" i="4"/>
  <c r="V85" i="4"/>
  <c r="AA25" i="4"/>
  <c r="V25" i="4"/>
  <c r="AA48" i="4"/>
  <c r="V48" i="4"/>
  <c r="AA122" i="4"/>
  <c r="V122" i="4"/>
  <c r="AA118" i="4"/>
  <c r="V118" i="4"/>
  <c r="AA50" i="4"/>
  <c r="V50" i="4"/>
  <c r="AA19" i="4"/>
  <c r="V19" i="4"/>
  <c r="AA75" i="4"/>
  <c r="V75" i="4"/>
  <c r="AA16" i="4"/>
  <c r="V16" i="4"/>
  <c r="AA90" i="4"/>
  <c r="V90" i="4"/>
  <c r="AA54" i="4"/>
  <c r="V54" i="4"/>
  <c r="AA94" i="4"/>
  <c r="V94" i="4"/>
  <c r="AA97" i="4"/>
  <c r="V97" i="4"/>
  <c r="AA21" i="4"/>
  <c r="V21" i="4"/>
  <c r="AA120" i="4"/>
  <c r="V120" i="4"/>
  <c r="AA43" i="4"/>
  <c r="V43" i="4"/>
  <c r="AA71" i="4"/>
  <c r="V71" i="4"/>
  <c r="AA14" i="4"/>
  <c r="V14" i="4"/>
  <c r="AA36" i="4"/>
  <c r="V36" i="4"/>
  <c r="AA106" i="4"/>
  <c r="V106" i="4"/>
  <c r="AA86" i="4"/>
  <c r="V86" i="4"/>
  <c r="AA11" i="4"/>
  <c r="V11" i="4"/>
  <c r="AA26" i="4"/>
  <c r="V26" i="4"/>
  <c r="AA93" i="4"/>
  <c r="V93" i="4"/>
  <c r="AA33" i="4"/>
  <c r="V33" i="4"/>
  <c r="AA115" i="4"/>
  <c r="V115" i="4"/>
  <c r="AA56" i="4"/>
  <c r="V56" i="4"/>
  <c r="AA20" i="4"/>
  <c r="V20" i="4"/>
  <c r="AA111" i="4"/>
  <c r="V111" i="4"/>
  <c r="AA68" i="4"/>
  <c r="V68" i="4"/>
  <c r="V18" i="4"/>
  <c r="V47" i="4"/>
  <c r="V10" i="4"/>
  <c r="V136" i="4"/>
  <c r="AA42" i="4"/>
  <c r="V42" i="4"/>
  <c r="AA98" i="4"/>
  <c r="V98" i="4"/>
  <c r="AA70" i="4"/>
  <c r="V70" i="4"/>
  <c r="AA110" i="4"/>
  <c r="V110" i="4"/>
  <c r="AA105" i="4"/>
  <c r="V105" i="4"/>
  <c r="AA29" i="4"/>
  <c r="V29" i="4"/>
  <c r="AA28" i="4"/>
  <c r="V28" i="4"/>
  <c r="AA51" i="4"/>
  <c r="V51" i="4"/>
  <c r="AA79" i="4"/>
  <c r="V79" i="4"/>
  <c r="AA66" i="4"/>
  <c r="V66" i="4"/>
  <c r="AA22" i="4"/>
  <c r="V22" i="4"/>
  <c r="AA46" i="4"/>
  <c r="V46" i="4"/>
  <c r="AA73" i="4"/>
  <c r="V73" i="4"/>
  <c r="AA61" i="4"/>
  <c r="V61" i="4"/>
  <c r="AA95" i="4"/>
  <c r="V95" i="4"/>
  <c r="V102" i="4"/>
  <c r="V78" i="4"/>
  <c r="V38" i="4"/>
  <c r="V39" i="4"/>
  <c r="T136" i="4"/>
  <c r="H31" i="1"/>
  <c r="V134" i="4"/>
  <c r="AA129" i="4"/>
  <c r="V129" i="4"/>
  <c r="AA132" i="4"/>
  <c r="V132" i="4"/>
  <c r="AA128" i="4"/>
  <c r="V128" i="4"/>
  <c r="R136" i="4"/>
  <c r="U136" i="4"/>
  <c r="F31" i="1"/>
  <c r="R132" i="4"/>
  <c r="R125" i="4"/>
  <c r="C1867" i="2"/>
  <c r="F1867" i="2" s="1"/>
  <c r="D1867" i="2"/>
  <c r="E1867" i="2" s="1"/>
  <c r="AA145" i="4" l="1"/>
  <c r="H29" i="1"/>
  <c r="H30" i="1" s="1"/>
  <c r="F29" i="1"/>
  <c r="F30" i="1" s="1"/>
  <c r="E36" i="1"/>
  <c r="E37" i="1"/>
  <c r="E43" i="1" s="1"/>
  <c r="E38" i="1"/>
  <c r="E35" i="1"/>
  <c r="D43" i="1" s="1"/>
  <c r="D1868" i="2"/>
  <c r="E1868" i="2" s="1"/>
  <c r="C1868" i="2"/>
  <c r="F1868" i="2" s="1"/>
  <c r="E34" i="1" l="1"/>
  <c r="C43" i="1" s="1"/>
  <c r="E30" i="1"/>
  <c r="C1869" i="2"/>
  <c r="F1869" i="2" s="1"/>
  <c r="D1869" i="2"/>
  <c r="E1869" i="2" s="1"/>
  <c r="C1870" i="2" l="1"/>
  <c r="F1870" i="2" s="1"/>
  <c r="D1870" i="2"/>
  <c r="E1870" i="2" s="1"/>
  <c r="C1871" i="2" l="1"/>
  <c r="F1871" i="2" s="1"/>
  <c r="D1871" i="2"/>
  <c r="E1871" i="2" s="1"/>
  <c r="C1872" i="2" l="1"/>
  <c r="F1872" i="2" s="1"/>
  <c r="D1872" i="2"/>
  <c r="E1872" i="2" s="1"/>
  <c r="C1873" i="2" l="1"/>
  <c r="F1873" i="2" s="1"/>
  <c r="D1873" i="2"/>
  <c r="E1873" i="2" s="1"/>
  <c r="C1874" i="2" l="1"/>
  <c r="F1874" i="2" s="1"/>
  <c r="D1874" i="2"/>
  <c r="E1874" i="2" s="1"/>
  <c r="D1875" i="2" l="1"/>
  <c r="E1875" i="2" s="1"/>
  <c r="C1875" i="2"/>
  <c r="F1875" i="2" s="1"/>
  <c r="C1876" i="2" l="1"/>
  <c r="F1876" i="2" s="1"/>
  <c r="D1876" i="2"/>
  <c r="E1876" i="2" s="1"/>
  <c r="D1877" i="2" l="1"/>
  <c r="E1877" i="2" s="1"/>
  <c r="C1877" i="2"/>
  <c r="F1877" i="2" s="1"/>
  <c r="C1878" i="2" l="1"/>
  <c r="F1878" i="2" s="1"/>
  <c r="D1878" i="2"/>
  <c r="E1878" i="2" s="1"/>
  <c r="D1879" i="2" l="1"/>
  <c r="E1879" i="2" s="1"/>
  <c r="C1879" i="2"/>
  <c r="F1879" i="2" s="1"/>
  <c r="D1880" i="2" l="1"/>
  <c r="E1880" i="2" s="1"/>
  <c r="C1880" i="2"/>
  <c r="F1880" i="2" s="1"/>
  <c r="C1881" i="2" l="1"/>
  <c r="F1881" i="2" s="1"/>
  <c r="D1881" i="2"/>
  <c r="E1881" i="2" s="1"/>
  <c r="D1882" i="2" l="1"/>
  <c r="E1882" i="2" s="1"/>
  <c r="C1882" i="2"/>
  <c r="F1882" i="2" s="1"/>
  <c r="C1883" i="2" l="1"/>
  <c r="F1883" i="2" s="1"/>
  <c r="D1883" i="2"/>
  <c r="E1883" i="2" s="1"/>
  <c r="D1884" i="2" l="1"/>
  <c r="E1884" i="2" s="1"/>
  <c r="C1884" i="2"/>
  <c r="F1884" i="2" s="1"/>
  <c r="C1885" i="2" l="1"/>
  <c r="F1885" i="2" s="1"/>
  <c r="D1885" i="2"/>
  <c r="E1885" i="2" s="1"/>
  <c r="C1886" i="2" l="1"/>
  <c r="F1886" i="2" s="1"/>
  <c r="D1886" i="2"/>
  <c r="E1886" i="2" s="1"/>
  <c r="D1887" i="2" l="1"/>
  <c r="E1887" i="2" s="1"/>
  <c r="C1887" i="2"/>
  <c r="F1887" i="2" s="1"/>
  <c r="C1888" i="2" l="1"/>
  <c r="F1888" i="2" s="1"/>
  <c r="D1888" i="2"/>
  <c r="E1888" i="2" s="1"/>
  <c r="C1889" i="2" l="1"/>
  <c r="F1889" i="2" s="1"/>
  <c r="D1889" i="2"/>
  <c r="E1889" i="2" s="1"/>
  <c r="D1890" i="2" l="1"/>
  <c r="E1890" i="2" s="1"/>
  <c r="C1890" i="2"/>
  <c r="F1890" i="2" s="1"/>
  <c r="D1891" i="2" l="1"/>
  <c r="E1891" i="2" s="1"/>
  <c r="C1891" i="2"/>
  <c r="F1891" i="2" s="1"/>
  <c r="D1892" i="2" l="1"/>
  <c r="E1892" i="2" s="1"/>
  <c r="C1892" i="2"/>
  <c r="F1892" i="2" s="1"/>
  <c r="C1893" i="2" l="1"/>
  <c r="F1893" i="2" s="1"/>
  <c r="D1893" i="2"/>
  <c r="E1893" i="2" s="1"/>
  <c r="C1894" i="2" l="1"/>
  <c r="F1894" i="2" s="1"/>
  <c r="D1894" i="2"/>
  <c r="E1894" i="2" l="1"/>
  <c r="C1895" i="2"/>
  <c r="F1895" i="2" s="1"/>
  <c r="D1895" i="2"/>
  <c r="C1896" i="2" l="1"/>
  <c r="F1896" i="2" s="1"/>
  <c r="E1895" i="2"/>
  <c r="D1896" i="2"/>
  <c r="E1896" i="2" l="1"/>
  <c r="C1897" i="2"/>
  <c r="F1897" i="2" s="1"/>
  <c r="D1897" i="2"/>
  <c r="E1897" i="2" l="1"/>
  <c r="C1898" i="2"/>
  <c r="F1898" i="2" s="1"/>
  <c r="D1898" i="2"/>
  <c r="E1898" i="2" l="1"/>
  <c r="D1899" i="2"/>
  <c r="C1899" i="2"/>
  <c r="F1899" i="2" s="1"/>
  <c r="C1900" i="2" l="1"/>
  <c r="F1900" i="2" s="1"/>
  <c r="E1899" i="2"/>
  <c r="D1900" i="2"/>
  <c r="D1901" i="2" l="1"/>
  <c r="C1901" i="2"/>
  <c r="F1901" i="2" s="1"/>
  <c r="E1900" i="2"/>
  <c r="C1902" i="2" l="1"/>
  <c r="F1902" i="2" s="1"/>
  <c r="E1901" i="2"/>
  <c r="D1902" i="2"/>
  <c r="E1902" i="2" l="1"/>
  <c r="C1903" i="2"/>
  <c r="F1903" i="2" s="1"/>
  <c r="D1903" i="2"/>
  <c r="D1904" i="2" l="1"/>
  <c r="E1903" i="2"/>
  <c r="C1904" i="2"/>
  <c r="F1904" i="2" s="1"/>
  <c r="D1905" i="2" l="1"/>
  <c r="E1904" i="2"/>
  <c r="C1905" i="2"/>
  <c r="F1905" i="2" s="1"/>
  <c r="D1906" i="2" l="1"/>
  <c r="E1905" i="2"/>
  <c r="C1906" i="2"/>
  <c r="F1906" i="2" s="1"/>
  <c r="D1907" i="2" l="1"/>
  <c r="E1906" i="2"/>
  <c r="C1907" i="2"/>
  <c r="F1907" i="2" s="1"/>
  <c r="C1908" i="2" l="1"/>
  <c r="F1908" i="2" s="1"/>
  <c r="D1908" i="2"/>
  <c r="E1907" i="2"/>
  <c r="E1908" i="2" l="1"/>
  <c r="D1909" i="2"/>
  <c r="C1909" i="2"/>
  <c r="F1909" i="2" s="1"/>
  <c r="C1910" i="2" l="1"/>
  <c r="F1910" i="2" s="1"/>
  <c r="E1909" i="2"/>
  <c r="D1910" i="2"/>
  <c r="C1911" i="2" l="1"/>
  <c r="F1911" i="2" s="1"/>
  <c r="E1910" i="2"/>
  <c r="D1911" i="2"/>
  <c r="E1911" i="2" l="1"/>
  <c r="D1912" i="2"/>
  <c r="C1912" i="2"/>
  <c r="F1912" i="2" s="1"/>
  <c r="D1913" i="2" l="1"/>
  <c r="C1913" i="2"/>
  <c r="F1913" i="2" s="1"/>
  <c r="E1912" i="2"/>
  <c r="E1913" i="2" l="1"/>
  <c r="D1914" i="2"/>
  <c r="C1914" i="2"/>
  <c r="F1914" i="2" s="1"/>
  <c r="C1915" i="2" l="1"/>
  <c r="F1915" i="2" s="1"/>
  <c r="D1915" i="2"/>
  <c r="E1914" i="2"/>
  <c r="D1916" i="2" l="1"/>
  <c r="C1916" i="2"/>
  <c r="F1916" i="2" s="1"/>
  <c r="E1915" i="2"/>
  <c r="C1917" i="2" l="1"/>
  <c r="F1917" i="2" s="1"/>
  <c r="E1916" i="2"/>
  <c r="D1917" i="2"/>
  <c r="E1917" i="2" l="1"/>
  <c r="C1918" i="2"/>
  <c r="F1918" i="2" s="1"/>
  <c r="D1918" i="2"/>
  <c r="D1919" i="2" l="1"/>
  <c r="E1918" i="2"/>
  <c r="C1919" i="2"/>
  <c r="F1919" i="2" s="1"/>
  <c r="D1920" i="2" l="1"/>
  <c r="E1919" i="2"/>
  <c r="C1920" i="2"/>
  <c r="F1920" i="2" s="1"/>
  <c r="C1921" i="2" l="1"/>
  <c r="F1921" i="2" s="1"/>
  <c r="D1921" i="2"/>
  <c r="E1920" i="2"/>
  <c r="D1922" i="2" l="1"/>
  <c r="E1921" i="2"/>
  <c r="C1922" i="2"/>
  <c r="F1922" i="2" s="1"/>
  <c r="D1923" i="2" l="1"/>
  <c r="C1923" i="2"/>
  <c r="F1923" i="2" s="1"/>
  <c r="E1922" i="2"/>
  <c r="C1924" i="2" l="1"/>
  <c r="F1924" i="2" s="1"/>
  <c r="D1924" i="2"/>
  <c r="E1923" i="2"/>
  <c r="D1925" i="2" l="1"/>
  <c r="C1925" i="2"/>
  <c r="F1925" i="2" s="1"/>
  <c r="E1924" i="2"/>
  <c r="E1925" i="2" l="1"/>
  <c r="D1926" i="2"/>
  <c r="C1926" i="2"/>
  <c r="F1926" i="2" s="1"/>
  <c r="D1927" i="2" l="1"/>
  <c r="E1926" i="2"/>
  <c r="C1927" i="2"/>
  <c r="F1927" i="2" s="1"/>
  <c r="C1928" i="2" l="1"/>
  <c r="F1928" i="2" s="1"/>
  <c r="D1928" i="2"/>
  <c r="E1927" i="2"/>
  <c r="C1929" i="2" l="1"/>
  <c r="F1929" i="2" s="1"/>
  <c r="D1929" i="2"/>
  <c r="E1928" i="2"/>
  <c r="E1929" i="2" l="1"/>
  <c r="D1930" i="2"/>
  <c r="C1930" i="2"/>
  <c r="F1930" i="2" s="1"/>
  <c r="C1931" i="2" l="1"/>
  <c r="F1931" i="2" s="1"/>
  <c r="D1931" i="2"/>
  <c r="E1930" i="2"/>
  <c r="C1932" i="2" l="1"/>
  <c r="F1932" i="2" s="1"/>
  <c r="E1931" i="2"/>
  <c r="D1932" i="2"/>
  <c r="D1933" i="2" l="1"/>
  <c r="C1933" i="2"/>
  <c r="F1933" i="2" s="1"/>
  <c r="E1932" i="2"/>
  <c r="C1934" i="2" l="1"/>
  <c r="F1934" i="2" s="1"/>
  <c r="D1934" i="2"/>
  <c r="E1933" i="2"/>
  <c r="C1935" i="2" l="1"/>
  <c r="F1935" i="2" s="1"/>
  <c r="E1934" i="2"/>
  <c r="D1935" i="2"/>
  <c r="D1936" i="2" l="1"/>
  <c r="C1936" i="2"/>
  <c r="F1936" i="2" s="1"/>
  <c r="E1935" i="2"/>
  <c r="D1937" i="2" l="1"/>
  <c r="C1937" i="2"/>
  <c r="F1937" i="2" s="1"/>
  <c r="E1936" i="2"/>
  <c r="D1938" i="2" l="1"/>
  <c r="E1937" i="2"/>
  <c r="C1938" i="2"/>
  <c r="F1938" i="2" s="1"/>
  <c r="C1939" i="2" l="1"/>
  <c r="F1939" i="2" s="1"/>
  <c r="E1938" i="2"/>
  <c r="D1939" i="2"/>
  <c r="C1940" i="2" l="1"/>
  <c r="F1940" i="2" s="1"/>
  <c r="D1940" i="2"/>
  <c r="E1939" i="2"/>
  <c r="D1941" i="2" l="1"/>
  <c r="E1940" i="2"/>
  <c r="C1941" i="2"/>
  <c r="F1941" i="2" s="1"/>
  <c r="D1942" i="2" l="1"/>
  <c r="E1941" i="2"/>
  <c r="C1942" i="2"/>
  <c r="F1942" i="2" s="1"/>
  <c r="C1943" i="2" l="1"/>
  <c r="F1943" i="2" s="1"/>
  <c r="D1943" i="2"/>
  <c r="E1942" i="2"/>
  <c r="C1944" i="2" l="1"/>
  <c r="F1944" i="2" s="1"/>
  <c r="D1944" i="2"/>
  <c r="E1943" i="2"/>
  <c r="C1945" i="2" l="1"/>
  <c r="F1945" i="2" s="1"/>
  <c r="E1944" i="2"/>
  <c r="D1945" i="2"/>
  <c r="C1946" i="2" l="1"/>
  <c r="F1946" i="2" s="1"/>
  <c r="D1946" i="2"/>
  <c r="E1945" i="2"/>
  <c r="C1947" i="2" l="1"/>
  <c r="F1947" i="2" s="1"/>
  <c r="E1946" i="2"/>
  <c r="D1947" i="2"/>
  <c r="D1948" i="2" l="1"/>
  <c r="E1947" i="2"/>
  <c r="C1948" i="2"/>
  <c r="F1948" i="2" s="1"/>
  <c r="C1949" i="2" l="1"/>
  <c r="F1949" i="2" s="1"/>
  <c r="E1948" i="2"/>
  <c r="D1949" i="2"/>
  <c r="E1949" i="2" l="1"/>
  <c r="C1950" i="2"/>
  <c r="F1950" i="2" s="1"/>
  <c r="D1950" i="2"/>
  <c r="D1951" i="2" l="1"/>
  <c r="C1951" i="2"/>
  <c r="F1951" i="2" s="1"/>
  <c r="E1950" i="2"/>
  <c r="D1952" i="2" l="1"/>
  <c r="C1952" i="2"/>
  <c r="F1952" i="2" s="1"/>
  <c r="E1951" i="2"/>
  <c r="D1953" i="2" l="1"/>
  <c r="E1952" i="2"/>
  <c r="C1953" i="2"/>
  <c r="F1953" i="2" s="1"/>
  <c r="D1954" i="2" l="1"/>
  <c r="C1954" i="2"/>
  <c r="F1954" i="2" s="1"/>
  <c r="E1953" i="2"/>
  <c r="C1955" i="2" l="1"/>
  <c r="F1955" i="2" s="1"/>
  <c r="D1955" i="2"/>
  <c r="E1954" i="2"/>
  <c r="C1956" i="2" l="1"/>
  <c r="F1956" i="2" s="1"/>
  <c r="E1955" i="2"/>
  <c r="D1956" i="2"/>
  <c r="D1957" i="2" l="1"/>
  <c r="E1956" i="2"/>
  <c r="C1957" i="2"/>
  <c r="F1957" i="2" s="1"/>
  <c r="D1958" i="2" l="1"/>
  <c r="E1957" i="2"/>
  <c r="C1958" i="2"/>
  <c r="F1958" i="2" s="1"/>
  <c r="D1959" i="2" l="1"/>
  <c r="E1958" i="2"/>
  <c r="C1959" i="2"/>
  <c r="F1959" i="2" s="1"/>
  <c r="C1960" i="2" l="1"/>
  <c r="F1960" i="2" s="1"/>
  <c r="E1959" i="2"/>
  <c r="D1960" i="2"/>
  <c r="C1961" i="2" l="1"/>
  <c r="F1961" i="2" s="1"/>
  <c r="E1960" i="2"/>
  <c r="D1961" i="2"/>
  <c r="C1962" i="2" l="1"/>
  <c r="F1962" i="2" s="1"/>
  <c r="D1962" i="2"/>
  <c r="E1961" i="2"/>
  <c r="C1963" i="2" l="1"/>
  <c r="F1963" i="2" s="1"/>
  <c r="E1962" i="2"/>
  <c r="D1963" i="2"/>
  <c r="E1963" i="2" l="1"/>
  <c r="D1964" i="2"/>
  <c r="C1964" i="2"/>
  <c r="F1964" i="2" s="1"/>
  <c r="D1965" i="2" l="1"/>
  <c r="E1964" i="2"/>
  <c r="C1965" i="2"/>
  <c r="F1965" i="2" s="1"/>
  <c r="D1966" i="2" l="1"/>
  <c r="E1965" i="2"/>
  <c r="C1966" i="2"/>
  <c r="F1966" i="2" s="1"/>
  <c r="C1967" i="2" l="1"/>
  <c r="F1967" i="2" s="1"/>
  <c r="E1966" i="2"/>
  <c r="D1967" i="2"/>
  <c r="D1968" i="2" l="1"/>
  <c r="C1968" i="2"/>
  <c r="F1968" i="2" s="1"/>
  <c r="E1967" i="2"/>
  <c r="C1969" i="2" l="1"/>
  <c r="F1969" i="2" s="1"/>
  <c r="D1969" i="2"/>
  <c r="E1968" i="2"/>
  <c r="C1970" i="2" l="1"/>
  <c r="F1970" i="2" s="1"/>
  <c r="D1970" i="2"/>
  <c r="E1969" i="2"/>
  <c r="C1971" i="2" l="1"/>
  <c r="F1971" i="2" s="1"/>
  <c r="D1971" i="2"/>
  <c r="E1970" i="2"/>
  <c r="C1972" i="2" l="1"/>
  <c r="F1972" i="2" s="1"/>
  <c r="E1971" i="2"/>
  <c r="D1972" i="2"/>
  <c r="E1972" i="2" l="1"/>
  <c r="C1973" i="2"/>
  <c r="F1973" i="2" s="1"/>
  <c r="D1973" i="2"/>
  <c r="C1974" i="2" l="1"/>
  <c r="F1974" i="2" s="1"/>
  <c r="D1974" i="2"/>
  <c r="E1973" i="2"/>
  <c r="D1975" i="2" l="1"/>
  <c r="C1975" i="2"/>
  <c r="F1975" i="2" s="1"/>
  <c r="E1974" i="2"/>
  <c r="C1976" i="2" l="1"/>
  <c r="F1976" i="2" s="1"/>
  <c r="E1975" i="2"/>
  <c r="D1976" i="2"/>
  <c r="C1977" i="2" l="1"/>
  <c r="F1977" i="2" s="1"/>
  <c r="D1977" i="2"/>
  <c r="E1976" i="2"/>
  <c r="C1978" i="2" l="1"/>
  <c r="F1978" i="2" s="1"/>
  <c r="D1978" i="2"/>
  <c r="E1977" i="2"/>
  <c r="C1979" i="2" l="1"/>
  <c r="F1979" i="2" s="1"/>
  <c r="E1978" i="2"/>
  <c r="D1979" i="2"/>
  <c r="C1980" i="2" l="1"/>
  <c r="F1980" i="2" s="1"/>
  <c r="E1979" i="2"/>
  <c r="D1980" i="2"/>
  <c r="E1980" i="2" l="1"/>
  <c r="D1981" i="2"/>
  <c r="C1981" i="2"/>
  <c r="F1981" i="2" s="1"/>
  <c r="D1982" i="2" l="1"/>
  <c r="C1982" i="2"/>
  <c r="F1982" i="2" s="1"/>
  <c r="E1981" i="2"/>
  <c r="C1983" i="2" l="1"/>
  <c r="F1983" i="2" s="1"/>
  <c r="E1982" i="2"/>
  <c r="D1983" i="2"/>
  <c r="C1984" i="2" l="1"/>
  <c r="F1984" i="2" s="1"/>
  <c r="D1984" i="2"/>
  <c r="E1983" i="2"/>
  <c r="D1985" i="2" l="1"/>
  <c r="C1985" i="2"/>
  <c r="F1985" i="2" s="1"/>
  <c r="E1984" i="2"/>
  <c r="D1986" i="2" l="1"/>
  <c r="C1986" i="2"/>
  <c r="F1986" i="2" s="1"/>
  <c r="E1985" i="2"/>
  <c r="C1987" i="2" l="1"/>
  <c r="F1987" i="2" s="1"/>
  <c r="E1986" i="2"/>
  <c r="D1987" i="2"/>
  <c r="C1988" i="2" l="1"/>
  <c r="F1988" i="2" s="1"/>
  <c r="D1988" i="2"/>
  <c r="E1987" i="2"/>
  <c r="C1989" i="2" l="1"/>
  <c r="F1989" i="2" s="1"/>
  <c r="D1989" i="2"/>
  <c r="E1988" i="2"/>
  <c r="C1990" i="2" l="1"/>
  <c r="F1990" i="2" s="1"/>
  <c r="E1989" i="2"/>
  <c r="D1990" i="2"/>
  <c r="C1991" i="2" l="1"/>
  <c r="F1991" i="2" s="1"/>
  <c r="D1991" i="2"/>
  <c r="E1990" i="2"/>
  <c r="C1992" i="2" l="1"/>
  <c r="F1992" i="2" s="1"/>
  <c r="D1992" i="2"/>
  <c r="E1991" i="2"/>
  <c r="C1993" i="2" l="1"/>
  <c r="F1993" i="2" s="1"/>
  <c r="D1993" i="2"/>
  <c r="E1992" i="2"/>
  <c r="C1994" i="2" l="1"/>
  <c r="F1994" i="2" s="1"/>
  <c r="E1993" i="2"/>
  <c r="D1994" i="2"/>
  <c r="C1995" i="2" l="1"/>
  <c r="F1995" i="2" s="1"/>
  <c r="E1994" i="2"/>
  <c r="D1995" i="2"/>
  <c r="D1996" i="2" l="1"/>
  <c r="E1995" i="2"/>
  <c r="C1996" i="2"/>
  <c r="F1996" i="2" s="1"/>
  <c r="D1997" i="2" l="1"/>
  <c r="E1996" i="2"/>
  <c r="C1997" i="2"/>
  <c r="F1997" i="2" s="1"/>
  <c r="C1998" i="2" l="1"/>
  <c r="F1998" i="2" s="1"/>
  <c r="D1998" i="2"/>
  <c r="E1997" i="2"/>
  <c r="C1999" i="2" l="1"/>
  <c r="F1999" i="2" s="1"/>
  <c r="E1998" i="2"/>
  <c r="D1999" i="2"/>
  <c r="D2000" i="2" l="1"/>
  <c r="E1999" i="2"/>
  <c r="C2000" i="2"/>
  <c r="F2000" i="2" s="1"/>
  <c r="C2001" i="2" l="1"/>
  <c r="F2001" i="2" s="1"/>
  <c r="E2000" i="2"/>
  <c r="D2001" i="2"/>
  <c r="C2002" i="2" l="1"/>
  <c r="F2002" i="2" s="1"/>
  <c r="E2001" i="2"/>
  <c r="D2002" i="2"/>
  <c r="E2002" i="2" l="1"/>
  <c r="D2003" i="2"/>
  <c r="C2003" i="2"/>
  <c r="F2003" i="2" s="1"/>
  <c r="D2004" i="2" l="1"/>
  <c r="C2004" i="2"/>
  <c r="F2004" i="2" s="1"/>
  <c r="E2003" i="2"/>
  <c r="C2005" i="2" l="1"/>
  <c r="F2005" i="2" s="1"/>
  <c r="E2004" i="2"/>
  <c r="D2005" i="2"/>
  <c r="C2006" i="2" l="1"/>
  <c r="F2006" i="2" s="1"/>
  <c r="D2006" i="2"/>
  <c r="E2005" i="2"/>
  <c r="E2006" i="2" l="1"/>
  <c r="C2007" i="2"/>
  <c r="F2007" i="2" s="1"/>
  <c r="D2007" i="2"/>
  <c r="C2008" i="2" l="1"/>
  <c r="F2008" i="2" s="1"/>
  <c r="E2007" i="2"/>
  <c r="D2008" i="2"/>
  <c r="C2009" i="2" l="1"/>
  <c r="F2009" i="2" s="1"/>
  <c r="E2008" i="2"/>
  <c r="D2009" i="2"/>
  <c r="D2010" i="2" l="1"/>
  <c r="C2010" i="2"/>
  <c r="F2010" i="2" s="1"/>
  <c r="E2009" i="2"/>
  <c r="C2011" i="2" l="1"/>
  <c r="F2011" i="2" s="1"/>
  <c r="E2010" i="2"/>
  <c r="D2011" i="2"/>
  <c r="C2012" i="2" l="1"/>
  <c r="F2012" i="2" s="1"/>
  <c r="D2012" i="2"/>
  <c r="E2011" i="2"/>
  <c r="E2012" i="2" l="1"/>
  <c r="C2013" i="2"/>
  <c r="F2013" i="2" s="1"/>
  <c r="D2013" i="2"/>
  <c r="D2014" i="2" l="1"/>
  <c r="E2013" i="2"/>
  <c r="C2014" i="2"/>
  <c r="F2014" i="2" s="1"/>
  <c r="E2014" i="2" l="1"/>
  <c r="C2015" i="2"/>
  <c r="F2015" i="2" s="1"/>
  <c r="D2015" i="2"/>
  <c r="C2016" i="2" l="1"/>
  <c r="F2016" i="2" s="1"/>
  <c r="D2016" i="2"/>
  <c r="E2015" i="2"/>
  <c r="E2016" i="2" l="1"/>
  <c r="C2017" i="2"/>
  <c r="F2017" i="2" s="1"/>
  <c r="D2017" i="2"/>
  <c r="D2018" i="2" l="1"/>
  <c r="E2017" i="2"/>
  <c r="C2018" i="2"/>
  <c r="F2018" i="2" s="1"/>
  <c r="C2019" i="2" l="1"/>
  <c r="F2019" i="2" s="1"/>
  <c r="E2018" i="2"/>
  <c r="D2019" i="2"/>
  <c r="C2020" i="2" l="1"/>
  <c r="F2020" i="2" s="1"/>
  <c r="E2019" i="2"/>
  <c r="D2020" i="2"/>
  <c r="C2021" i="2" l="1"/>
  <c r="F2021" i="2" s="1"/>
  <c r="D2021" i="2"/>
  <c r="E2020" i="2"/>
  <c r="C2022" i="2" l="1"/>
  <c r="F2022" i="2" s="1"/>
  <c r="D2022" i="2"/>
  <c r="E2021" i="2"/>
  <c r="C2023" i="2" l="1"/>
  <c r="F2023" i="2" s="1"/>
  <c r="E2022" i="2"/>
  <c r="D2023" i="2"/>
  <c r="C2024" i="2" l="1"/>
  <c r="F2024" i="2" s="1"/>
  <c r="D2024" i="2"/>
  <c r="E2023" i="2"/>
  <c r="C2025" i="2" l="1"/>
  <c r="F2025" i="2" s="1"/>
  <c r="E2024" i="2"/>
  <c r="D2025" i="2"/>
  <c r="C2026" i="2" l="1"/>
  <c r="F2026" i="2" s="1"/>
  <c r="E2025" i="2"/>
  <c r="D2026" i="2"/>
  <c r="C2027" i="2" l="1"/>
  <c r="F2027" i="2" s="1"/>
  <c r="E2026" i="2"/>
  <c r="D2027" i="2"/>
  <c r="D2028" i="2" l="1"/>
  <c r="E2027" i="2"/>
  <c r="C2028" i="2"/>
  <c r="F2028" i="2" s="1"/>
  <c r="D2029" i="2" l="1"/>
  <c r="E2028" i="2"/>
  <c r="C2029" i="2"/>
  <c r="F2029" i="2" s="1"/>
  <c r="C2030" i="2" l="1"/>
  <c r="F2030" i="2" s="1"/>
  <c r="D2030" i="2"/>
  <c r="E2029" i="2"/>
  <c r="D2031" i="2" l="1"/>
  <c r="E2030" i="2"/>
  <c r="C2031" i="2"/>
  <c r="F2031" i="2" s="1"/>
  <c r="D2032" i="2" l="1"/>
  <c r="C2032" i="2"/>
  <c r="F2032" i="2" s="1"/>
  <c r="E2031" i="2"/>
  <c r="D2033" i="2" l="1"/>
  <c r="C2033" i="2"/>
  <c r="F2033" i="2" s="1"/>
  <c r="E2032" i="2"/>
  <c r="C2034" i="2" l="1"/>
  <c r="F2034" i="2" s="1"/>
  <c r="E2033" i="2"/>
  <c r="D2034" i="2"/>
  <c r="C2035" i="2" l="1"/>
  <c r="F2035" i="2" s="1"/>
  <c r="E2034" i="2"/>
  <c r="D2035" i="2"/>
  <c r="C2036" i="2" l="1"/>
  <c r="F2036" i="2" s="1"/>
  <c r="D2036" i="2"/>
  <c r="E2035" i="2"/>
  <c r="D2037" i="2" l="1"/>
  <c r="C2037" i="2"/>
  <c r="F2037" i="2" s="1"/>
  <c r="E2036" i="2"/>
  <c r="C2038" i="2" l="1"/>
  <c r="F2038" i="2" s="1"/>
  <c r="D2038" i="2"/>
  <c r="E2037" i="2"/>
  <c r="C2039" i="2" l="1"/>
  <c r="F2039" i="2" s="1"/>
  <c r="D2039" i="2"/>
  <c r="E2038" i="2"/>
  <c r="C2040" i="2" l="1"/>
  <c r="F2040" i="2" s="1"/>
  <c r="E2039" i="2"/>
  <c r="D2040" i="2"/>
  <c r="C2041" i="2" l="1"/>
  <c r="F2041" i="2" s="1"/>
  <c r="E2040" i="2"/>
  <c r="D2041" i="2"/>
  <c r="D2042" i="2" l="1"/>
  <c r="C2042" i="2"/>
  <c r="F2042" i="2" s="1"/>
  <c r="E2041" i="2"/>
  <c r="C2043" i="2" l="1"/>
  <c r="F2043" i="2" s="1"/>
  <c r="E2042" i="2"/>
  <c r="D2043" i="2"/>
  <c r="E2043" i="2" l="1"/>
  <c r="C2044" i="2"/>
  <c r="F2044" i="2" s="1"/>
  <c r="D2044" i="2"/>
  <c r="C2045" i="2" l="1"/>
  <c r="F2045" i="2" s="1"/>
  <c r="D2045" i="2"/>
  <c r="E2044" i="2"/>
  <c r="C2046" i="2" l="1"/>
  <c r="F2046" i="2" s="1"/>
  <c r="E2045" i="2"/>
  <c r="D2046" i="2"/>
  <c r="C2047" i="2" l="1"/>
  <c r="F2047" i="2" s="1"/>
  <c r="E2046" i="2"/>
  <c r="D2047" i="2"/>
  <c r="D2048" i="2" l="1"/>
  <c r="E2047" i="2"/>
  <c r="C2048" i="2"/>
  <c r="F2048" i="2" s="1"/>
  <c r="C2049" i="2" l="1"/>
  <c r="F2049" i="2" s="1"/>
  <c r="D2049" i="2"/>
  <c r="E2048" i="2"/>
  <c r="D2050" i="2" l="1"/>
  <c r="C2050" i="2"/>
  <c r="F2050" i="2" s="1"/>
  <c r="E2049" i="2"/>
  <c r="C2051" i="2" l="1"/>
  <c r="F2051" i="2" s="1"/>
  <c r="D2051" i="2"/>
  <c r="E2050" i="2"/>
  <c r="C2052" i="2" l="1"/>
  <c r="F2052" i="2" s="1"/>
  <c r="E2051" i="2"/>
  <c r="D2052" i="2"/>
  <c r="D2053" i="2" l="1"/>
  <c r="C2053" i="2"/>
  <c r="F2053" i="2" s="1"/>
  <c r="E2052" i="2"/>
  <c r="C2054" i="2" l="1"/>
  <c r="F2054" i="2" s="1"/>
  <c r="D2054" i="2"/>
  <c r="E2053" i="2"/>
  <c r="C2055" i="2" l="1"/>
  <c r="F2055" i="2" s="1"/>
  <c r="E2054" i="2"/>
  <c r="D2055" i="2"/>
  <c r="C2056" i="2" l="1"/>
  <c r="F2056" i="2" s="1"/>
  <c r="E2055" i="2"/>
  <c r="D2056" i="2"/>
  <c r="C2057" i="2" l="1"/>
  <c r="F2057" i="2" s="1"/>
  <c r="D2057" i="2"/>
  <c r="E2056" i="2"/>
  <c r="D2058" i="2" l="1"/>
  <c r="C2058" i="2"/>
  <c r="F2058" i="2" s="1"/>
  <c r="E2057" i="2"/>
  <c r="C2059" i="2" l="1"/>
  <c r="F2059" i="2" s="1"/>
  <c r="E2058" i="2"/>
  <c r="D2059" i="2"/>
  <c r="D2060" i="2" l="1"/>
  <c r="E2059" i="2"/>
  <c r="C2060" i="2"/>
  <c r="F2060" i="2" s="1"/>
  <c r="D2061" i="2" l="1"/>
  <c r="E2060" i="2"/>
  <c r="C2061" i="2"/>
  <c r="F2061" i="2" s="1"/>
  <c r="C2062" i="2" l="1"/>
  <c r="F2062" i="2" s="1"/>
  <c r="E2061" i="2"/>
  <c r="D2062" i="2"/>
  <c r="D2063" i="2" l="1"/>
  <c r="E2062" i="2"/>
  <c r="C2063" i="2"/>
  <c r="F2063" i="2" s="1"/>
  <c r="D2064" i="2" l="1"/>
  <c r="E2063" i="2"/>
  <c r="C2064" i="2"/>
  <c r="F2064" i="2" s="1"/>
  <c r="D2065" i="2" l="1"/>
  <c r="C2065" i="2"/>
  <c r="F2065" i="2" s="1"/>
  <c r="E2064" i="2"/>
  <c r="D2066" i="2" l="1"/>
  <c r="E2065" i="2"/>
  <c r="C2066" i="2"/>
  <c r="F2066" i="2" s="1"/>
  <c r="C2067" i="2" l="1"/>
  <c r="F2067" i="2" s="1"/>
  <c r="E2066" i="2"/>
  <c r="D2067" i="2"/>
  <c r="C2068" i="2" l="1"/>
  <c r="F2068" i="2" s="1"/>
  <c r="E2067" i="2"/>
  <c r="D2068" i="2"/>
  <c r="E2068" i="2" l="1"/>
  <c r="D2069" i="2"/>
  <c r="C2069" i="2"/>
  <c r="F2069" i="2" s="1"/>
  <c r="C2070" i="2" l="1"/>
  <c r="F2070" i="2" s="1"/>
  <c r="D2070" i="2"/>
  <c r="E2069" i="2"/>
  <c r="C2071" i="2" l="1"/>
  <c r="F2071" i="2" s="1"/>
  <c r="E2070" i="2"/>
  <c r="D2071" i="2"/>
  <c r="C2072" i="2" l="1"/>
  <c r="F2072" i="2" s="1"/>
  <c r="E2071" i="2"/>
  <c r="D2072" i="2"/>
  <c r="C2073" i="2" l="1"/>
  <c r="F2073" i="2" s="1"/>
  <c r="E2072" i="2"/>
  <c r="D2073" i="2"/>
  <c r="C2074" i="2" l="1"/>
  <c r="F2074" i="2" s="1"/>
  <c r="D2074" i="2"/>
  <c r="E2073" i="2"/>
  <c r="C2075" i="2" l="1"/>
  <c r="F2075" i="2" s="1"/>
  <c r="E2074" i="2"/>
  <c r="D2075" i="2"/>
  <c r="C2076" i="2" l="1"/>
  <c r="F2076" i="2" s="1"/>
  <c r="E2075" i="2"/>
  <c r="D2076" i="2"/>
  <c r="C2077" i="2" l="1"/>
  <c r="F2077" i="2" s="1"/>
  <c r="D2077" i="2"/>
  <c r="E2076" i="2"/>
  <c r="D2078" i="2" l="1"/>
  <c r="E2077" i="2"/>
  <c r="C2078" i="2"/>
  <c r="F2078" i="2" s="1"/>
  <c r="C2079" i="2" l="1"/>
  <c r="F2079" i="2" s="1"/>
  <c r="D2079" i="2"/>
  <c r="E2078" i="2"/>
  <c r="D2080" i="2" l="1"/>
  <c r="E2079" i="2"/>
  <c r="C2080" i="2"/>
  <c r="F2080" i="2" s="1"/>
  <c r="C2081" i="2" l="1"/>
  <c r="F2081" i="2" s="1"/>
  <c r="D2081" i="2"/>
  <c r="E2080" i="2"/>
  <c r="D2082" i="2" l="1"/>
  <c r="C2082" i="2"/>
  <c r="F2082" i="2" s="1"/>
  <c r="E2081" i="2"/>
  <c r="C2083" i="2" l="1"/>
  <c r="F2083" i="2" s="1"/>
  <c r="E2082" i="2"/>
  <c r="D2083" i="2"/>
  <c r="E2083" i="2" l="1"/>
  <c r="C2084" i="2"/>
  <c r="F2084" i="2" s="1"/>
  <c r="D2084" i="2"/>
  <c r="D2085" i="2" l="1"/>
  <c r="E2084" i="2"/>
  <c r="C2085" i="2"/>
  <c r="F2085" i="2" s="1"/>
  <c r="C2086" i="2" l="1"/>
  <c r="F2086" i="2" s="1"/>
  <c r="E2085" i="2"/>
  <c r="D2086" i="2"/>
  <c r="D2087" i="2" l="1"/>
  <c r="E2086" i="2"/>
  <c r="C2087" i="2"/>
  <c r="F2087" i="2" s="1"/>
  <c r="C2088" i="2" l="1"/>
  <c r="F2088" i="2" s="1"/>
  <c r="D2088" i="2"/>
  <c r="E2087" i="2"/>
  <c r="C2089" i="2" l="1"/>
  <c r="F2089" i="2" s="1"/>
  <c r="D2089" i="2"/>
  <c r="E2088" i="2"/>
  <c r="D2090" i="2" l="1"/>
  <c r="E2089" i="2"/>
  <c r="C2090" i="2"/>
  <c r="F2090" i="2" s="1"/>
  <c r="C2091" i="2" l="1"/>
  <c r="F2091" i="2" s="1"/>
  <c r="E2090" i="2"/>
  <c r="D2091" i="2"/>
  <c r="C2092" i="2" l="1"/>
  <c r="F2092" i="2" s="1"/>
  <c r="D2092" i="2"/>
  <c r="E2091" i="2"/>
  <c r="C2093" i="2" l="1"/>
  <c r="F2093" i="2" s="1"/>
  <c r="E2092" i="2"/>
  <c r="D2093" i="2"/>
  <c r="C2094" i="2" l="1"/>
  <c r="F2094" i="2" s="1"/>
  <c r="D2094" i="2"/>
  <c r="E2093" i="2"/>
  <c r="C2095" i="2" l="1"/>
  <c r="F2095" i="2" s="1"/>
  <c r="E2094" i="2"/>
  <c r="D2095" i="2"/>
  <c r="D2096" i="2" l="1"/>
  <c r="C2096" i="2"/>
  <c r="F2096" i="2" s="1"/>
  <c r="E2095" i="2"/>
  <c r="C2097" i="2" l="1"/>
  <c r="F2097" i="2" s="1"/>
  <c r="D2097" i="2"/>
  <c r="E2096" i="2"/>
  <c r="C2098" i="2" l="1"/>
  <c r="F2098" i="2" s="1"/>
  <c r="D2098" i="2"/>
  <c r="E2097" i="2"/>
  <c r="C2099" i="2" l="1"/>
  <c r="F2099" i="2" s="1"/>
  <c r="E2098" i="2"/>
  <c r="D2099" i="2"/>
  <c r="D2100" i="2" l="1"/>
  <c r="E2099" i="2"/>
  <c r="C2100" i="2"/>
  <c r="F2100" i="2" s="1"/>
  <c r="D2101" i="2" l="1"/>
  <c r="E2100" i="2"/>
  <c r="C2101" i="2"/>
  <c r="F2101" i="2" s="1"/>
  <c r="C2102" i="2" l="1"/>
  <c r="F2102" i="2" s="1"/>
  <c r="D2102" i="2"/>
  <c r="E2101" i="2"/>
  <c r="C2103" i="2" l="1"/>
  <c r="F2103" i="2" s="1"/>
  <c r="E2102" i="2"/>
  <c r="D2103" i="2"/>
  <c r="C2104" i="2" l="1"/>
  <c r="F2104" i="2" s="1"/>
  <c r="D2104" i="2"/>
  <c r="E2103" i="2"/>
  <c r="E2104" i="2" l="1"/>
  <c r="D2105" i="2"/>
  <c r="C2105" i="2"/>
  <c r="F2105" i="2" s="1"/>
  <c r="C2106" i="2" l="1"/>
  <c r="F2106" i="2" s="1"/>
  <c r="D2106" i="2"/>
  <c r="E2105" i="2"/>
  <c r="C2107" i="2" l="1"/>
  <c r="F2107" i="2" s="1"/>
  <c r="E2106" i="2"/>
  <c r="D2107" i="2"/>
  <c r="C2108" i="2" l="1"/>
  <c r="F2108" i="2" s="1"/>
  <c r="E2107" i="2"/>
  <c r="D2108" i="2"/>
  <c r="C2109" i="2" l="1"/>
  <c r="F2109" i="2" s="1"/>
  <c r="D2109" i="2"/>
  <c r="E2108" i="2"/>
  <c r="D2110" i="2" l="1"/>
  <c r="E2109" i="2"/>
  <c r="C2110" i="2"/>
  <c r="F2110" i="2" s="1"/>
  <c r="E2110" i="2" l="1"/>
  <c r="D2111" i="2"/>
  <c r="C2111" i="2"/>
  <c r="F2111" i="2" s="1"/>
  <c r="D2112" i="2" l="1"/>
  <c r="C2112" i="2"/>
  <c r="F2112" i="2" s="1"/>
  <c r="E2111" i="2"/>
  <c r="D2113" i="2" l="1"/>
  <c r="E2112" i="2"/>
  <c r="C2113" i="2"/>
  <c r="F2113" i="2" s="1"/>
  <c r="D2114" i="2" l="1"/>
  <c r="C2114" i="2"/>
  <c r="F2114" i="2" s="1"/>
  <c r="E2113" i="2"/>
  <c r="C2115" i="2" l="1"/>
  <c r="F2115" i="2" s="1"/>
  <c r="E2114" i="2"/>
  <c r="D2115" i="2"/>
  <c r="C2116" i="2" l="1"/>
  <c r="F2116" i="2" s="1"/>
  <c r="D2116" i="2"/>
  <c r="E2115" i="2"/>
  <c r="D2117" i="2" l="1"/>
  <c r="E2116" i="2"/>
  <c r="C2117" i="2"/>
  <c r="F2117" i="2" s="1"/>
  <c r="C2118" i="2" l="1"/>
  <c r="F2118" i="2" s="1"/>
  <c r="E2117" i="2"/>
  <c r="D2118" i="2"/>
  <c r="C2119" i="2" l="1"/>
  <c r="F2119" i="2" s="1"/>
  <c r="E2118" i="2"/>
  <c r="D2119" i="2"/>
  <c r="C2120" i="2" l="1"/>
  <c r="F2120" i="2" s="1"/>
  <c r="D2120" i="2"/>
  <c r="E2119" i="2"/>
  <c r="E2120" i="2" l="1"/>
  <c r="D2121" i="2"/>
  <c r="C2121" i="2"/>
  <c r="F2121" i="2" s="1"/>
  <c r="E2121" i="2" l="1"/>
  <c r="D2122" i="2"/>
  <c r="C2122" i="2"/>
  <c r="F2122" i="2" s="1"/>
  <c r="C2123" i="2" l="1"/>
  <c r="F2123" i="2" s="1"/>
  <c r="E2122" i="2"/>
  <c r="D2123" i="2"/>
  <c r="C2124" i="2" l="1"/>
  <c r="F2124" i="2" s="1"/>
  <c r="D2124" i="2"/>
  <c r="E2123" i="2"/>
  <c r="D2125" i="2" l="1"/>
  <c r="E2124" i="2"/>
  <c r="C2125" i="2"/>
  <c r="F2125" i="2" s="1"/>
  <c r="C2126" i="2" l="1"/>
  <c r="F2126" i="2" s="1"/>
  <c r="E2125" i="2"/>
  <c r="D2126" i="2"/>
  <c r="C2127" i="2" l="1"/>
  <c r="F2127" i="2" s="1"/>
  <c r="D2127" i="2"/>
  <c r="E2126" i="2"/>
  <c r="D2128" i="2" l="1"/>
  <c r="C2128" i="2"/>
  <c r="F2128" i="2" s="1"/>
  <c r="E2127" i="2"/>
  <c r="E2128" i="2" l="1"/>
  <c r="C2129" i="2"/>
  <c r="F2129" i="2" s="1"/>
  <c r="D2129" i="2"/>
  <c r="D2130" i="2" l="1"/>
  <c r="C2130" i="2"/>
  <c r="F2130" i="2" s="1"/>
  <c r="E2129" i="2"/>
  <c r="D2131" i="2" l="1"/>
  <c r="E2130" i="2"/>
  <c r="C2131" i="2"/>
  <c r="F2131" i="2" s="1"/>
  <c r="C2132" i="2" l="1"/>
  <c r="F2132" i="2" s="1"/>
  <c r="D2132" i="2"/>
  <c r="E2131" i="2"/>
  <c r="C2133" i="2" l="1"/>
  <c r="F2133" i="2" s="1"/>
  <c r="D2133" i="2"/>
  <c r="E2132" i="2"/>
  <c r="C2134" i="2" l="1"/>
  <c r="F2134" i="2" s="1"/>
  <c r="D2134" i="2"/>
  <c r="E2133" i="2"/>
  <c r="C2135" i="2" l="1"/>
  <c r="F2135" i="2" s="1"/>
  <c r="D2135" i="2"/>
  <c r="E2134" i="2"/>
  <c r="C2136" i="2" l="1"/>
  <c r="F2136" i="2" s="1"/>
  <c r="D2136" i="2"/>
  <c r="E2135" i="2"/>
  <c r="C2137" i="2" l="1"/>
  <c r="F2137" i="2" s="1"/>
  <c r="E2136" i="2"/>
  <c r="D2137" i="2"/>
  <c r="C2138" i="2" l="1"/>
  <c r="F2138" i="2" s="1"/>
  <c r="E2137" i="2"/>
  <c r="D2138" i="2"/>
  <c r="C2139" i="2" l="1"/>
  <c r="F2139" i="2" s="1"/>
  <c r="E2138" i="2"/>
  <c r="D2139" i="2"/>
  <c r="C2140" i="2" l="1"/>
  <c r="F2140" i="2" s="1"/>
  <c r="D2140" i="2"/>
  <c r="E2139" i="2"/>
  <c r="C2141" i="2" l="1"/>
  <c r="F2141" i="2" s="1"/>
  <c r="E2140" i="2"/>
  <c r="D2141" i="2"/>
  <c r="C2142" i="2" l="1"/>
  <c r="F2142" i="2" s="1"/>
  <c r="E2141" i="2"/>
  <c r="D2142" i="2"/>
  <c r="C2143" i="2" l="1"/>
  <c r="F2143" i="2" s="1"/>
  <c r="D2143" i="2"/>
  <c r="E2142" i="2"/>
  <c r="C2144" i="2" l="1"/>
  <c r="F2144" i="2" s="1"/>
  <c r="E2143" i="2"/>
  <c r="D2144" i="2"/>
  <c r="C2145" i="2" l="1"/>
  <c r="F2145" i="2" s="1"/>
  <c r="E2144" i="2"/>
  <c r="D2145" i="2"/>
  <c r="D2146" i="2" l="1"/>
  <c r="C2146" i="2"/>
  <c r="F2146" i="2" s="1"/>
  <c r="E2145" i="2"/>
  <c r="C2147" i="2" l="1"/>
  <c r="F2147" i="2" s="1"/>
  <c r="E2146" i="2"/>
  <c r="D2147" i="2"/>
  <c r="C2148" i="2" l="1"/>
  <c r="F2148" i="2" s="1"/>
  <c r="E2147" i="2"/>
  <c r="D2148" i="2"/>
  <c r="C2149" i="2" l="1"/>
  <c r="F2149" i="2" s="1"/>
  <c r="E2148" i="2"/>
  <c r="D2149" i="2"/>
  <c r="C2150" i="2" l="1"/>
  <c r="F2150" i="2" s="1"/>
  <c r="D2150" i="2"/>
  <c r="E2149" i="2"/>
  <c r="C2151" i="2" l="1"/>
  <c r="F2151" i="2" s="1"/>
  <c r="E2150" i="2"/>
  <c r="D2151" i="2"/>
  <c r="C2152" i="2" l="1"/>
  <c r="F2152" i="2" s="1"/>
  <c r="E2151" i="2"/>
  <c r="D2152" i="2"/>
  <c r="C2153" i="2" l="1"/>
  <c r="F2153" i="2" s="1"/>
  <c r="D2153" i="2"/>
  <c r="E2152" i="2"/>
  <c r="C2154" i="2" l="1"/>
  <c r="F2154" i="2" s="1"/>
  <c r="E2153" i="2"/>
  <c r="D2154" i="2"/>
  <c r="E2154" i="2" l="1"/>
  <c r="D2155" i="2"/>
  <c r="C2155" i="2"/>
  <c r="F2155" i="2" s="1"/>
  <c r="C2156" i="2" l="1"/>
  <c r="F2156" i="2" s="1"/>
  <c r="E2155" i="2"/>
  <c r="D2156" i="2"/>
  <c r="D2157" i="2" l="1"/>
  <c r="E2156" i="2"/>
  <c r="C2157" i="2"/>
  <c r="F2157" i="2" s="1"/>
  <c r="D2158" i="2" l="1"/>
  <c r="C2158" i="2"/>
  <c r="F2158" i="2" s="1"/>
  <c r="E2157" i="2"/>
  <c r="D2159" i="2" l="1"/>
  <c r="C2159" i="2"/>
  <c r="F2159" i="2" s="1"/>
  <c r="E2158" i="2"/>
  <c r="D2160" i="2" l="1"/>
  <c r="C2160" i="2"/>
  <c r="F2160" i="2" s="1"/>
  <c r="E2159" i="2"/>
  <c r="C2161" i="2" l="1"/>
  <c r="F2161" i="2" s="1"/>
  <c r="D2161" i="2"/>
  <c r="E2160" i="2"/>
  <c r="C2162" i="2" l="1"/>
  <c r="F2162" i="2" s="1"/>
  <c r="E2161" i="2"/>
  <c r="D2162" i="2"/>
  <c r="C2163" i="2" l="1"/>
  <c r="F2163" i="2" s="1"/>
  <c r="D2163" i="2"/>
  <c r="E2162" i="2"/>
  <c r="C2164" i="2" l="1"/>
  <c r="F2164" i="2" s="1"/>
  <c r="D2164" i="2"/>
  <c r="E2163" i="2"/>
  <c r="C2165" i="2" l="1"/>
  <c r="F2165" i="2" s="1"/>
  <c r="D2165" i="2"/>
  <c r="E2164" i="2"/>
  <c r="C2166" i="2" l="1"/>
  <c r="F2166" i="2" s="1"/>
  <c r="D2166" i="2"/>
  <c r="E2165" i="2"/>
  <c r="C2167" i="2" l="1"/>
  <c r="F2167" i="2" s="1"/>
  <c r="D2167" i="2"/>
  <c r="E2166" i="2"/>
  <c r="C2168" i="2" l="1"/>
  <c r="F2168" i="2" s="1"/>
  <c r="D2168" i="2"/>
  <c r="E2167" i="2"/>
  <c r="D2169" i="2" l="1"/>
  <c r="E2168" i="2"/>
  <c r="C2169" i="2"/>
  <c r="F2169" i="2" s="1"/>
  <c r="D2170" i="2" l="1"/>
  <c r="E2169" i="2"/>
  <c r="C2170" i="2"/>
  <c r="F2170" i="2" s="1"/>
  <c r="C2171" i="2" l="1"/>
  <c r="F2171" i="2" s="1"/>
  <c r="E2170" i="2"/>
  <c r="D2171" i="2"/>
  <c r="E2171" i="2" l="1"/>
  <c r="D2172" i="2"/>
  <c r="C2172" i="2"/>
  <c r="F2172" i="2" s="1"/>
  <c r="C2173" i="2" l="1"/>
  <c r="F2173" i="2" s="1"/>
  <c r="E2172" i="2"/>
  <c r="D2173" i="2"/>
  <c r="D2174" i="2" l="1"/>
  <c r="C2174" i="2"/>
  <c r="F2174" i="2" s="1"/>
  <c r="E2173" i="2"/>
  <c r="C2175" i="2" l="1"/>
  <c r="F2175" i="2" s="1"/>
  <c r="D2175" i="2"/>
  <c r="E2174" i="2"/>
  <c r="D2176" i="2" l="1"/>
  <c r="E2175" i="2"/>
  <c r="C2176" i="2"/>
  <c r="F2176" i="2" s="1"/>
  <c r="C2177" i="2" l="1"/>
  <c r="F2177" i="2" s="1"/>
  <c r="E2176" i="2"/>
  <c r="D2177" i="2"/>
  <c r="D2178" i="2" l="1"/>
  <c r="E2177" i="2"/>
  <c r="C2178" i="2"/>
  <c r="F2178" i="2" s="1"/>
  <c r="C2179" i="2" l="1"/>
  <c r="F2179" i="2" s="1"/>
  <c r="D2179" i="2"/>
  <c r="E2178" i="2"/>
  <c r="C2180" i="2" l="1"/>
  <c r="F2180" i="2" s="1"/>
  <c r="D2180" i="2"/>
  <c r="E2179" i="2"/>
  <c r="E2180" i="2" l="1"/>
  <c r="C2181" i="2"/>
  <c r="F2181" i="2" s="1"/>
  <c r="D2181" i="2"/>
  <c r="C2182" i="2" l="1"/>
  <c r="F2182" i="2" s="1"/>
  <c r="E2181" i="2"/>
  <c r="D2182" i="2"/>
  <c r="C2183" i="2" l="1"/>
  <c r="F2183" i="2" s="1"/>
  <c r="D2183" i="2"/>
  <c r="E2182" i="2"/>
  <c r="C2184" i="2" l="1"/>
  <c r="F2184" i="2" s="1"/>
  <c r="E2183" i="2"/>
  <c r="D2184" i="2"/>
  <c r="C2185" i="2" l="1"/>
  <c r="F2185" i="2" s="1"/>
  <c r="E2184" i="2"/>
  <c r="D2185" i="2"/>
  <c r="D2186" i="2" l="1"/>
  <c r="E2185" i="2"/>
  <c r="C2186" i="2"/>
  <c r="F2186" i="2" s="1"/>
  <c r="E2186" i="2" l="1"/>
  <c r="C2187" i="2"/>
  <c r="F2187" i="2" s="1"/>
  <c r="D2187" i="2"/>
  <c r="C2188" i="2" l="1"/>
  <c r="F2188" i="2" s="1"/>
  <c r="E2187" i="2"/>
  <c r="D2188" i="2"/>
  <c r="E2188" i="2" l="1"/>
  <c r="C2189" i="2"/>
  <c r="F2189" i="2" s="1"/>
  <c r="D2189" i="2"/>
  <c r="C2190" i="2" l="1"/>
  <c r="F2190" i="2" s="1"/>
  <c r="D2190" i="2"/>
  <c r="E2189" i="2"/>
  <c r="C2191" i="2" l="1"/>
  <c r="F2191" i="2" s="1"/>
  <c r="E2190" i="2"/>
  <c r="D2191" i="2"/>
  <c r="D2192" i="2" l="1"/>
  <c r="C2192" i="2"/>
  <c r="F2192" i="2" s="1"/>
  <c r="E2191" i="2"/>
  <c r="C2193" i="2" l="1"/>
  <c r="F2193" i="2" s="1"/>
  <c r="E2192" i="2"/>
  <c r="D2193" i="2"/>
  <c r="D2194" i="2" l="1"/>
  <c r="C2194" i="2"/>
  <c r="F2194" i="2" s="1"/>
  <c r="E2193" i="2"/>
  <c r="C2195" i="2" l="1"/>
  <c r="F2195" i="2" s="1"/>
  <c r="E2194" i="2"/>
  <c r="D2195" i="2"/>
  <c r="C2196" i="2" l="1"/>
  <c r="F2196" i="2" s="1"/>
  <c r="D2196" i="2"/>
  <c r="E2195" i="2"/>
  <c r="C2197" i="2" l="1"/>
  <c r="F2197" i="2" s="1"/>
  <c r="E2196" i="2"/>
  <c r="D2197" i="2"/>
  <c r="C2198" i="2" l="1"/>
  <c r="F2198" i="2" s="1"/>
  <c r="E2197" i="2"/>
  <c r="D2198" i="2"/>
  <c r="C2199" i="2" l="1"/>
  <c r="F2199" i="2" s="1"/>
  <c r="E2198" i="2"/>
  <c r="D2199" i="2"/>
  <c r="C2200" i="2" l="1"/>
  <c r="F2200" i="2" s="1"/>
  <c r="E2199" i="2"/>
  <c r="D2200" i="2"/>
  <c r="C2201" i="2" l="1"/>
  <c r="F2201" i="2" s="1"/>
  <c r="E2200" i="2"/>
  <c r="D2201" i="2"/>
  <c r="C2202" i="2" l="1"/>
  <c r="F2202" i="2" s="1"/>
  <c r="E2201" i="2"/>
  <c r="D2202" i="2"/>
  <c r="C2203" i="2" l="1"/>
  <c r="F2203" i="2" s="1"/>
  <c r="E2202" i="2"/>
  <c r="D2203" i="2"/>
  <c r="C2204" i="2" l="1"/>
  <c r="F2204" i="2" s="1"/>
  <c r="E2203" i="2"/>
  <c r="D2204" i="2"/>
  <c r="C2205" i="2" l="1"/>
  <c r="F2205" i="2" s="1"/>
  <c r="D2205" i="2"/>
  <c r="E2204" i="2"/>
  <c r="C2206" i="2" l="1"/>
  <c r="F2206" i="2" s="1"/>
  <c r="D2206" i="2"/>
  <c r="E2205" i="2"/>
  <c r="D2207" i="2" l="1"/>
  <c r="C2207" i="2"/>
  <c r="F2207" i="2" s="1"/>
  <c r="E2206" i="2"/>
  <c r="D2208" i="2" l="1"/>
  <c r="C2208" i="2"/>
  <c r="F2208" i="2" s="1"/>
  <c r="E2207" i="2"/>
  <c r="D2209" i="2" l="1"/>
  <c r="C2209" i="2"/>
  <c r="F2209" i="2" s="1"/>
  <c r="E2208" i="2"/>
  <c r="D2210" i="2" l="1"/>
  <c r="C2210" i="2"/>
  <c r="F2210" i="2" s="1"/>
  <c r="E2209" i="2"/>
  <c r="C2211" i="2" l="1"/>
  <c r="F2211" i="2" s="1"/>
  <c r="E2210" i="2"/>
  <c r="D2211" i="2"/>
  <c r="C2212" i="2" l="1"/>
  <c r="F2212" i="2" s="1"/>
  <c r="E2211" i="2"/>
  <c r="D2212" i="2"/>
  <c r="C2213" i="2" l="1"/>
  <c r="F2213" i="2" s="1"/>
  <c r="E2212" i="2"/>
  <c r="D2213" i="2"/>
  <c r="C2214" i="2" l="1"/>
  <c r="F2214" i="2" s="1"/>
  <c r="E2213" i="2"/>
  <c r="D2214" i="2"/>
  <c r="E2214" i="2" l="1"/>
</calcChain>
</file>

<file path=xl/sharedStrings.xml><?xml version="1.0" encoding="utf-8"?>
<sst xmlns="http://schemas.openxmlformats.org/spreadsheetml/2006/main" count="256" uniqueCount="166">
  <si>
    <t>Muestra de puntos unicos</t>
  </si>
  <si>
    <t>Duplas posibles</t>
  </si>
  <si>
    <t>Final</t>
  </si>
  <si>
    <t>Origen</t>
  </si>
  <si>
    <t>Origen (puntos)</t>
  </si>
  <si>
    <t>Final (Puntos)</t>
  </si>
  <si>
    <t>Cod</t>
  </si>
  <si>
    <t>Lista de puntos unicos</t>
  </si>
  <si>
    <t>Pegar como valores los Puntos de los cargos valorados
Descendente</t>
  </si>
  <si>
    <t>Formula
Puntos Unicos Descendente</t>
  </si>
  <si>
    <t>% G</t>
  </si>
  <si>
    <t>% G+V</t>
  </si>
  <si>
    <t>Persona</t>
  </si>
  <si>
    <t>G Actual</t>
  </si>
  <si>
    <t>G+V Actual</t>
  </si>
  <si>
    <t>CT Actual</t>
  </si>
  <si>
    <t>Cargo Valorado</t>
  </si>
  <si>
    <t>Puntos</t>
  </si>
  <si>
    <t>Puntos colum</t>
  </si>
  <si>
    <t>G colum</t>
  </si>
  <si>
    <t>G+V colum</t>
  </si>
  <si>
    <t>CT colum</t>
  </si>
  <si>
    <t>G regresión</t>
  </si>
  <si>
    <t>G+ V Regresión</t>
  </si>
  <si>
    <t>CT Regresión</t>
  </si>
  <si>
    <t>G Ajustado</t>
  </si>
  <si>
    <t>G+ V Ajustado</t>
  </si>
  <si>
    <t>CT Ajustado</t>
  </si>
  <si>
    <t>V1</t>
  </si>
  <si>
    <t>V2</t>
  </si>
  <si>
    <t>V3</t>
  </si>
  <si>
    <t>V4</t>
  </si>
  <si>
    <t>V5</t>
  </si>
  <si>
    <t>Punto Medio</t>
  </si>
  <si>
    <t>G ajus PM</t>
  </si>
  <si>
    <t>G+V ajus PM</t>
  </si>
  <si>
    <t>CT ajus PM</t>
  </si>
  <si>
    <t>Posicion.</t>
  </si>
  <si>
    <t>Total</t>
  </si>
  <si>
    <t>Corte 1</t>
  </si>
  <si>
    <t>Corte 2</t>
  </si>
  <si>
    <t>Dupla</t>
  </si>
  <si>
    <t>Garantizado</t>
  </si>
  <si>
    <t>Garantizado + Variable</t>
  </si>
  <si>
    <t>Compensación Total</t>
  </si>
  <si>
    <t>Garantizado Ajustado</t>
  </si>
  <si>
    <t>Garantizado + Variable Ajustado</t>
  </si>
  <si>
    <t>Compensación Total Ajustado</t>
  </si>
  <si>
    <t>Y Ajustada</t>
  </si>
  <si>
    <t>Segmento</t>
  </si>
  <si>
    <t>Rango</t>
  </si>
  <si>
    <t>Y</t>
  </si>
  <si>
    <t>X</t>
  </si>
  <si>
    <t>Pendiente</t>
  </si>
  <si>
    <t>Intercepto</t>
  </si>
  <si>
    <t>G</t>
  </si>
  <si>
    <t>G+V</t>
  </si>
  <si>
    <t>CT</t>
  </si>
  <si>
    <t>Ajuste de la regresión</t>
  </si>
  <si>
    <t>Valores de control</t>
  </si>
  <si>
    <t>Ajuste de punto mínimo</t>
  </si>
  <si>
    <t>Y0 regresión</t>
  </si>
  <si>
    <t>Y0 mínimo</t>
  </si>
  <si>
    <t>Y0 máximo</t>
  </si>
  <si>
    <t>Y mínimo ajustado</t>
  </si>
  <si>
    <t>Ajuste de punto máximo</t>
  </si>
  <si>
    <t>Ymáx regresión</t>
  </si>
  <si>
    <t>Ymáx mínimo</t>
  </si>
  <si>
    <t>Ycentral</t>
  </si>
  <si>
    <t>Ymáx máximo</t>
  </si>
  <si>
    <t>Y máximo ajustado</t>
  </si>
  <si>
    <t>Datos de control de ajuste</t>
  </si>
  <si>
    <t>Nomina Total</t>
  </si>
  <si>
    <t>Regresión Ajustada</t>
  </si>
  <si>
    <t>% de error</t>
  </si>
  <si>
    <t>Negativos</t>
  </si>
  <si>
    <t>Criterios de selección</t>
  </si>
  <si>
    <t>% error</t>
  </si>
  <si>
    <t>Verificación</t>
  </si>
  <si>
    <t>Sobrepago</t>
  </si>
  <si>
    <t>Equidad</t>
  </si>
  <si>
    <t>Subpago</t>
  </si>
  <si>
    <t>CURVAS SELECCIONADAS</t>
  </si>
  <si>
    <t>AUXILIAR ADMINISTRATIVA CEDI</t>
  </si>
  <si>
    <t>AUXILIAR FACTURACION</t>
  </si>
  <si>
    <t>AUXILIAR DE CEDI</t>
  </si>
  <si>
    <t>AUXILIAR DE PRODUCCION</t>
  </si>
  <si>
    <t>AUXILIAR DE DISEÑO Y COMUNICACIONES EN MERCADEO</t>
  </si>
  <si>
    <t>AUXILIAR DE MATRICERIA</t>
  </si>
  <si>
    <t>ANALISTA ADMINISTRATIVA Y CONTABLE</t>
  </si>
  <si>
    <t>ANALISTA DE LABORATORIO</t>
  </si>
  <si>
    <t>ANALISTA OPERATIVO DESARROLLO</t>
  </si>
  <si>
    <t>AUXILIAR SERVICIO AL CLIENTE</t>
  </si>
  <si>
    <t>ANALISTA ADMINISTRATIVA DE DISEÑO Y DESARROLLO</t>
  </si>
  <si>
    <t>LIDER SOPORTE TIC</t>
  </si>
  <si>
    <t>ANALISTA DE MERCADEO</t>
  </si>
  <si>
    <t>ANALISTA DOCUMENTAL DE INGENIERIA</t>
  </si>
  <si>
    <t>ANALISTA DE CARTERA</t>
  </si>
  <si>
    <t>ANALISTA DE IMPUESTOS Y REGISTROS CONTABLES</t>
  </si>
  <si>
    <t>ANALISTA TESORERIA</t>
  </si>
  <si>
    <t>ANALISTA DE SERVICIOS</t>
  </si>
  <si>
    <t>ANALISTA TECNICO PROYECTOS ALIADOS</t>
  </si>
  <si>
    <t>ANALISTA DE COSTOS</t>
  </si>
  <si>
    <t>ANALISTA DE MATRICERIA CNC</t>
  </si>
  <si>
    <t>ANALISTA DE COMERCIO EXTERIOR</t>
  </si>
  <si>
    <t>ANALISTA DE DE COMPRAS</t>
  </si>
  <si>
    <t>ANALISTA COTIZACIONES DISEÑO Y DESARROLLO</t>
  </si>
  <si>
    <t>ANALISTA GESTIÓN HUMANA</t>
  </si>
  <si>
    <t>ANALISTA DE MEJORA CONTINUA</t>
  </si>
  <si>
    <t>ANALISTA CALIDAD</t>
  </si>
  <si>
    <t>ANALISTA DE SEGURIDAD Y SALUD EN EL TRABAJO</t>
  </si>
  <si>
    <t>TECNICO DE MANTENIMIENTO</t>
  </si>
  <si>
    <t>ANALISTA DE NOMINA</t>
  </si>
  <si>
    <t>INGENIERO DE DATOS</t>
  </si>
  <si>
    <t>LIDER MECANICO EXPERTO EN MOLDES</t>
  </si>
  <si>
    <t>LIDER DE TECNOLOGÍAS DE LA INFORMACIÓN</t>
  </si>
  <si>
    <t>LIDER DE DISEÑO Y COMUNICACIONES EN MERCADEO</t>
  </si>
  <si>
    <t>LIDER DE CANAL</t>
  </si>
  <si>
    <t>LIDER DE COSTOS</t>
  </si>
  <si>
    <t>COORDINADOR DE TERCERIZADOS</t>
  </si>
  <si>
    <t>PROGRAMADOR DE PRODUCCION</t>
  </si>
  <si>
    <t>INGENIERO DE MEJORA CONTINUA</t>
  </si>
  <si>
    <t>COORDINADOR CEDI</t>
  </si>
  <si>
    <t>COORDINADOR DE LABORATORIO</t>
  </si>
  <si>
    <t>INGENIERO DE FORMULACIONES</t>
  </si>
  <si>
    <t>LIDER DE COMERCIO EXTERIOR</t>
  </si>
  <si>
    <t>LIDER DE GESTIÓN HUMANA Y DESARROLLO DEL TALENTO</t>
  </si>
  <si>
    <t>COORDINADOR DE PRODUCCION</t>
  </si>
  <si>
    <t>COORDINADOR DE MANTENIMIENTO</t>
  </si>
  <si>
    <t>COORDINADOR TIC</t>
  </si>
  <si>
    <t>COORDINADOR DE INGENIERIA</t>
  </si>
  <si>
    <t>LIDER DE ZONA</t>
  </si>
  <si>
    <t>ADMINISTRADOR FEDEXTRU</t>
  </si>
  <si>
    <t>JEFE DE CALIDAD</t>
  </si>
  <si>
    <t>DIRECTOR COSTOS</t>
  </si>
  <si>
    <t>COORDINADORA DE GESTION HUMANA</t>
  </si>
  <si>
    <t>COORDINADOR DE DISEÑO Y DESARROLLO</t>
  </si>
  <si>
    <t>COORDINADORA DE COMERCIO EXTERIOR</t>
  </si>
  <si>
    <t>LIDER DE VENTAS EEUU</t>
  </si>
  <si>
    <t>JEFE DE TERCERIZADOS</t>
  </si>
  <si>
    <t>COORDINADORA DE CONTABILIDAD</t>
  </si>
  <si>
    <t>JEFE DE COMPRAS</t>
  </si>
  <si>
    <t>COORDINADOR  SST</t>
  </si>
  <si>
    <t>JEFE DE MEJORAMIENTO CONTINUO</t>
  </si>
  <si>
    <t>DIRECTOR DE CENTRO DE TRANSFORMACIÓN</t>
  </si>
  <si>
    <t>DIRECTOR DE PRODUCCION</t>
  </si>
  <si>
    <t>DIRECTOR DE CALIDAD Y CONTROL DE PROCESOS</t>
  </si>
  <si>
    <t>DIRECTOR DE MATERIALES</t>
  </si>
  <si>
    <t>DIRECTOR DE MANTENIMIENTO Y PROYECTOS</t>
  </si>
  <si>
    <t>DIRECTOR ADMINISTRATIVO Y CONTABLE</t>
  </si>
  <si>
    <t>COOORDINADOR DE MERCADEO</t>
  </si>
  <si>
    <t>DIRECTOR TIC</t>
  </si>
  <si>
    <t>DIRECTOR INGENIERIA</t>
  </si>
  <si>
    <t>DIRECTOR DESARROLLO</t>
  </si>
  <si>
    <t>DIRECTOR DE INNOVACION</t>
  </si>
  <si>
    <t>DIRECTOR DE GESTION HUMANA</t>
  </si>
  <si>
    <t>DIRECTOR DE LOGISTICA</t>
  </si>
  <si>
    <t>DIRECTOR NACIONAL DE VENTAS</t>
  </si>
  <si>
    <t>DIRECTOR DE VENTAS EEUU</t>
  </si>
  <si>
    <t>DIRECTOR DE VENTAS LATAM</t>
  </si>
  <si>
    <t>GERENTE ADMINISTRATIVA Y FINANCIERA</t>
  </si>
  <si>
    <t>GERENTE DE OPERACIONES</t>
  </si>
  <si>
    <t>GERENTE COMERCIAL Y MERCADEO</t>
  </si>
  <si>
    <t>GERENTE GENERAL</t>
  </si>
  <si>
    <t>A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</si>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</sst>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0.0"/>
    <numFmt numFmtId="167" formatCode="#,##0_);[Red]\(#,##0\)"/>
  </numFmts>
  <fonts count="9" x14ac:knownFonts="1">
    <font>
      <sz val="11"/>
      <color theme="1"/>
      <name val="Helvetica"/>
      <family val="2"/>
    </font>
    <font>
      <sz val="11"/>
      <color theme="1"/>
      <name val="Helvetica"/>
      <family val="2"/>
    </font>
    <font>
      <b/>
      <sz val="11"/>
      <color theme="1"/>
      <name val="Helvetica"/>
    </font>
    <font>
      <b/>
      <sz val="11"/>
      <color theme="0"/>
      <name val="Helvetica"/>
    </font>
    <font>
      <b/>
      <sz val="10"/>
      <color theme="1"/>
      <name val="Helvetica"/>
    </font>
    <font>
      <sz val="9"/>
      <color theme="1"/>
      <name val="Helvetica"/>
      <family val="2"/>
    </font>
    <font>
      <sz val="11"/>
      <color theme="1"/>
      <name val="Helvetica"/>
    </font>
    <font>
      <b/>
      <sz val="11"/>
      <color theme="0"/>
      <name val="Calibri"/>
      <family val="2"/>
      <scheme val="minor"/>
    </font>
    <font>
      <sz val="11"/>
      <color rgb="FF000000"/>
      <name val="Helvetica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FBC2F"/>
        <bgColor theme="4"/>
      </patternFill>
    </fill>
  </fills>
  <borders count="2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2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4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3" fontId="3" fillId="8" borderId="0" xfId="0" applyNumberFormat="1" applyFont="1" applyFill="1" applyAlignment="1">
      <alignment horizontal="center" vertical="center" wrapText="1"/>
    </xf>
    <xf numFmtId="3" fontId="3" fillId="2" borderId="0" xfId="0" applyNumberFormat="1" applyFont="1" applyFill="1" applyAlignment="1">
      <alignment horizontal="center" vertical="center" wrapText="1"/>
    </xf>
    <xf numFmtId="3" fontId="2" fillId="5" borderId="0" xfId="0" applyNumberFormat="1" applyFont="1" applyFill="1" applyAlignment="1">
      <alignment horizontal="center" vertical="center"/>
    </xf>
    <xf numFmtId="3" fontId="3" fillId="7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3" fontId="0" fillId="7" borderId="7" xfId="0" applyNumberFormat="1" applyFill="1" applyBorder="1" applyAlignment="1">
      <alignment horizontal="center" vertical="center"/>
    </xf>
    <xf numFmtId="3" fontId="0" fillId="0" borderId="7" xfId="1" applyNumberFormat="1" applyFon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166" fontId="3" fillId="4" borderId="7" xfId="0" applyNumberFormat="1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165" fontId="0" fillId="0" borderId="7" xfId="2" applyNumberFormat="1" applyFont="1" applyBorder="1" applyAlignment="1">
      <alignment horizontal="center" vertical="center"/>
    </xf>
    <xf numFmtId="166" fontId="3" fillId="4" borderId="10" xfId="0" applyNumberFormat="1" applyFont="1" applyFill="1" applyBorder="1" applyAlignment="1">
      <alignment horizontal="center" vertical="center"/>
    </xf>
    <xf numFmtId="166" fontId="3" fillId="4" borderId="11" xfId="0" applyNumberFormat="1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4" fontId="0" fillId="0" borderId="7" xfId="1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5" fontId="0" fillId="0" borderId="9" xfId="2" applyNumberFormat="1" applyFont="1" applyBorder="1" applyAlignment="1">
      <alignment horizontal="center" vertical="center"/>
    </xf>
    <xf numFmtId="1" fontId="0" fillId="0" borderId="9" xfId="2" applyNumberFormat="1" applyFont="1" applyBorder="1" applyAlignment="1">
      <alignment horizontal="center" vertical="center"/>
    </xf>
    <xf numFmtId="9" fontId="0" fillId="0" borderId="9" xfId="2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165" fontId="6" fillId="0" borderId="16" xfId="2" applyNumberFormat="1" applyFont="1" applyBorder="1" applyAlignment="1">
      <alignment horizontal="center" vertical="center"/>
    </xf>
    <xf numFmtId="1" fontId="6" fillId="0" borderId="16" xfId="2" applyNumberFormat="1" applyFont="1" applyBorder="1" applyAlignment="1">
      <alignment horizontal="center" vertical="center"/>
    </xf>
    <xf numFmtId="9" fontId="6" fillId="0" borderId="16" xfId="2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 wrapText="1"/>
    </xf>
    <xf numFmtId="167" fontId="0" fillId="11" borderId="7" xfId="0" applyNumberForma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3" fontId="0" fillId="7" borderId="13" xfId="0" applyNumberFormat="1" applyFill="1" applyBorder="1" applyAlignment="1">
      <alignment horizontal="center" vertical="center"/>
    </xf>
    <xf numFmtId="165" fontId="0" fillId="0" borderId="13" xfId="2" applyNumberFormat="1" applyFont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3" fontId="0" fillId="0" borderId="9" xfId="1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3" fontId="0" fillId="7" borderId="11" xfId="0" applyNumberFormat="1" applyFill="1" applyBorder="1" applyAlignment="1">
      <alignment horizontal="center" vertical="center"/>
    </xf>
    <xf numFmtId="3" fontId="0" fillId="7" borderId="8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0" fillId="0" borderId="8" xfId="2" applyNumberFormat="1" applyFont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3" fontId="0" fillId="3" borderId="17" xfId="1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66" fontId="0" fillId="3" borderId="17" xfId="0" applyNumberFormat="1" applyFill="1" applyBorder="1" applyAlignment="1">
      <alignment horizontal="center" vertical="center"/>
    </xf>
    <xf numFmtId="3" fontId="0" fillId="3" borderId="17" xfId="0" applyNumberForma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</cellXfs>
  <cellStyles count="3">
    <cellStyle name="Millares" xfId="1" builtinId="3"/>
    <cellStyle name="Normal" xfId="0" builtinId="0"/>
    <cellStyle name="Porcentaje" xfId="2" builtinId="5"/>
  </cellStyles>
  <dxfs count="74"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rgb="FFC00000"/>
      </font>
      <fill>
        <gradientFill type="path" left="0.5" right="0.5" top="0.5" bottom="0.5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b/>
        <i/>
        <color rgb="FFC00000"/>
      </font>
      <fill>
        <gradientFill type="path" left="0.5" right="0.5" top="0.5" bottom="0.5">
          <stop position="0">
            <color theme="0" tint="-0.25098422193060094"/>
          </stop>
          <stop position="1">
            <color theme="0" tint="-0.34900967436750391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"/>
        <scheme val="none"/>
      </font>
      <numFmt numFmtId="13" formatCode="0%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Helvetica"/>
        <scheme val="none"/>
      </font>
      <numFmt numFmtId="2" formatCode="0.00"/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indent="0" justifyLastLine="0" shrinkToFit="0" readingOrder="0"/>
    </dxf>
    <dxf>
      <border outline="0"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/>
        <bottom/>
        <vertical style="thin">
          <color theme="0" tint="-0.14996795556505021"/>
        </vertical>
        <horizontal style="thin">
          <color theme="0" tint="-0.1499679555650502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Helvetica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Datos!$Q$5</c:f>
              <c:strCache>
                <c:ptCount val="1"/>
                <c:pt idx="0">
                  <c:v>CT Ajustado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Datos!$Q$6:$Q$144</c:f>
              <c:numCache>
                <c:formatCode>#,##0</c:formatCode>
                <c:ptCount val="139"/>
                <c:pt idx="0">
                  <c:v>2295683.1700000009</c:v>
                </c:pt>
                <c:pt idx="1">
                  <c:v>2340180.9117139392</c:v>
                </c:pt>
                <c:pt idx="2">
                  <c:v>2629416.2328545377</c:v>
                </c:pt>
                <c:pt idx="3">
                  <c:v>2629416.2328545377</c:v>
                </c:pt>
                <c:pt idx="4">
                  <c:v>2629416.2328545377</c:v>
                </c:pt>
                <c:pt idx="5">
                  <c:v>2629416.2328545377</c:v>
                </c:pt>
                <c:pt idx="6">
                  <c:v>2629416.2328545377</c:v>
                </c:pt>
                <c:pt idx="7">
                  <c:v>2629416.2328545377</c:v>
                </c:pt>
                <c:pt idx="8">
                  <c:v>2629416.2328545377</c:v>
                </c:pt>
                <c:pt idx="9">
                  <c:v>2896402.6831381675</c:v>
                </c:pt>
                <c:pt idx="10">
                  <c:v>2896402.6831381675</c:v>
                </c:pt>
                <c:pt idx="11">
                  <c:v>2896402.6831381675</c:v>
                </c:pt>
                <c:pt idx="12">
                  <c:v>2907527.1185666523</c:v>
                </c:pt>
                <c:pt idx="13">
                  <c:v>2974273.7311375597</c:v>
                </c:pt>
                <c:pt idx="14">
                  <c:v>2974273.7311375597</c:v>
                </c:pt>
                <c:pt idx="15">
                  <c:v>2974273.7311375597</c:v>
                </c:pt>
                <c:pt idx="16">
                  <c:v>2974273.7311375597</c:v>
                </c:pt>
                <c:pt idx="17">
                  <c:v>2974273.7311375597</c:v>
                </c:pt>
                <c:pt idx="18">
                  <c:v>2974273.7311375597</c:v>
                </c:pt>
                <c:pt idx="19">
                  <c:v>2985398.1665660441</c:v>
                </c:pt>
                <c:pt idx="20">
                  <c:v>3029895.9082799824</c:v>
                </c:pt>
                <c:pt idx="21">
                  <c:v>3029895.9082799824</c:v>
                </c:pt>
                <c:pt idx="22">
                  <c:v>3029895.9082799824</c:v>
                </c:pt>
                <c:pt idx="23">
                  <c:v>3029895.9082799824</c:v>
                </c:pt>
                <c:pt idx="24">
                  <c:v>3074393.6499939207</c:v>
                </c:pt>
                <c:pt idx="25">
                  <c:v>3085518.0854224055</c:v>
                </c:pt>
                <c:pt idx="26">
                  <c:v>3107766.9562793747</c:v>
                </c:pt>
                <c:pt idx="27">
                  <c:v>3118891.391707859</c:v>
                </c:pt>
                <c:pt idx="28">
                  <c:v>3118891.391707859</c:v>
                </c:pt>
                <c:pt idx="29">
                  <c:v>3130015.8271363438</c:v>
                </c:pt>
                <c:pt idx="30">
                  <c:v>3174513.5688502821</c:v>
                </c:pt>
                <c:pt idx="31">
                  <c:v>3174513.5688502821</c:v>
                </c:pt>
                <c:pt idx="32">
                  <c:v>3174513.5688502821</c:v>
                </c:pt>
                <c:pt idx="33">
                  <c:v>3252384.6168496739</c:v>
                </c:pt>
                <c:pt idx="34">
                  <c:v>3252384.6168496739</c:v>
                </c:pt>
                <c:pt idx="35">
                  <c:v>3252384.6168496739</c:v>
                </c:pt>
                <c:pt idx="36">
                  <c:v>3252384.6168496739</c:v>
                </c:pt>
                <c:pt idx="37">
                  <c:v>3285757.9231351279</c:v>
                </c:pt>
                <c:pt idx="38">
                  <c:v>3330255.6648490662</c:v>
                </c:pt>
                <c:pt idx="39">
                  <c:v>3330255.6648490662</c:v>
                </c:pt>
                <c:pt idx="40">
                  <c:v>3330255.6648490662</c:v>
                </c:pt>
                <c:pt idx="41">
                  <c:v>3330255.6648490662</c:v>
                </c:pt>
                <c:pt idx="42">
                  <c:v>3330255.6648490662</c:v>
                </c:pt>
                <c:pt idx="43">
                  <c:v>3330255.6648490662</c:v>
                </c:pt>
                <c:pt idx="44">
                  <c:v>3330255.6648490662</c:v>
                </c:pt>
                <c:pt idx="45">
                  <c:v>3385877.8419914888</c:v>
                </c:pt>
                <c:pt idx="46">
                  <c:v>3385877.8419914888</c:v>
                </c:pt>
                <c:pt idx="47">
                  <c:v>3385877.8419914888</c:v>
                </c:pt>
                <c:pt idx="48">
                  <c:v>3385877.8419914888</c:v>
                </c:pt>
                <c:pt idx="49">
                  <c:v>3497122.1962763346</c:v>
                </c:pt>
                <c:pt idx="50">
                  <c:v>3497122.1962763346</c:v>
                </c:pt>
                <c:pt idx="51">
                  <c:v>3519371.0671333037</c:v>
                </c:pt>
                <c:pt idx="52">
                  <c:v>3675113.1631320878</c:v>
                </c:pt>
                <c:pt idx="53">
                  <c:v>3675113.1631320878</c:v>
                </c:pt>
                <c:pt idx="54">
                  <c:v>3675113.1631320878</c:v>
                </c:pt>
                <c:pt idx="55">
                  <c:v>3675113.1631320878</c:v>
                </c:pt>
                <c:pt idx="56">
                  <c:v>3741859.7757029952</c:v>
                </c:pt>
                <c:pt idx="57">
                  <c:v>3741859.7757029952</c:v>
                </c:pt>
                <c:pt idx="58">
                  <c:v>3797481.9528454179</c:v>
                </c:pt>
                <c:pt idx="59">
                  <c:v>3797481.9528454179</c:v>
                </c:pt>
                <c:pt idx="60">
                  <c:v>3797481.9528454179</c:v>
                </c:pt>
                <c:pt idx="61">
                  <c:v>3797481.9528454179</c:v>
                </c:pt>
                <c:pt idx="62">
                  <c:v>3797481.9528454179</c:v>
                </c:pt>
                <c:pt idx="63">
                  <c:v>3797481.9528454179</c:v>
                </c:pt>
                <c:pt idx="64">
                  <c:v>3797481.9528454179</c:v>
                </c:pt>
                <c:pt idx="65">
                  <c:v>3797481.9528454179</c:v>
                </c:pt>
                <c:pt idx="66">
                  <c:v>3797481.9528454179</c:v>
                </c:pt>
                <c:pt idx="67">
                  <c:v>3797481.9528454179</c:v>
                </c:pt>
                <c:pt idx="68">
                  <c:v>3964348.4842726868</c:v>
                </c:pt>
                <c:pt idx="69">
                  <c:v>4097841.7094145017</c:v>
                </c:pt>
                <c:pt idx="70">
                  <c:v>4108966.144842986</c:v>
                </c:pt>
                <c:pt idx="71">
                  <c:v>4142339.45112844</c:v>
                </c:pt>
                <c:pt idx="72">
                  <c:v>4142339.45112844</c:v>
                </c:pt>
                <c:pt idx="73">
                  <c:v>4531694.6911254004</c:v>
                </c:pt>
                <c:pt idx="74">
                  <c:v>4665187.9162672143</c:v>
                </c:pt>
                <c:pt idx="75">
                  <c:v>4731934.5288381223</c:v>
                </c:pt>
                <c:pt idx="76">
                  <c:v>4787556.7059805449</c:v>
                </c:pt>
                <c:pt idx="77">
                  <c:v>4876552.1894084215</c:v>
                </c:pt>
                <c:pt idx="78">
                  <c:v>4876552.1894084215</c:v>
                </c:pt>
                <c:pt idx="79">
                  <c:v>4943298.8019793294</c:v>
                </c:pt>
                <c:pt idx="80">
                  <c:v>4943298.8019793294</c:v>
                </c:pt>
                <c:pt idx="81">
                  <c:v>4998920.9791217521</c:v>
                </c:pt>
                <c:pt idx="82">
                  <c:v>5032294.2854072051</c:v>
                </c:pt>
                <c:pt idx="83">
                  <c:v>5032294.2854072051</c:v>
                </c:pt>
                <c:pt idx="84">
                  <c:v>5165787.51054902</c:v>
                </c:pt>
                <c:pt idx="85">
                  <c:v>5165787.51054902</c:v>
                </c:pt>
                <c:pt idx="86">
                  <c:v>5165787.51054902</c:v>
                </c:pt>
                <c:pt idx="87">
                  <c:v>5165787.51054902</c:v>
                </c:pt>
                <c:pt idx="88">
                  <c:v>5165787.51054902</c:v>
                </c:pt>
                <c:pt idx="89">
                  <c:v>5165787.51054902</c:v>
                </c:pt>
                <c:pt idx="90">
                  <c:v>5165787.51054902</c:v>
                </c:pt>
                <c:pt idx="91">
                  <c:v>5199160.816834474</c:v>
                </c:pt>
                <c:pt idx="92">
                  <c:v>5254782.9939768976</c:v>
                </c:pt>
                <c:pt idx="93">
                  <c:v>5321523.3229921199</c:v>
                </c:pt>
                <c:pt idx="94">
                  <c:v>5321523.3229921199</c:v>
                </c:pt>
                <c:pt idx="95">
                  <c:v>5321523.3229921199</c:v>
                </c:pt>
                <c:pt idx="96">
                  <c:v>5321523.3229921199</c:v>
                </c:pt>
                <c:pt idx="97">
                  <c:v>5321523.3229921199</c:v>
                </c:pt>
                <c:pt idx="98">
                  <c:v>5321523.3229921199</c:v>
                </c:pt>
                <c:pt idx="99">
                  <c:v>5321523.3229921199</c:v>
                </c:pt>
                <c:pt idx="100">
                  <c:v>5321523.3229921199</c:v>
                </c:pt>
                <c:pt idx="101">
                  <c:v>5338208.4052459253</c:v>
                </c:pt>
                <c:pt idx="102">
                  <c:v>5354893.4874997316</c:v>
                </c:pt>
                <c:pt idx="103">
                  <c:v>5354893.4874997316</c:v>
                </c:pt>
                <c:pt idx="104">
                  <c:v>5521744.3100377871</c:v>
                </c:pt>
                <c:pt idx="105">
                  <c:v>5521744.3100377871</c:v>
                </c:pt>
                <c:pt idx="106">
                  <c:v>5888816.1196215115</c:v>
                </c:pt>
                <c:pt idx="107">
                  <c:v>5888816.1196215115</c:v>
                </c:pt>
                <c:pt idx="108">
                  <c:v>5888816.1196215115</c:v>
                </c:pt>
                <c:pt idx="109">
                  <c:v>5888816.1196215115</c:v>
                </c:pt>
                <c:pt idx="110">
                  <c:v>5888816.1196215115</c:v>
                </c:pt>
                <c:pt idx="111">
                  <c:v>6055666.942159568</c:v>
                </c:pt>
                <c:pt idx="112">
                  <c:v>6055666.942159568</c:v>
                </c:pt>
                <c:pt idx="113">
                  <c:v>6055666.942159568</c:v>
                </c:pt>
                <c:pt idx="114">
                  <c:v>6139092.3534285957</c:v>
                </c:pt>
                <c:pt idx="115">
                  <c:v>6322628.2582204575</c:v>
                </c:pt>
                <c:pt idx="116">
                  <c:v>6422738.7517432915</c:v>
                </c:pt>
                <c:pt idx="117">
                  <c:v>6489479.0807585139</c:v>
                </c:pt>
                <c:pt idx="118">
                  <c:v>7307048.1111949906</c:v>
                </c:pt>
                <c:pt idx="119">
                  <c:v>7457213.8514792398</c:v>
                </c:pt>
                <c:pt idx="120">
                  <c:v>7523954.1804944631</c:v>
                </c:pt>
                <c:pt idx="121">
                  <c:v>7790915.4965553526</c:v>
                </c:pt>
                <c:pt idx="122">
                  <c:v>7840970.7433167696</c:v>
                </c:pt>
                <c:pt idx="123">
                  <c:v>7840970.7433167696</c:v>
                </c:pt>
                <c:pt idx="124">
                  <c:v>7840970.7433167696</c:v>
                </c:pt>
                <c:pt idx="125">
                  <c:v>8508374.0334689952</c:v>
                </c:pt>
                <c:pt idx="126">
                  <c:v>8691909.938260857</c:v>
                </c:pt>
                <c:pt idx="127">
                  <c:v>8842075.6785451081</c:v>
                </c:pt>
                <c:pt idx="128">
                  <c:v>8942186.1720679421</c:v>
                </c:pt>
                <c:pt idx="129">
                  <c:v>9058981.7478445694</c:v>
                </c:pt>
                <c:pt idx="130">
                  <c:v>9120513.627116099</c:v>
                </c:pt>
                <c:pt idx="131">
                  <c:v>10289619.333275072</c:v>
                </c:pt>
                <c:pt idx="132">
                  <c:v>10474214.971089646</c:v>
                </c:pt>
                <c:pt idx="133">
                  <c:v>11151065.64307642</c:v>
                </c:pt>
                <c:pt idx="134">
                  <c:v>11151065.64307642</c:v>
                </c:pt>
                <c:pt idx="135">
                  <c:v>19703996.861818403</c:v>
                </c:pt>
                <c:pt idx="136">
                  <c:v>33241010.301553905</c:v>
                </c:pt>
                <c:pt idx="137">
                  <c:v>34656243.524798982</c:v>
                </c:pt>
                <c:pt idx="138">
                  <c:v>52869679.789170399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DB-44A7-994C-72CC3F4B2002}"/>
            </c:ext>
          </c:extLst>
        </c:ser>
        <c:ser>
          <c:idx val="1"/>
          <c:order val="1"/>
          <c:tx>
            <c:strRef>
              <c:f>Datos!$P$5</c:f>
              <c:strCache>
                <c:ptCount val="1"/>
                <c:pt idx="0">
                  <c:v>G+ V Ajustado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Datos!$P$6:$P$144</c:f>
              <c:numCache>
                <c:formatCode>#,##0</c:formatCode>
                <c:ptCount val="139"/>
                <c:pt idx="0">
                  <c:v>2292155.6772891902</c:v>
                </c:pt>
                <c:pt idx="1">
                  <c:v>2336706.4640062987</c:v>
                </c:pt>
                <c:pt idx="2">
                  <c:v>2626286.5776675032</c:v>
                </c:pt>
                <c:pt idx="3">
                  <c:v>2626286.5776675032</c:v>
                </c:pt>
                <c:pt idx="4">
                  <c:v>2626286.5776675032</c:v>
                </c:pt>
                <c:pt idx="5">
                  <c:v>2626286.5776675032</c:v>
                </c:pt>
                <c:pt idx="6">
                  <c:v>2626286.5776675032</c:v>
                </c:pt>
                <c:pt idx="7">
                  <c:v>2626286.5776675032</c:v>
                </c:pt>
                <c:pt idx="8">
                  <c:v>2626286.5776675032</c:v>
                </c:pt>
                <c:pt idx="9">
                  <c:v>2893591.2979701534</c:v>
                </c:pt>
                <c:pt idx="10">
                  <c:v>2893591.2979701534</c:v>
                </c:pt>
                <c:pt idx="11">
                  <c:v>2893591.2979701534</c:v>
                </c:pt>
                <c:pt idx="12">
                  <c:v>2904728.9946494303</c:v>
                </c:pt>
                <c:pt idx="13">
                  <c:v>2971555.1747250929</c:v>
                </c:pt>
                <c:pt idx="14">
                  <c:v>2971555.1747250929</c:v>
                </c:pt>
                <c:pt idx="15">
                  <c:v>2971555.1747250929</c:v>
                </c:pt>
                <c:pt idx="16">
                  <c:v>2971555.1747250929</c:v>
                </c:pt>
                <c:pt idx="17">
                  <c:v>2971555.1747250929</c:v>
                </c:pt>
                <c:pt idx="18">
                  <c:v>2971555.1747250929</c:v>
                </c:pt>
                <c:pt idx="19">
                  <c:v>2982692.8714043698</c:v>
                </c:pt>
                <c:pt idx="20">
                  <c:v>3027243.6581214783</c:v>
                </c:pt>
                <c:pt idx="21">
                  <c:v>3027243.6581214783</c:v>
                </c:pt>
                <c:pt idx="22">
                  <c:v>3027243.6581214783</c:v>
                </c:pt>
                <c:pt idx="23">
                  <c:v>3027243.6581214783</c:v>
                </c:pt>
                <c:pt idx="24">
                  <c:v>3071794.4448385867</c:v>
                </c:pt>
                <c:pt idx="25">
                  <c:v>3082932.1415178641</c:v>
                </c:pt>
                <c:pt idx="26">
                  <c:v>3105207.5348764178</c:v>
                </c:pt>
                <c:pt idx="27">
                  <c:v>3116345.2315556952</c:v>
                </c:pt>
                <c:pt idx="28">
                  <c:v>3116345.2315556952</c:v>
                </c:pt>
                <c:pt idx="29">
                  <c:v>3127482.9282349721</c:v>
                </c:pt>
                <c:pt idx="30">
                  <c:v>3172033.7149520805</c:v>
                </c:pt>
                <c:pt idx="31">
                  <c:v>3172033.7149520805</c:v>
                </c:pt>
                <c:pt idx="32">
                  <c:v>3172033.7149520805</c:v>
                </c:pt>
                <c:pt idx="33">
                  <c:v>3249997.5917070201</c:v>
                </c:pt>
                <c:pt idx="34">
                  <c:v>3249997.5917070201</c:v>
                </c:pt>
                <c:pt idx="35">
                  <c:v>3249997.5917070201</c:v>
                </c:pt>
                <c:pt idx="36">
                  <c:v>3249997.5917070201</c:v>
                </c:pt>
                <c:pt idx="37">
                  <c:v>3283410.6817448516</c:v>
                </c:pt>
                <c:pt idx="38">
                  <c:v>3327961.4684619601</c:v>
                </c:pt>
                <c:pt idx="39">
                  <c:v>3327961.4684619601</c:v>
                </c:pt>
                <c:pt idx="40">
                  <c:v>3327961.4684619601</c:v>
                </c:pt>
                <c:pt idx="41">
                  <c:v>3327961.4684619601</c:v>
                </c:pt>
                <c:pt idx="42">
                  <c:v>3327961.4684619601</c:v>
                </c:pt>
                <c:pt idx="43">
                  <c:v>3327961.4684619601</c:v>
                </c:pt>
                <c:pt idx="44">
                  <c:v>3327961.4684619601</c:v>
                </c:pt>
                <c:pt idx="45">
                  <c:v>3383649.9518583454</c:v>
                </c:pt>
                <c:pt idx="46">
                  <c:v>3383649.9518583454</c:v>
                </c:pt>
                <c:pt idx="47">
                  <c:v>3383649.9518583454</c:v>
                </c:pt>
                <c:pt idx="48">
                  <c:v>3383649.9518583454</c:v>
                </c:pt>
                <c:pt idx="49">
                  <c:v>3495026.9186511161</c:v>
                </c:pt>
                <c:pt idx="50">
                  <c:v>3495026.9186511161</c:v>
                </c:pt>
                <c:pt idx="51">
                  <c:v>3517302.3120096703</c:v>
                </c:pt>
                <c:pt idx="52">
                  <c:v>3673230.0655195499</c:v>
                </c:pt>
                <c:pt idx="53">
                  <c:v>3673230.0655195499</c:v>
                </c:pt>
                <c:pt idx="54">
                  <c:v>3673230.0655195499</c:v>
                </c:pt>
                <c:pt idx="55">
                  <c:v>3673230.0655195499</c:v>
                </c:pt>
                <c:pt idx="56">
                  <c:v>3740056.2455952121</c:v>
                </c:pt>
                <c:pt idx="57">
                  <c:v>3740056.2455952121</c:v>
                </c:pt>
                <c:pt idx="58">
                  <c:v>3795744.7289915979</c:v>
                </c:pt>
                <c:pt idx="59">
                  <c:v>3795744.7289915979</c:v>
                </c:pt>
                <c:pt idx="60">
                  <c:v>3795744.7289915979</c:v>
                </c:pt>
                <c:pt idx="61">
                  <c:v>3795744.7289915979</c:v>
                </c:pt>
                <c:pt idx="62">
                  <c:v>3795744.7289915979</c:v>
                </c:pt>
                <c:pt idx="63">
                  <c:v>3795744.7289915979</c:v>
                </c:pt>
                <c:pt idx="64">
                  <c:v>3795744.7289915979</c:v>
                </c:pt>
                <c:pt idx="65">
                  <c:v>3795744.7289915979</c:v>
                </c:pt>
                <c:pt idx="66">
                  <c:v>3795744.7289915979</c:v>
                </c:pt>
                <c:pt idx="67">
                  <c:v>3795744.7289915979</c:v>
                </c:pt>
                <c:pt idx="68">
                  <c:v>3962810.1791807543</c:v>
                </c:pt>
                <c:pt idx="69">
                  <c:v>4096462.5393320792</c:v>
                </c:pt>
                <c:pt idx="70">
                  <c:v>4107600.2360113566</c:v>
                </c:pt>
                <c:pt idx="71">
                  <c:v>4141013.3260491877</c:v>
                </c:pt>
                <c:pt idx="72">
                  <c:v>4141013.3260491877</c:v>
                </c:pt>
                <c:pt idx="73">
                  <c:v>4530832.7098238859</c:v>
                </c:pt>
                <c:pt idx="74">
                  <c:v>4664485.0699752104</c:v>
                </c:pt>
                <c:pt idx="75">
                  <c:v>4731311.2500508735</c:v>
                </c:pt>
                <c:pt idx="76">
                  <c:v>4786999.7334472593</c:v>
                </c:pt>
                <c:pt idx="77">
                  <c:v>4876101.3068814762</c:v>
                </c:pt>
                <c:pt idx="78">
                  <c:v>4876101.3068814762</c:v>
                </c:pt>
                <c:pt idx="79">
                  <c:v>4942927.4869571384</c:v>
                </c:pt>
                <c:pt idx="80">
                  <c:v>4942927.4869571384</c:v>
                </c:pt>
                <c:pt idx="81">
                  <c:v>4998615.9703535242</c:v>
                </c:pt>
                <c:pt idx="82">
                  <c:v>5032029.0603913553</c:v>
                </c:pt>
                <c:pt idx="83">
                  <c:v>5032029.0603913553</c:v>
                </c:pt>
                <c:pt idx="84">
                  <c:v>5165681.4205426797</c:v>
                </c:pt>
                <c:pt idx="85">
                  <c:v>5165681.4205426797</c:v>
                </c:pt>
                <c:pt idx="86">
                  <c:v>5165681.4205426797</c:v>
                </c:pt>
                <c:pt idx="87">
                  <c:v>5165681.4205426797</c:v>
                </c:pt>
                <c:pt idx="88">
                  <c:v>5165681.4205426797</c:v>
                </c:pt>
                <c:pt idx="89">
                  <c:v>5165681.4205426797</c:v>
                </c:pt>
                <c:pt idx="90">
                  <c:v>5165681.4205426797</c:v>
                </c:pt>
                <c:pt idx="91">
                  <c:v>5199094.5105805118</c:v>
                </c:pt>
                <c:pt idx="92">
                  <c:v>5254782.9939768966</c:v>
                </c:pt>
                <c:pt idx="93">
                  <c:v>5320997.0143957213</c:v>
                </c:pt>
                <c:pt idx="94">
                  <c:v>5320997.0143957213</c:v>
                </c:pt>
                <c:pt idx="95">
                  <c:v>5320997.0143957213</c:v>
                </c:pt>
                <c:pt idx="96">
                  <c:v>5320997.0143957213</c:v>
                </c:pt>
                <c:pt idx="97">
                  <c:v>5320997.0143957213</c:v>
                </c:pt>
                <c:pt idx="98">
                  <c:v>5320997.0143957213</c:v>
                </c:pt>
                <c:pt idx="99">
                  <c:v>5320997.0143957213</c:v>
                </c:pt>
                <c:pt idx="100">
                  <c:v>5320997.0143957213</c:v>
                </c:pt>
                <c:pt idx="101">
                  <c:v>5337550.5195004269</c:v>
                </c:pt>
                <c:pt idx="102">
                  <c:v>5354104.0246051336</c:v>
                </c:pt>
                <c:pt idx="103">
                  <c:v>5354104.0246051336</c:v>
                </c:pt>
                <c:pt idx="104">
                  <c:v>5519639.0756521942</c:v>
                </c:pt>
                <c:pt idx="105">
                  <c:v>5519639.0756521942</c:v>
                </c:pt>
                <c:pt idx="106">
                  <c:v>5883816.1879557297</c:v>
                </c:pt>
                <c:pt idx="107">
                  <c:v>5883816.1879557297</c:v>
                </c:pt>
                <c:pt idx="108">
                  <c:v>5883816.1879557297</c:v>
                </c:pt>
                <c:pt idx="109">
                  <c:v>5883816.1879557297</c:v>
                </c:pt>
                <c:pt idx="110">
                  <c:v>5883816.1879557297</c:v>
                </c:pt>
                <c:pt idx="111">
                  <c:v>6049351.2390027912</c:v>
                </c:pt>
                <c:pt idx="112">
                  <c:v>6049351.2390027912</c:v>
                </c:pt>
                <c:pt idx="113">
                  <c:v>6049351.2390027912</c:v>
                </c:pt>
                <c:pt idx="114">
                  <c:v>6132118.7645263216</c:v>
                </c:pt>
                <c:pt idx="115">
                  <c:v>6314207.3206780897</c:v>
                </c:pt>
                <c:pt idx="116">
                  <c:v>6413528.3513063267</c:v>
                </c:pt>
                <c:pt idx="117">
                  <c:v>6479742.3717251513</c:v>
                </c:pt>
                <c:pt idx="118">
                  <c:v>7290864.1218557525</c:v>
                </c:pt>
                <c:pt idx="119">
                  <c:v>7439845.6677981075</c:v>
                </c:pt>
                <c:pt idx="120">
                  <c:v>7506059.6882169321</c:v>
                </c:pt>
                <c:pt idx="121">
                  <c:v>7770915.7698922306</c:v>
                </c:pt>
                <c:pt idx="122">
                  <c:v>7820576.2852063477</c:v>
                </c:pt>
                <c:pt idx="123">
                  <c:v>7820576.2852063477</c:v>
                </c:pt>
                <c:pt idx="124">
                  <c:v>7820576.2852063477</c:v>
                </c:pt>
                <c:pt idx="125">
                  <c:v>8482716.489394594</c:v>
                </c:pt>
                <c:pt idx="126">
                  <c:v>8664805.0455463622</c:v>
                </c:pt>
                <c:pt idx="127">
                  <c:v>8813786.5914887171</c:v>
                </c:pt>
                <c:pt idx="128">
                  <c:v>8913107.6221169531</c:v>
                </c:pt>
                <c:pt idx="129">
                  <c:v>9028982.157849893</c:v>
                </c:pt>
                <c:pt idx="130">
                  <c:v>9090015.69598075</c:v>
                </c:pt>
                <c:pt idx="131">
                  <c:v>10249652.920466959</c:v>
                </c:pt>
                <c:pt idx="132">
                  <c:v>10432753.534859523</c:v>
                </c:pt>
                <c:pt idx="133">
                  <c:v>11104122.454298906</c:v>
                </c:pt>
                <c:pt idx="134">
                  <c:v>11104122.454298906</c:v>
                </c:pt>
                <c:pt idx="135">
                  <c:v>19587784.254487514</c:v>
                </c:pt>
                <c:pt idx="136">
                  <c:v>33015162.643275231</c:v>
                </c:pt>
                <c:pt idx="137">
                  <c:v>34418934.020284861</c:v>
                </c:pt>
                <c:pt idx="138">
                  <c:v>52484861.307017431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DB-44A7-994C-72CC3F4B2002}"/>
            </c:ext>
          </c:extLst>
        </c:ser>
        <c:ser>
          <c:idx val="2"/>
          <c:order val="2"/>
          <c:tx>
            <c:strRef>
              <c:f>Datos!$O$5</c:f>
              <c:strCache>
                <c:ptCount val="1"/>
                <c:pt idx="0">
                  <c:v>G Ajustado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Datos!$O$6:$O$144</c:f>
              <c:numCache>
                <c:formatCode>#,##0</c:formatCode>
                <c:ptCount val="139"/>
                <c:pt idx="0">
                  <c:v>2102959.1857445557</c:v>
                </c:pt>
                <c:pt idx="1">
                  <c:v>2145640.6300445907</c:v>
                </c:pt>
                <c:pt idx="2">
                  <c:v>2423070.0179948173</c:v>
                </c:pt>
                <c:pt idx="3">
                  <c:v>2423070.0179948173</c:v>
                </c:pt>
                <c:pt idx="4">
                  <c:v>2423070.0179948173</c:v>
                </c:pt>
                <c:pt idx="5">
                  <c:v>2423070.0179948173</c:v>
                </c:pt>
                <c:pt idx="6">
                  <c:v>2423070.0179948173</c:v>
                </c:pt>
                <c:pt idx="7">
                  <c:v>2423070.0179948173</c:v>
                </c:pt>
                <c:pt idx="8">
                  <c:v>2423070.0179948173</c:v>
                </c:pt>
                <c:pt idx="9">
                  <c:v>2679158.6837950265</c:v>
                </c:pt>
                <c:pt idx="10">
                  <c:v>2679158.6837950265</c:v>
                </c:pt>
                <c:pt idx="11">
                  <c:v>2679158.6837950265</c:v>
                </c:pt>
                <c:pt idx="12">
                  <c:v>2689829.0448700348</c:v>
                </c:pt>
                <c:pt idx="13">
                  <c:v>2753851.2113200873</c:v>
                </c:pt>
                <c:pt idx="14">
                  <c:v>2753851.2113200873</c:v>
                </c:pt>
                <c:pt idx="15">
                  <c:v>2753851.2113200873</c:v>
                </c:pt>
                <c:pt idx="16">
                  <c:v>2753851.2113200873</c:v>
                </c:pt>
                <c:pt idx="17">
                  <c:v>2753851.2113200873</c:v>
                </c:pt>
                <c:pt idx="18">
                  <c:v>2753851.2113200873</c:v>
                </c:pt>
                <c:pt idx="19">
                  <c:v>2764521.5723950961</c:v>
                </c:pt>
                <c:pt idx="20">
                  <c:v>2807203.0166951311</c:v>
                </c:pt>
                <c:pt idx="21">
                  <c:v>2807203.0166951311</c:v>
                </c:pt>
                <c:pt idx="22">
                  <c:v>2807203.0166951311</c:v>
                </c:pt>
                <c:pt idx="23">
                  <c:v>2807203.0166951311</c:v>
                </c:pt>
                <c:pt idx="24">
                  <c:v>2849884.4609951661</c:v>
                </c:pt>
                <c:pt idx="25">
                  <c:v>2860554.8220701744</c:v>
                </c:pt>
                <c:pt idx="26">
                  <c:v>2881895.5442201919</c:v>
                </c:pt>
                <c:pt idx="27">
                  <c:v>2892565.9052952006</c:v>
                </c:pt>
                <c:pt idx="28">
                  <c:v>2892565.9052952006</c:v>
                </c:pt>
                <c:pt idx="29">
                  <c:v>2903236.2663702094</c:v>
                </c:pt>
                <c:pt idx="30">
                  <c:v>2945917.7106702444</c:v>
                </c:pt>
                <c:pt idx="31">
                  <c:v>2945917.7106702444</c:v>
                </c:pt>
                <c:pt idx="32">
                  <c:v>2945917.7106702444</c:v>
                </c:pt>
                <c:pt idx="33">
                  <c:v>3020610.2381953052</c:v>
                </c:pt>
                <c:pt idx="34">
                  <c:v>3020610.2381953052</c:v>
                </c:pt>
                <c:pt idx="35">
                  <c:v>3020610.2381953052</c:v>
                </c:pt>
                <c:pt idx="36">
                  <c:v>3020610.2381953052</c:v>
                </c:pt>
                <c:pt idx="37">
                  <c:v>3052621.3214203315</c:v>
                </c:pt>
                <c:pt idx="38">
                  <c:v>3095302.7657203665</c:v>
                </c:pt>
                <c:pt idx="39">
                  <c:v>3095302.7657203665</c:v>
                </c:pt>
                <c:pt idx="40">
                  <c:v>3095302.7657203665</c:v>
                </c:pt>
                <c:pt idx="41">
                  <c:v>3095302.7657203665</c:v>
                </c:pt>
                <c:pt idx="42">
                  <c:v>3095302.7657203665</c:v>
                </c:pt>
                <c:pt idx="43">
                  <c:v>3095302.7657203665</c:v>
                </c:pt>
                <c:pt idx="44">
                  <c:v>3095302.7657203665</c:v>
                </c:pt>
                <c:pt idx="45">
                  <c:v>3148654.5710954098</c:v>
                </c:pt>
                <c:pt idx="46">
                  <c:v>3148654.5710954098</c:v>
                </c:pt>
                <c:pt idx="47">
                  <c:v>3148654.5710954098</c:v>
                </c:pt>
                <c:pt idx="48">
                  <c:v>3148654.5710954098</c:v>
                </c:pt>
                <c:pt idx="49">
                  <c:v>3255358.1818454973</c:v>
                </c:pt>
                <c:pt idx="50">
                  <c:v>3255358.1818454973</c:v>
                </c:pt>
                <c:pt idx="51">
                  <c:v>3276698.9039955148</c:v>
                </c:pt>
                <c:pt idx="52">
                  <c:v>3426083.9590456369</c:v>
                </c:pt>
                <c:pt idx="53">
                  <c:v>3426083.9590456369</c:v>
                </c:pt>
                <c:pt idx="54">
                  <c:v>3426083.9590456369</c:v>
                </c:pt>
                <c:pt idx="55">
                  <c:v>3426083.9590456369</c:v>
                </c:pt>
                <c:pt idx="56">
                  <c:v>3490106.125495689</c:v>
                </c:pt>
                <c:pt idx="57">
                  <c:v>3490106.125495689</c:v>
                </c:pt>
                <c:pt idx="58">
                  <c:v>3543457.9308707328</c:v>
                </c:pt>
                <c:pt idx="59">
                  <c:v>3543457.9308707328</c:v>
                </c:pt>
                <c:pt idx="60">
                  <c:v>3543457.9308707328</c:v>
                </c:pt>
                <c:pt idx="61">
                  <c:v>3543457.9308707328</c:v>
                </c:pt>
                <c:pt idx="62">
                  <c:v>3543457.9308707328</c:v>
                </c:pt>
                <c:pt idx="63">
                  <c:v>3543457.9308707328</c:v>
                </c:pt>
                <c:pt idx="64">
                  <c:v>3543457.9308707328</c:v>
                </c:pt>
                <c:pt idx="65">
                  <c:v>3543457.9308707328</c:v>
                </c:pt>
                <c:pt idx="66">
                  <c:v>3543457.9308707328</c:v>
                </c:pt>
                <c:pt idx="67">
                  <c:v>3543457.9308707328</c:v>
                </c:pt>
                <c:pt idx="68">
                  <c:v>3703513.3469958636</c:v>
                </c:pt>
                <c:pt idx="69">
                  <c:v>3831557.6798959682</c:v>
                </c:pt>
                <c:pt idx="70">
                  <c:v>3842228.0409709769</c:v>
                </c:pt>
                <c:pt idx="71">
                  <c:v>3874239.1241960027</c:v>
                </c:pt>
                <c:pt idx="72">
                  <c:v>3874239.1241960027</c:v>
                </c:pt>
                <c:pt idx="73">
                  <c:v>4247701.7618213082</c:v>
                </c:pt>
                <c:pt idx="74">
                  <c:v>4375746.0947214123</c:v>
                </c:pt>
                <c:pt idx="75">
                  <c:v>4439768.2611714657</c:v>
                </c:pt>
                <c:pt idx="76">
                  <c:v>4493120.066546509</c:v>
                </c:pt>
                <c:pt idx="77">
                  <c:v>4578482.9551465791</c:v>
                </c:pt>
                <c:pt idx="78">
                  <c:v>4578482.9551465791</c:v>
                </c:pt>
                <c:pt idx="79">
                  <c:v>4642505.1215966307</c:v>
                </c:pt>
                <c:pt idx="80">
                  <c:v>4642505.1215966307</c:v>
                </c:pt>
                <c:pt idx="81">
                  <c:v>4695856.926971674</c:v>
                </c:pt>
                <c:pt idx="82">
                  <c:v>4727868.0101967007</c:v>
                </c:pt>
                <c:pt idx="83">
                  <c:v>4727868.0101967007</c:v>
                </c:pt>
                <c:pt idx="84">
                  <c:v>4855912.3430968048</c:v>
                </c:pt>
                <c:pt idx="85">
                  <c:v>4855912.3430968048</c:v>
                </c:pt>
                <c:pt idx="86">
                  <c:v>4855912.3430968048</c:v>
                </c:pt>
                <c:pt idx="87">
                  <c:v>4855912.3430968048</c:v>
                </c:pt>
                <c:pt idx="88">
                  <c:v>4855912.3430968048</c:v>
                </c:pt>
                <c:pt idx="89">
                  <c:v>4855912.3430968048</c:v>
                </c:pt>
                <c:pt idx="90">
                  <c:v>4855912.3430968048</c:v>
                </c:pt>
                <c:pt idx="91">
                  <c:v>4887923.4263218315</c:v>
                </c:pt>
                <c:pt idx="92">
                  <c:v>4941275.2316968758</c:v>
                </c:pt>
                <c:pt idx="93">
                  <c:v>5013984.4797594221</c:v>
                </c:pt>
                <c:pt idx="94">
                  <c:v>5013984.4797594221</c:v>
                </c:pt>
                <c:pt idx="95">
                  <c:v>5013984.4797594221</c:v>
                </c:pt>
                <c:pt idx="96">
                  <c:v>5013984.4797594221</c:v>
                </c:pt>
                <c:pt idx="97">
                  <c:v>5013984.4797594221</c:v>
                </c:pt>
                <c:pt idx="98">
                  <c:v>5013984.4797594221</c:v>
                </c:pt>
                <c:pt idx="99">
                  <c:v>5013984.4797594221</c:v>
                </c:pt>
                <c:pt idx="100">
                  <c:v>5013984.4797594221</c:v>
                </c:pt>
                <c:pt idx="101">
                  <c:v>5032161.791775059</c:v>
                </c:pt>
                <c:pt idx="102">
                  <c:v>5050339.1037906958</c:v>
                </c:pt>
                <c:pt idx="103">
                  <c:v>5050339.1037906958</c:v>
                </c:pt>
                <c:pt idx="104">
                  <c:v>5232112.2239470631</c:v>
                </c:pt>
                <c:pt idx="105">
                  <c:v>5232112.2239470631</c:v>
                </c:pt>
                <c:pt idx="106">
                  <c:v>5632013.0882910714</c:v>
                </c:pt>
                <c:pt idx="107">
                  <c:v>5632013.0882910714</c:v>
                </c:pt>
                <c:pt idx="108">
                  <c:v>5632013.0882910714</c:v>
                </c:pt>
                <c:pt idx="109">
                  <c:v>5632013.0882910714</c:v>
                </c:pt>
                <c:pt idx="110">
                  <c:v>5632013.0882910714</c:v>
                </c:pt>
                <c:pt idx="111">
                  <c:v>5813786.2084474387</c:v>
                </c:pt>
                <c:pt idx="112">
                  <c:v>5813786.2084474387</c:v>
                </c:pt>
                <c:pt idx="113">
                  <c:v>5813786.2084474387</c:v>
                </c:pt>
                <c:pt idx="114">
                  <c:v>5904672.7685256219</c:v>
                </c:pt>
                <c:pt idx="115">
                  <c:v>6104623.2006976251</c:v>
                </c:pt>
                <c:pt idx="116">
                  <c:v>6213687.072791446</c:v>
                </c:pt>
                <c:pt idx="117">
                  <c:v>6286396.3208539933</c:v>
                </c:pt>
                <c:pt idx="118">
                  <c:v>7177084.609620193</c:v>
                </c:pt>
                <c:pt idx="119">
                  <c:v>7340680.4177609235</c:v>
                </c:pt>
                <c:pt idx="120">
                  <c:v>7413389.6658234689</c:v>
                </c:pt>
                <c:pt idx="121">
                  <c:v>7704226.6580736581</c:v>
                </c:pt>
                <c:pt idx="122">
                  <c:v>7758758.5941205677</c:v>
                </c:pt>
                <c:pt idx="123">
                  <c:v>7758758.5941205677</c:v>
                </c:pt>
                <c:pt idx="124">
                  <c:v>7758758.5941205677</c:v>
                </c:pt>
                <c:pt idx="125">
                  <c:v>8485851.0747460369</c:v>
                </c:pt>
                <c:pt idx="126">
                  <c:v>8685801.506918041</c:v>
                </c:pt>
                <c:pt idx="127">
                  <c:v>8849397.3150587715</c:v>
                </c:pt>
                <c:pt idx="128">
                  <c:v>8958461.1871525906</c:v>
                </c:pt>
                <c:pt idx="129">
                  <c:v>9085702.3712620474</c:v>
                </c:pt>
                <c:pt idx="130">
                  <c:v>9137789.1418285482</c:v>
                </c:pt>
                <c:pt idx="131">
                  <c:v>10127437.782592066</c:v>
                </c:pt>
                <c:pt idx="132">
                  <c:v>10283698.094291575</c:v>
                </c:pt>
                <c:pt idx="133">
                  <c:v>10856652.570523083</c:v>
                </c:pt>
                <c:pt idx="134">
                  <c:v>10856652.570523083</c:v>
                </c:pt>
                <c:pt idx="135">
                  <c:v>18096713.679266728</c:v>
                </c:pt>
                <c:pt idx="136">
                  <c:v>29555803.203896955</c:v>
                </c:pt>
                <c:pt idx="137">
                  <c:v>30753798.926926479</c:v>
                </c:pt>
                <c:pt idx="138">
                  <c:v>46171483.014610782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DB-44A7-994C-72CC3F4B2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40336"/>
        <c:axId val="629740664"/>
      </c:scatterChart>
      <c:valAx>
        <c:axId val="629740336"/>
        <c:scaling>
          <c:orientation val="minMax"/>
          <c:max val="5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629740664"/>
        <c:crosses val="autoZero"/>
        <c:crossBetween val="midCat"/>
      </c:valAx>
      <c:valAx>
        <c:axId val="629740664"/>
        <c:scaling>
          <c:orientation val="minMax"/>
          <c:max val="1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6297403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Datos!$Q$5</c:f>
              <c:strCache>
                <c:ptCount val="1"/>
                <c:pt idx="0">
                  <c:v>CT Ajustado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Datos!$Q$6:$Q$144</c:f>
              <c:numCache>
                <c:formatCode>#,##0</c:formatCode>
                <c:ptCount val="139"/>
                <c:pt idx="0">
                  <c:v>2295683.1700000009</c:v>
                </c:pt>
                <c:pt idx="1">
                  <c:v>2340180.9117139392</c:v>
                </c:pt>
                <c:pt idx="2">
                  <c:v>2629416.2328545377</c:v>
                </c:pt>
                <c:pt idx="3">
                  <c:v>2629416.2328545377</c:v>
                </c:pt>
                <c:pt idx="4">
                  <c:v>2629416.2328545377</c:v>
                </c:pt>
                <c:pt idx="5">
                  <c:v>2629416.2328545377</c:v>
                </c:pt>
                <c:pt idx="6">
                  <c:v>2629416.2328545377</c:v>
                </c:pt>
                <c:pt idx="7">
                  <c:v>2629416.2328545377</c:v>
                </c:pt>
                <c:pt idx="8">
                  <c:v>2629416.2328545377</c:v>
                </c:pt>
                <c:pt idx="9">
                  <c:v>2896402.6831381675</c:v>
                </c:pt>
                <c:pt idx="10">
                  <c:v>2896402.6831381675</c:v>
                </c:pt>
                <c:pt idx="11">
                  <c:v>2896402.6831381675</c:v>
                </c:pt>
                <c:pt idx="12">
                  <c:v>2907527.1185666523</c:v>
                </c:pt>
                <c:pt idx="13">
                  <c:v>2974273.7311375597</c:v>
                </c:pt>
                <c:pt idx="14">
                  <c:v>2974273.7311375597</c:v>
                </c:pt>
                <c:pt idx="15">
                  <c:v>2974273.7311375597</c:v>
                </c:pt>
                <c:pt idx="16">
                  <c:v>2974273.7311375597</c:v>
                </c:pt>
                <c:pt idx="17">
                  <c:v>2974273.7311375597</c:v>
                </c:pt>
                <c:pt idx="18">
                  <c:v>2974273.7311375597</c:v>
                </c:pt>
                <c:pt idx="19">
                  <c:v>2985398.1665660441</c:v>
                </c:pt>
                <c:pt idx="20">
                  <c:v>3029895.9082799824</c:v>
                </c:pt>
                <c:pt idx="21">
                  <c:v>3029895.9082799824</c:v>
                </c:pt>
                <c:pt idx="22">
                  <c:v>3029895.9082799824</c:v>
                </c:pt>
                <c:pt idx="23">
                  <c:v>3029895.9082799824</c:v>
                </c:pt>
                <c:pt idx="24">
                  <c:v>3074393.6499939207</c:v>
                </c:pt>
                <c:pt idx="25">
                  <c:v>3085518.0854224055</c:v>
                </c:pt>
                <c:pt idx="26">
                  <c:v>3107766.9562793747</c:v>
                </c:pt>
                <c:pt idx="27">
                  <c:v>3118891.391707859</c:v>
                </c:pt>
                <c:pt idx="28">
                  <c:v>3118891.391707859</c:v>
                </c:pt>
                <c:pt idx="29">
                  <c:v>3130015.8271363438</c:v>
                </c:pt>
                <c:pt idx="30">
                  <c:v>3174513.5688502821</c:v>
                </c:pt>
                <c:pt idx="31">
                  <c:v>3174513.5688502821</c:v>
                </c:pt>
                <c:pt idx="32">
                  <c:v>3174513.5688502821</c:v>
                </c:pt>
                <c:pt idx="33">
                  <c:v>3252384.6168496739</c:v>
                </c:pt>
                <c:pt idx="34">
                  <c:v>3252384.6168496739</c:v>
                </c:pt>
                <c:pt idx="35">
                  <c:v>3252384.6168496739</c:v>
                </c:pt>
                <c:pt idx="36">
                  <c:v>3252384.6168496739</c:v>
                </c:pt>
                <c:pt idx="37">
                  <c:v>3285757.9231351279</c:v>
                </c:pt>
                <c:pt idx="38">
                  <c:v>3330255.6648490662</c:v>
                </c:pt>
                <c:pt idx="39">
                  <c:v>3330255.6648490662</c:v>
                </c:pt>
                <c:pt idx="40">
                  <c:v>3330255.6648490662</c:v>
                </c:pt>
                <c:pt idx="41">
                  <c:v>3330255.6648490662</c:v>
                </c:pt>
                <c:pt idx="42">
                  <c:v>3330255.6648490662</c:v>
                </c:pt>
                <c:pt idx="43">
                  <c:v>3330255.6648490662</c:v>
                </c:pt>
                <c:pt idx="44">
                  <c:v>3330255.6648490662</c:v>
                </c:pt>
                <c:pt idx="45">
                  <c:v>3385877.8419914888</c:v>
                </c:pt>
                <c:pt idx="46">
                  <c:v>3385877.8419914888</c:v>
                </c:pt>
                <c:pt idx="47">
                  <c:v>3385877.8419914888</c:v>
                </c:pt>
                <c:pt idx="48">
                  <c:v>3385877.8419914888</c:v>
                </c:pt>
                <c:pt idx="49">
                  <c:v>3497122.1962763346</c:v>
                </c:pt>
                <c:pt idx="50">
                  <c:v>3497122.1962763346</c:v>
                </c:pt>
                <c:pt idx="51">
                  <c:v>3519371.0671333037</c:v>
                </c:pt>
                <c:pt idx="52">
                  <c:v>3675113.1631320878</c:v>
                </c:pt>
                <c:pt idx="53">
                  <c:v>3675113.1631320878</c:v>
                </c:pt>
                <c:pt idx="54">
                  <c:v>3675113.1631320878</c:v>
                </c:pt>
                <c:pt idx="55">
                  <c:v>3675113.1631320878</c:v>
                </c:pt>
                <c:pt idx="56">
                  <c:v>3741859.7757029952</c:v>
                </c:pt>
                <c:pt idx="57">
                  <c:v>3741859.7757029952</c:v>
                </c:pt>
                <c:pt idx="58">
                  <c:v>3797481.9528454179</c:v>
                </c:pt>
                <c:pt idx="59">
                  <c:v>3797481.9528454179</c:v>
                </c:pt>
                <c:pt idx="60">
                  <c:v>3797481.9528454179</c:v>
                </c:pt>
                <c:pt idx="61">
                  <c:v>3797481.9528454179</c:v>
                </c:pt>
                <c:pt idx="62">
                  <c:v>3797481.9528454179</c:v>
                </c:pt>
                <c:pt idx="63">
                  <c:v>3797481.9528454179</c:v>
                </c:pt>
                <c:pt idx="64">
                  <c:v>3797481.9528454179</c:v>
                </c:pt>
                <c:pt idx="65">
                  <c:v>3797481.9528454179</c:v>
                </c:pt>
                <c:pt idx="66">
                  <c:v>3797481.9528454179</c:v>
                </c:pt>
                <c:pt idx="67">
                  <c:v>3797481.9528454179</c:v>
                </c:pt>
                <c:pt idx="68">
                  <c:v>3964348.4842726868</c:v>
                </c:pt>
                <c:pt idx="69">
                  <c:v>4097841.7094145017</c:v>
                </c:pt>
                <c:pt idx="70">
                  <c:v>4108966.144842986</c:v>
                </c:pt>
                <c:pt idx="71">
                  <c:v>4142339.45112844</c:v>
                </c:pt>
                <c:pt idx="72">
                  <c:v>4142339.45112844</c:v>
                </c:pt>
                <c:pt idx="73">
                  <c:v>4531694.6911254004</c:v>
                </c:pt>
                <c:pt idx="74">
                  <c:v>4665187.9162672143</c:v>
                </c:pt>
                <c:pt idx="75">
                  <c:v>4731934.5288381223</c:v>
                </c:pt>
                <c:pt idx="76">
                  <c:v>4787556.7059805449</c:v>
                </c:pt>
                <c:pt idx="77">
                  <c:v>4876552.1894084215</c:v>
                </c:pt>
                <c:pt idx="78">
                  <c:v>4876552.1894084215</c:v>
                </c:pt>
                <c:pt idx="79">
                  <c:v>4943298.8019793294</c:v>
                </c:pt>
                <c:pt idx="80">
                  <c:v>4943298.8019793294</c:v>
                </c:pt>
                <c:pt idx="81">
                  <c:v>4998920.9791217521</c:v>
                </c:pt>
                <c:pt idx="82">
                  <c:v>5032294.2854072051</c:v>
                </c:pt>
                <c:pt idx="83">
                  <c:v>5032294.2854072051</c:v>
                </c:pt>
                <c:pt idx="84">
                  <c:v>5165787.51054902</c:v>
                </c:pt>
                <c:pt idx="85">
                  <c:v>5165787.51054902</c:v>
                </c:pt>
                <c:pt idx="86">
                  <c:v>5165787.51054902</c:v>
                </c:pt>
                <c:pt idx="87">
                  <c:v>5165787.51054902</c:v>
                </c:pt>
                <c:pt idx="88">
                  <c:v>5165787.51054902</c:v>
                </c:pt>
                <c:pt idx="89">
                  <c:v>5165787.51054902</c:v>
                </c:pt>
                <c:pt idx="90">
                  <c:v>5165787.51054902</c:v>
                </c:pt>
                <c:pt idx="91">
                  <c:v>5199160.816834474</c:v>
                </c:pt>
                <c:pt idx="92">
                  <c:v>5254782.9939768976</c:v>
                </c:pt>
                <c:pt idx="93">
                  <c:v>5321523.3229921199</c:v>
                </c:pt>
                <c:pt idx="94">
                  <c:v>5321523.3229921199</c:v>
                </c:pt>
                <c:pt idx="95">
                  <c:v>5321523.3229921199</c:v>
                </c:pt>
                <c:pt idx="96">
                  <c:v>5321523.3229921199</c:v>
                </c:pt>
                <c:pt idx="97">
                  <c:v>5321523.3229921199</c:v>
                </c:pt>
                <c:pt idx="98">
                  <c:v>5321523.3229921199</c:v>
                </c:pt>
                <c:pt idx="99">
                  <c:v>5321523.3229921199</c:v>
                </c:pt>
                <c:pt idx="100">
                  <c:v>5321523.3229921199</c:v>
                </c:pt>
                <c:pt idx="101">
                  <c:v>5338208.4052459253</c:v>
                </c:pt>
                <c:pt idx="102">
                  <c:v>5354893.4874997316</c:v>
                </c:pt>
                <c:pt idx="103">
                  <c:v>5354893.4874997316</c:v>
                </c:pt>
                <c:pt idx="104">
                  <c:v>5521744.3100377871</c:v>
                </c:pt>
                <c:pt idx="105">
                  <c:v>5521744.3100377871</c:v>
                </c:pt>
                <c:pt idx="106">
                  <c:v>5888816.1196215115</c:v>
                </c:pt>
                <c:pt idx="107">
                  <c:v>5888816.1196215115</c:v>
                </c:pt>
                <c:pt idx="108">
                  <c:v>5888816.1196215115</c:v>
                </c:pt>
                <c:pt idx="109">
                  <c:v>5888816.1196215115</c:v>
                </c:pt>
                <c:pt idx="110">
                  <c:v>5888816.1196215115</c:v>
                </c:pt>
                <c:pt idx="111">
                  <c:v>6055666.942159568</c:v>
                </c:pt>
                <c:pt idx="112">
                  <c:v>6055666.942159568</c:v>
                </c:pt>
                <c:pt idx="113">
                  <c:v>6055666.942159568</c:v>
                </c:pt>
                <c:pt idx="114">
                  <c:v>6139092.3534285957</c:v>
                </c:pt>
                <c:pt idx="115">
                  <c:v>6322628.2582204575</c:v>
                </c:pt>
                <c:pt idx="116">
                  <c:v>6422738.7517432915</c:v>
                </c:pt>
                <c:pt idx="117">
                  <c:v>6489479.0807585139</c:v>
                </c:pt>
                <c:pt idx="118">
                  <c:v>7307048.1111949906</c:v>
                </c:pt>
                <c:pt idx="119">
                  <c:v>7457213.8514792398</c:v>
                </c:pt>
                <c:pt idx="120">
                  <c:v>7523954.1804944631</c:v>
                </c:pt>
                <c:pt idx="121">
                  <c:v>7790915.4965553526</c:v>
                </c:pt>
                <c:pt idx="122">
                  <c:v>7840970.7433167696</c:v>
                </c:pt>
                <c:pt idx="123">
                  <c:v>7840970.7433167696</c:v>
                </c:pt>
                <c:pt idx="124">
                  <c:v>7840970.7433167696</c:v>
                </c:pt>
                <c:pt idx="125">
                  <c:v>8508374.0334689952</c:v>
                </c:pt>
                <c:pt idx="126">
                  <c:v>8691909.938260857</c:v>
                </c:pt>
                <c:pt idx="127">
                  <c:v>8842075.6785451081</c:v>
                </c:pt>
                <c:pt idx="128">
                  <c:v>8942186.1720679421</c:v>
                </c:pt>
                <c:pt idx="129">
                  <c:v>9058981.7478445694</c:v>
                </c:pt>
                <c:pt idx="130">
                  <c:v>9120513.627116099</c:v>
                </c:pt>
                <c:pt idx="131">
                  <c:v>10289619.333275072</c:v>
                </c:pt>
                <c:pt idx="132">
                  <c:v>10474214.971089646</c:v>
                </c:pt>
                <c:pt idx="133">
                  <c:v>11151065.64307642</c:v>
                </c:pt>
                <c:pt idx="134">
                  <c:v>11151065.64307642</c:v>
                </c:pt>
                <c:pt idx="135">
                  <c:v>19703996.861818403</c:v>
                </c:pt>
                <c:pt idx="136">
                  <c:v>33241010.301553905</c:v>
                </c:pt>
                <c:pt idx="137">
                  <c:v>34656243.524798982</c:v>
                </c:pt>
                <c:pt idx="138">
                  <c:v>52869679.789170399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C3-42F1-8316-840A4A752629}"/>
            </c:ext>
          </c:extLst>
        </c:ser>
        <c:ser>
          <c:idx val="1"/>
          <c:order val="1"/>
          <c:tx>
            <c:strRef>
              <c:f>Datos!$P$5</c:f>
              <c:strCache>
                <c:ptCount val="1"/>
                <c:pt idx="0">
                  <c:v>G+ V Ajustado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Datos!$P$6:$P$144</c:f>
              <c:numCache>
                <c:formatCode>#,##0</c:formatCode>
                <c:ptCount val="139"/>
                <c:pt idx="0">
                  <c:v>2292155.6772891902</c:v>
                </c:pt>
                <c:pt idx="1">
                  <c:v>2336706.4640062987</c:v>
                </c:pt>
                <c:pt idx="2">
                  <c:v>2626286.5776675032</c:v>
                </c:pt>
                <c:pt idx="3">
                  <c:v>2626286.5776675032</c:v>
                </c:pt>
                <c:pt idx="4">
                  <c:v>2626286.5776675032</c:v>
                </c:pt>
                <c:pt idx="5">
                  <c:v>2626286.5776675032</c:v>
                </c:pt>
                <c:pt idx="6">
                  <c:v>2626286.5776675032</c:v>
                </c:pt>
                <c:pt idx="7">
                  <c:v>2626286.5776675032</c:v>
                </c:pt>
                <c:pt idx="8">
                  <c:v>2626286.5776675032</c:v>
                </c:pt>
                <c:pt idx="9">
                  <c:v>2893591.2979701534</c:v>
                </c:pt>
                <c:pt idx="10">
                  <c:v>2893591.2979701534</c:v>
                </c:pt>
                <c:pt idx="11">
                  <c:v>2893591.2979701534</c:v>
                </c:pt>
                <c:pt idx="12">
                  <c:v>2904728.9946494303</c:v>
                </c:pt>
                <c:pt idx="13">
                  <c:v>2971555.1747250929</c:v>
                </c:pt>
                <c:pt idx="14">
                  <c:v>2971555.1747250929</c:v>
                </c:pt>
                <c:pt idx="15">
                  <c:v>2971555.1747250929</c:v>
                </c:pt>
                <c:pt idx="16">
                  <c:v>2971555.1747250929</c:v>
                </c:pt>
                <c:pt idx="17">
                  <c:v>2971555.1747250929</c:v>
                </c:pt>
                <c:pt idx="18">
                  <c:v>2971555.1747250929</c:v>
                </c:pt>
                <c:pt idx="19">
                  <c:v>2982692.8714043698</c:v>
                </c:pt>
                <c:pt idx="20">
                  <c:v>3027243.6581214783</c:v>
                </c:pt>
                <c:pt idx="21">
                  <c:v>3027243.6581214783</c:v>
                </c:pt>
                <c:pt idx="22">
                  <c:v>3027243.6581214783</c:v>
                </c:pt>
                <c:pt idx="23">
                  <c:v>3027243.6581214783</c:v>
                </c:pt>
                <c:pt idx="24">
                  <c:v>3071794.4448385867</c:v>
                </c:pt>
                <c:pt idx="25">
                  <c:v>3082932.1415178641</c:v>
                </c:pt>
                <c:pt idx="26">
                  <c:v>3105207.5348764178</c:v>
                </c:pt>
                <c:pt idx="27">
                  <c:v>3116345.2315556952</c:v>
                </c:pt>
                <c:pt idx="28">
                  <c:v>3116345.2315556952</c:v>
                </c:pt>
                <c:pt idx="29">
                  <c:v>3127482.9282349721</c:v>
                </c:pt>
                <c:pt idx="30">
                  <c:v>3172033.7149520805</c:v>
                </c:pt>
                <c:pt idx="31">
                  <c:v>3172033.7149520805</c:v>
                </c:pt>
                <c:pt idx="32">
                  <c:v>3172033.7149520805</c:v>
                </c:pt>
                <c:pt idx="33">
                  <c:v>3249997.5917070201</c:v>
                </c:pt>
                <c:pt idx="34">
                  <c:v>3249997.5917070201</c:v>
                </c:pt>
                <c:pt idx="35">
                  <c:v>3249997.5917070201</c:v>
                </c:pt>
                <c:pt idx="36">
                  <c:v>3249997.5917070201</c:v>
                </c:pt>
                <c:pt idx="37">
                  <c:v>3283410.6817448516</c:v>
                </c:pt>
                <c:pt idx="38">
                  <c:v>3327961.4684619601</c:v>
                </c:pt>
                <c:pt idx="39">
                  <c:v>3327961.4684619601</c:v>
                </c:pt>
                <c:pt idx="40">
                  <c:v>3327961.4684619601</c:v>
                </c:pt>
                <c:pt idx="41">
                  <c:v>3327961.4684619601</c:v>
                </c:pt>
                <c:pt idx="42">
                  <c:v>3327961.4684619601</c:v>
                </c:pt>
                <c:pt idx="43">
                  <c:v>3327961.4684619601</c:v>
                </c:pt>
                <c:pt idx="44">
                  <c:v>3327961.4684619601</c:v>
                </c:pt>
                <c:pt idx="45">
                  <c:v>3383649.9518583454</c:v>
                </c:pt>
                <c:pt idx="46">
                  <c:v>3383649.9518583454</c:v>
                </c:pt>
                <c:pt idx="47">
                  <c:v>3383649.9518583454</c:v>
                </c:pt>
                <c:pt idx="48">
                  <c:v>3383649.9518583454</c:v>
                </c:pt>
                <c:pt idx="49">
                  <c:v>3495026.9186511161</c:v>
                </c:pt>
                <c:pt idx="50">
                  <c:v>3495026.9186511161</c:v>
                </c:pt>
                <c:pt idx="51">
                  <c:v>3517302.3120096703</c:v>
                </c:pt>
                <c:pt idx="52">
                  <c:v>3673230.0655195499</c:v>
                </c:pt>
                <c:pt idx="53">
                  <c:v>3673230.0655195499</c:v>
                </c:pt>
                <c:pt idx="54">
                  <c:v>3673230.0655195499</c:v>
                </c:pt>
                <c:pt idx="55">
                  <c:v>3673230.0655195499</c:v>
                </c:pt>
                <c:pt idx="56">
                  <c:v>3740056.2455952121</c:v>
                </c:pt>
                <c:pt idx="57">
                  <c:v>3740056.2455952121</c:v>
                </c:pt>
                <c:pt idx="58">
                  <c:v>3795744.7289915979</c:v>
                </c:pt>
                <c:pt idx="59">
                  <c:v>3795744.7289915979</c:v>
                </c:pt>
                <c:pt idx="60">
                  <c:v>3795744.7289915979</c:v>
                </c:pt>
                <c:pt idx="61">
                  <c:v>3795744.7289915979</c:v>
                </c:pt>
                <c:pt idx="62">
                  <c:v>3795744.7289915979</c:v>
                </c:pt>
                <c:pt idx="63">
                  <c:v>3795744.7289915979</c:v>
                </c:pt>
                <c:pt idx="64">
                  <c:v>3795744.7289915979</c:v>
                </c:pt>
                <c:pt idx="65">
                  <c:v>3795744.7289915979</c:v>
                </c:pt>
                <c:pt idx="66">
                  <c:v>3795744.7289915979</c:v>
                </c:pt>
                <c:pt idx="67">
                  <c:v>3795744.7289915979</c:v>
                </c:pt>
                <c:pt idx="68">
                  <c:v>3962810.1791807543</c:v>
                </c:pt>
                <c:pt idx="69">
                  <c:v>4096462.5393320792</c:v>
                </c:pt>
                <c:pt idx="70">
                  <c:v>4107600.2360113566</c:v>
                </c:pt>
                <c:pt idx="71">
                  <c:v>4141013.3260491877</c:v>
                </c:pt>
                <c:pt idx="72">
                  <c:v>4141013.3260491877</c:v>
                </c:pt>
                <c:pt idx="73">
                  <c:v>4530832.7098238859</c:v>
                </c:pt>
                <c:pt idx="74">
                  <c:v>4664485.0699752104</c:v>
                </c:pt>
                <c:pt idx="75">
                  <c:v>4731311.2500508735</c:v>
                </c:pt>
                <c:pt idx="76">
                  <c:v>4786999.7334472593</c:v>
                </c:pt>
                <c:pt idx="77">
                  <c:v>4876101.3068814762</c:v>
                </c:pt>
                <c:pt idx="78">
                  <c:v>4876101.3068814762</c:v>
                </c:pt>
                <c:pt idx="79">
                  <c:v>4942927.4869571384</c:v>
                </c:pt>
                <c:pt idx="80">
                  <c:v>4942927.4869571384</c:v>
                </c:pt>
                <c:pt idx="81">
                  <c:v>4998615.9703535242</c:v>
                </c:pt>
                <c:pt idx="82">
                  <c:v>5032029.0603913553</c:v>
                </c:pt>
                <c:pt idx="83">
                  <c:v>5032029.0603913553</c:v>
                </c:pt>
                <c:pt idx="84">
                  <c:v>5165681.4205426797</c:v>
                </c:pt>
                <c:pt idx="85">
                  <c:v>5165681.4205426797</c:v>
                </c:pt>
                <c:pt idx="86">
                  <c:v>5165681.4205426797</c:v>
                </c:pt>
                <c:pt idx="87">
                  <c:v>5165681.4205426797</c:v>
                </c:pt>
                <c:pt idx="88">
                  <c:v>5165681.4205426797</c:v>
                </c:pt>
                <c:pt idx="89">
                  <c:v>5165681.4205426797</c:v>
                </c:pt>
                <c:pt idx="90">
                  <c:v>5165681.4205426797</c:v>
                </c:pt>
                <c:pt idx="91">
                  <c:v>5199094.5105805118</c:v>
                </c:pt>
                <c:pt idx="92">
                  <c:v>5254782.9939768966</c:v>
                </c:pt>
                <c:pt idx="93">
                  <c:v>5320997.0143957213</c:v>
                </c:pt>
                <c:pt idx="94">
                  <c:v>5320997.0143957213</c:v>
                </c:pt>
                <c:pt idx="95">
                  <c:v>5320997.0143957213</c:v>
                </c:pt>
                <c:pt idx="96">
                  <c:v>5320997.0143957213</c:v>
                </c:pt>
                <c:pt idx="97">
                  <c:v>5320997.0143957213</c:v>
                </c:pt>
                <c:pt idx="98">
                  <c:v>5320997.0143957213</c:v>
                </c:pt>
                <c:pt idx="99">
                  <c:v>5320997.0143957213</c:v>
                </c:pt>
                <c:pt idx="100">
                  <c:v>5320997.0143957213</c:v>
                </c:pt>
                <c:pt idx="101">
                  <c:v>5337550.5195004269</c:v>
                </c:pt>
                <c:pt idx="102">
                  <c:v>5354104.0246051336</c:v>
                </c:pt>
                <c:pt idx="103">
                  <c:v>5354104.0246051336</c:v>
                </c:pt>
                <c:pt idx="104">
                  <c:v>5519639.0756521942</c:v>
                </c:pt>
                <c:pt idx="105">
                  <c:v>5519639.0756521942</c:v>
                </c:pt>
                <c:pt idx="106">
                  <c:v>5883816.1879557297</c:v>
                </c:pt>
                <c:pt idx="107">
                  <c:v>5883816.1879557297</c:v>
                </c:pt>
                <c:pt idx="108">
                  <c:v>5883816.1879557297</c:v>
                </c:pt>
                <c:pt idx="109">
                  <c:v>5883816.1879557297</c:v>
                </c:pt>
                <c:pt idx="110">
                  <c:v>5883816.1879557297</c:v>
                </c:pt>
                <c:pt idx="111">
                  <c:v>6049351.2390027912</c:v>
                </c:pt>
                <c:pt idx="112">
                  <c:v>6049351.2390027912</c:v>
                </c:pt>
                <c:pt idx="113">
                  <c:v>6049351.2390027912</c:v>
                </c:pt>
                <c:pt idx="114">
                  <c:v>6132118.7645263216</c:v>
                </c:pt>
                <c:pt idx="115">
                  <c:v>6314207.3206780897</c:v>
                </c:pt>
                <c:pt idx="116">
                  <c:v>6413528.3513063267</c:v>
                </c:pt>
                <c:pt idx="117">
                  <c:v>6479742.3717251513</c:v>
                </c:pt>
                <c:pt idx="118">
                  <c:v>7290864.1218557525</c:v>
                </c:pt>
                <c:pt idx="119">
                  <c:v>7439845.6677981075</c:v>
                </c:pt>
                <c:pt idx="120">
                  <c:v>7506059.6882169321</c:v>
                </c:pt>
                <c:pt idx="121">
                  <c:v>7770915.7698922306</c:v>
                </c:pt>
                <c:pt idx="122">
                  <c:v>7820576.2852063477</c:v>
                </c:pt>
                <c:pt idx="123">
                  <c:v>7820576.2852063477</c:v>
                </c:pt>
                <c:pt idx="124">
                  <c:v>7820576.2852063477</c:v>
                </c:pt>
                <c:pt idx="125">
                  <c:v>8482716.489394594</c:v>
                </c:pt>
                <c:pt idx="126">
                  <c:v>8664805.0455463622</c:v>
                </c:pt>
                <c:pt idx="127">
                  <c:v>8813786.5914887171</c:v>
                </c:pt>
                <c:pt idx="128">
                  <c:v>8913107.6221169531</c:v>
                </c:pt>
                <c:pt idx="129">
                  <c:v>9028982.157849893</c:v>
                </c:pt>
                <c:pt idx="130">
                  <c:v>9090015.69598075</c:v>
                </c:pt>
                <c:pt idx="131">
                  <c:v>10249652.920466959</c:v>
                </c:pt>
                <c:pt idx="132">
                  <c:v>10432753.534859523</c:v>
                </c:pt>
                <c:pt idx="133">
                  <c:v>11104122.454298906</c:v>
                </c:pt>
                <c:pt idx="134">
                  <c:v>11104122.454298906</c:v>
                </c:pt>
                <c:pt idx="135">
                  <c:v>19587784.254487514</c:v>
                </c:pt>
                <c:pt idx="136">
                  <c:v>33015162.643275231</c:v>
                </c:pt>
                <c:pt idx="137">
                  <c:v>34418934.020284861</c:v>
                </c:pt>
                <c:pt idx="138">
                  <c:v>52484861.307017431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C3-42F1-8316-840A4A752629}"/>
            </c:ext>
          </c:extLst>
        </c:ser>
        <c:ser>
          <c:idx val="2"/>
          <c:order val="2"/>
          <c:tx>
            <c:strRef>
              <c:f>Datos!$O$5</c:f>
              <c:strCache>
                <c:ptCount val="1"/>
                <c:pt idx="0">
                  <c:v>G Ajustado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Datos!$G$6:$G$144</c:f>
              <c:numCache>
                <c:formatCode>General</c:formatCode>
                <c:ptCount val="139"/>
                <c:pt idx="0">
                  <c:v>138</c:v>
                </c:pt>
                <c:pt idx="1">
                  <c:v>142</c:v>
                </c:pt>
                <c:pt idx="2">
                  <c:v>168</c:v>
                </c:pt>
                <c:pt idx="3">
                  <c:v>168</c:v>
                </c:pt>
                <c:pt idx="4">
                  <c:v>168</c:v>
                </c:pt>
                <c:pt idx="5">
                  <c:v>168</c:v>
                </c:pt>
                <c:pt idx="6">
                  <c:v>168</c:v>
                </c:pt>
                <c:pt idx="7">
                  <c:v>168</c:v>
                </c:pt>
                <c:pt idx="8">
                  <c:v>168</c:v>
                </c:pt>
                <c:pt idx="9">
                  <c:v>192</c:v>
                </c:pt>
                <c:pt idx="10">
                  <c:v>192</c:v>
                </c:pt>
                <c:pt idx="11">
                  <c:v>192</c:v>
                </c:pt>
                <c:pt idx="12">
                  <c:v>193</c:v>
                </c:pt>
                <c:pt idx="13">
                  <c:v>199</c:v>
                </c:pt>
                <c:pt idx="14">
                  <c:v>199</c:v>
                </c:pt>
                <c:pt idx="15">
                  <c:v>199</c:v>
                </c:pt>
                <c:pt idx="16">
                  <c:v>199</c:v>
                </c:pt>
                <c:pt idx="17">
                  <c:v>199</c:v>
                </c:pt>
                <c:pt idx="18">
                  <c:v>199</c:v>
                </c:pt>
                <c:pt idx="19">
                  <c:v>200</c:v>
                </c:pt>
                <c:pt idx="20">
                  <c:v>204</c:v>
                </c:pt>
                <c:pt idx="21">
                  <c:v>204</c:v>
                </c:pt>
                <c:pt idx="22">
                  <c:v>204</c:v>
                </c:pt>
                <c:pt idx="23">
                  <c:v>204</c:v>
                </c:pt>
                <c:pt idx="24">
                  <c:v>208</c:v>
                </c:pt>
                <c:pt idx="25">
                  <c:v>209</c:v>
                </c:pt>
                <c:pt idx="26">
                  <c:v>211</c:v>
                </c:pt>
                <c:pt idx="27">
                  <c:v>212</c:v>
                </c:pt>
                <c:pt idx="28">
                  <c:v>212</c:v>
                </c:pt>
                <c:pt idx="29">
                  <c:v>213</c:v>
                </c:pt>
                <c:pt idx="30">
                  <c:v>217</c:v>
                </c:pt>
                <c:pt idx="31">
                  <c:v>217</c:v>
                </c:pt>
                <c:pt idx="32">
                  <c:v>217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227</c:v>
                </c:pt>
                <c:pt idx="38">
                  <c:v>231</c:v>
                </c:pt>
                <c:pt idx="39">
                  <c:v>231</c:v>
                </c:pt>
                <c:pt idx="40">
                  <c:v>231</c:v>
                </c:pt>
                <c:pt idx="41">
                  <c:v>231</c:v>
                </c:pt>
                <c:pt idx="42">
                  <c:v>231</c:v>
                </c:pt>
                <c:pt idx="43">
                  <c:v>231</c:v>
                </c:pt>
                <c:pt idx="44">
                  <c:v>231</c:v>
                </c:pt>
                <c:pt idx="45">
                  <c:v>236</c:v>
                </c:pt>
                <c:pt idx="46">
                  <c:v>236</c:v>
                </c:pt>
                <c:pt idx="47">
                  <c:v>236</c:v>
                </c:pt>
                <c:pt idx="48">
                  <c:v>236</c:v>
                </c:pt>
                <c:pt idx="49">
                  <c:v>246</c:v>
                </c:pt>
                <c:pt idx="50">
                  <c:v>246</c:v>
                </c:pt>
                <c:pt idx="51">
                  <c:v>248</c:v>
                </c:pt>
                <c:pt idx="52">
                  <c:v>262</c:v>
                </c:pt>
                <c:pt idx="53">
                  <c:v>262</c:v>
                </c:pt>
                <c:pt idx="54">
                  <c:v>262</c:v>
                </c:pt>
                <c:pt idx="55">
                  <c:v>262</c:v>
                </c:pt>
                <c:pt idx="56">
                  <c:v>268</c:v>
                </c:pt>
                <c:pt idx="57">
                  <c:v>268</c:v>
                </c:pt>
                <c:pt idx="58">
                  <c:v>273</c:v>
                </c:pt>
                <c:pt idx="59">
                  <c:v>273</c:v>
                </c:pt>
                <c:pt idx="60">
                  <c:v>273</c:v>
                </c:pt>
                <c:pt idx="61">
                  <c:v>273</c:v>
                </c:pt>
                <c:pt idx="62">
                  <c:v>273</c:v>
                </c:pt>
                <c:pt idx="63">
                  <c:v>273</c:v>
                </c:pt>
                <c:pt idx="64">
                  <c:v>273</c:v>
                </c:pt>
                <c:pt idx="65">
                  <c:v>273</c:v>
                </c:pt>
                <c:pt idx="66">
                  <c:v>273</c:v>
                </c:pt>
                <c:pt idx="67">
                  <c:v>273</c:v>
                </c:pt>
                <c:pt idx="68">
                  <c:v>288</c:v>
                </c:pt>
                <c:pt idx="69">
                  <c:v>300</c:v>
                </c:pt>
                <c:pt idx="70">
                  <c:v>301</c:v>
                </c:pt>
                <c:pt idx="71">
                  <c:v>304</c:v>
                </c:pt>
                <c:pt idx="72">
                  <c:v>304</c:v>
                </c:pt>
                <c:pt idx="73">
                  <c:v>339</c:v>
                </c:pt>
                <c:pt idx="74">
                  <c:v>351</c:v>
                </c:pt>
                <c:pt idx="75">
                  <c:v>357</c:v>
                </c:pt>
                <c:pt idx="76">
                  <c:v>362</c:v>
                </c:pt>
                <c:pt idx="77">
                  <c:v>370</c:v>
                </c:pt>
                <c:pt idx="78">
                  <c:v>370</c:v>
                </c:pt>
                <c:pt idx="79">
                  <c:v>376</c:v>
                </c:pt>
                <c:pt idx="80">
                  <c:v>376</c:v>
                </c:pt>
                <c:pt idx="81">
                  <c:v>381</c:v>
                </c:pt>
                <c:pt idx="82">
                  <c:v>384</c:v>
                </c:pt>
                <c:pt idx="83">
                  <c:v>384</c:v>
                </c:pt>
                <c:pt idx="84">
                  <c:v>396</c:v>
                </c:pt>
                <c:pt idx="85">
                  <c:v>396</c:v>
                </c:pt>
                <c:pt idx="86">
                  <c:v>396</c:v>
                </c:pt>
                <c:pt idx="87">
                  <c:v>396</c:v>
                </c:pt>
                <c:pt idx="88">
                  <c:v>396</c:v>
                </c:pt>
                <c:pt idx="89">
                  <c:v>396</c:v>
                </c:pt>
                <c:pt idx="90">
                  <c:v>396</c:v>
                </c:pt>
                <c:pt idx="91">
                  <c:v>399</c:v>
                </c:pt>
                <c:pt idx="92">
                  <c:v>404</c:v>
                </c:pt>
                <c:pt idx="93">
                  <c:v>408</c:v>
                </c:pt>
                <c:pt idx="94">
                  <c:v>408</c:v>
                </c:pt>
                <c:pt idx="95">
                  <c:v>408</c:v>
                </c:pt>
                <c:pt idx="96">
                  <c:v>408</c:v>
                </c:pt>
                <c:pt idx="97">
                  <c:v>408</c:v>
                </c:pt>
                <c:pt idx="98">
                  <c:v>408</c:v>
                </c:pt>
                <c:pt idx="99">
                  <c:v>408</c:v>
                </c:pt>
                <c:pt idx="100">
                  <c:v>408</c:v>
                </c:pt>
                <c:pt idx="101">
                  <c:v>409</c:v>
                </c:pt>
                <c:pt idx="102">
                  <c:v>410</c:v>
                </c:pt>
                <c:pt idx="103">
                  <c:v>410</c:v>
                </c:pt>
                <c:pt idx="104">
                  <c:v>420</c:v>
                </c:pt>
                <c:pt idx="105">
                  <c:v>420</c:v>
                </c:pt>
                <c:pt idx="106">
                  <c:v>442</c:v>
                </c:pt>
                <c:pt idx="107">
                  <c:v>442</c:v>
                </c:pt>
                <c:pt idx="108">
                  <c:v>442</c:v>
                </c:pt>
                <c:pt idx="109">
                  <c:v>442</c:v>
                </c:pt>
                <c:pt idx="110">
                  <c:v>442</c:v>
                </c:pt>
                <c:pt idx="111">
                  <c:v>452</c:v>
                </c:pt>
                <c:pt idx="112">
                  <c:v>452</c:v>
                </c:pt>
                <c:pt idx="113">
                  <c:v>452</c:v>
                </c:pt>
                <c:pt idx="114">
                  <c:v>457</c:v>
                </c:pt>
                <c:pt idx="115">
                  <c:v>468</c:v>
                </c:pt>
                <c:pt idx="116">
                  <c:v>474</c:v>
                </c:pt>
                <c:pt idx="117">
                  <c:v>478</c:v>
                </c:pt>
                <c:pt idx="118">
                  <c:v>527</c:v>
                </c:pt>
                <c:pt idx="119">
                  <c:v>536</c:v>
                </c:pt>
                <c:pt idx="120">
                  <c:v>540</c:v>
                </c:pt>
                <c:pt idx="121">
                  <c:v>556</c:v>
                </c:pt>
                <c:pt idx="122">
                  <c:v>559</c:v>
                </c:pt>
                <c:pt idx="123">
                  <c:v>559</c:v>
                </c:pt>
                <c:pt idx="124">
                  <c:v>559</c:v>
                </c:pt>
                <c:pt idx="125">
                  <c:v>599</c:v>
                </c:pt>
                <c:pt idx="126">
                  <c:v>610</c:v>
                </c:pt>
                <c:pt idx="127">
                  <c:v>619</c:v>
                </c:pt>
                <c:pt idx="128">
                  <c:v>625</c:v>
                </c:pt>
                <c:pt idx="129">
                  <c:v>632</c:v>
                </c:pt>
                <c:pt idx="130">
                  <c:v>633</c:v>
                </c:pt>
                <c:pt idx="131">
                  <c:v>652</c:v>
                </c:pt>
                <c:pt idx="132">
                  <c:v>655</c:v>
                </c:pt>
                <c:pt idx="133">
                  <c:v>666</c:v>
                </c:pt>
                <c:pt idx="134">
                  <c:v>666</c:v>
                </c:pt>
                <c:pt idx="135">
                  <c:v>805</c:v>
                </c:pt>
                <c:pt idx="136">
                  <c:v>1025</c:v>
                </c:pt>
                <c:pt idx="137">
                  <c:v>1048</c:v>
                </c:pt>
                <c:pt idx="138">
                  <c:v>1344</c:v>
                </c:pt>
              </c:numCache>
            </c:numRef>
          </c:xVal>
          <c:yVal>
            <c:numRef>
              <c:f>Datos!$O$6:$O$144</c:f>
              <c:numCache>
                <c:formatCode>#,##0</c:formatCode>
                <c:ptCount val="139"/>
                <c:pt idx="0">
                  <c:v>2102959.1857445557</c:v>
                </c:pt>
                <c:pt idx="1">
                  <c:v>2145640.6300445907</c:v>
                </c:pt>
                <c:pt idx="2">
                  <c:v>2423070.0179948173</c:v>
                </c:pt>
                <c:pt idx="3">
                  <c:v>2423070.0179948173</c:v>
                </c:pt>
                <c:pt idx="4">
                  <c:v>2423070.0179948173</c:v>
                </c:pt>
                <c:pt idx="5">
                  <c:v>2423070.0179948173</c:v>
                </c:pt>
                <c:pt idx="6">
                  <c:v>2423070.0179948173</c:v>
                </c:pt>
                <c:pt idx="7">
                  <c:v>2423070.0179948173</c:v>
                </c:pt>
                <c:pt idx="8">
                  <c:v>2423070.0179948173</c:v>
                </c:pt>
                <c:pt idx="9">
                  <c:v>2679158.6837950265</c:v>
                </c:pt>
                <c:pt idx="10">
                  <c:v>2679158.6837950265</c:v>
                </c:pt>
                <c:pt idx="11">
                  <c:v>2679158.6837950265</c:v>
                </c:pt>
                <c:pt idx="12">
                  <c:v>2689829.0448700348</c:v>
                </c:pt>
                <c:pt idx="13">
                  <c:v>2753851.2113200873</c:v>
                </c:pt>
                <c:pt idx="14">
                  <c:v>2753851.2113200873</c:v>
                </c:pt>
                <c:pt idx="15">
                  <c:v>2753851.2113200873</c:v>
                </c:pt>
                <c:pt idx="16">
                  <c:v>2753851.2113200873</c:v>
                </c:pt>
                <c:pt idx="17">
                  <c:v>2753851.2113200873</c:v>
                </c:pt>
                <c:pt idx="18">
                  <c:v>2753851.2113200873</c:v>
                </c:pt>
                <c:pt idx="19">
                  <c:v>2764521.5723950961</c:v>
                </c:pt>
                <c:pt idx="20">
                  <c:v>2807203.0166951311</c:v>
                </c:pt>
                <c:pt idx="21">
                  <c:v>2807203.0166951311</c:v>
                </c:pt>
                <c:pt idx="22">
                  <c:v>2807203.0166951311</c:v>
                </c:pt>
                <c:pt idx="23">
                  <c:v>2807203.0166951311</c:v>
                </c:pt>
                <c:pt idx="24">
                  <c:v>2849884.4609951661</c:v>
                </c:pt>
                <c:pt idx="25">
                  <c:v>2860554.8220701744</c:v>
                </c:pt>
                <c:pt idx="26">
                  <c:v>2881895.5442201919</c:v>
                </c:pt>
                <c:pt idx="27">
                  <c:v>2892565.9052952006</c:v>
                </c:pt>
                <c:pt idx="28">
                  <c:v>2892565.9052952006</c:v>
                </c:pt>
                <c:pt idx="29">
                  <c:v>2903236.2663702094</c:v>
                </c:pt>
                <c:pt idx="30">
                  <c:v>2945917.7106702444</c:v>
                </c:pt>
                <c:pt idx="31">
                  <c:v>2945917.7106702444</c:v>
                </c:pt>
                <c:pt idx="32">
                  <c:v>2945917.7106702444</c:v>
                </c:pt>
                <c:pt idx="33">
                  <c:v>3020610.2381953052</c:v>
                </c:pt>
                <c:pt idx="34">
                  <c:v>3020610.2381953052</c:v>
                </c:pt>
                <c:pt idx="35">
                  <c:v>3020610.2381953052</c:v>
                </c:pt>
                <c:pt idx="36">
                  <c:v>3020610.2381953052</c:v>
                </c:pt>
                <c:pt idx="37">
                  <c:v>3052621.3214203315</c:v>
                </c:pt>
                <c:pt idx="38">
                  <c:v>3095302.7657203665</c:v>
                </c:pt>
                <c:pt idx="39">
                  <c:v>3095302.7657203665</c:v>
                </c:pt>
                <c:pt idx="40">
                  <c:v>3095302.7657203665</c:v>
                </c:pt>
                <c:pt idx="41">
                  <c:v>3095302.7657203665</c:v>
                </c:pt>
                <c:pt idx="42">
                  <c:v>3095302.7657203665</c:v>
                </c:pt>
                <c:pt idx="43">
                  <c:v>3095302.7657203665</c:v>
                </c:pt>
                <c:pt idx="44">
                  <c:v>3095302.7657203665</c:v>
                </c:pt>
                <c:pt idx="45">
                  <c:v>3148654.5710954098</c:v>
                </c:pt>
                <c:pt idx="46">
                  <c:v>3148654.5710954098</c:v>
                </c:pt>
                <c:pt idx="47">
                  <c:v>3148654.5710954098</c:v>
                </c:pt>
                <c:pt idx="48">
                  <c:v>3148654.5710954098</c:v>
                </c:pt>
                <c:pt idx="49">
                  <c:v>3255358.1818454973</c:v>
                </c:pt>
                <c:pt idx="50">
                  <c:v>3255358.1818454973</c:v>
                </c:pt>
                <c:pt idx="51">
                  <c:v>3276698.9039955148</c:v>
                </c:pt>
                <c:pt idx="52">
                  <c:v>3426083.9590456369</c:v>
                </c:pt>
                <c:pt idx="53">
                  <c:v>3426083.9590456369</c:v>
                </c:pt>
                <c:pt idx="54">
                  <c:v>3426083.9590456369</c:v>
                </c:pt>
                <c:pt idx="55">
                  <c:v>3426083.9590456369</c:v>
                </c:pt>
                <c:pt idx="56">
                  <c:v>3490106.125495689</c:v>
                </c:pt>
                <c:pt idx="57">
                  <c:v>3490106.125495689</c:v>
                </c:pt>
                <c:pt idx="58">
                  <c:v>3543457.9308707328</c:v>
                </c:pt>
                <c:pt idx="59">
                  <c:v>3543457.9308707328</c:v>
                </c:pt>
                <c:pt idx="60">
                  <c:v>3543457.9308707328</c:v>
                </c:pt>
                <c:pt idx="61">
                  <c:v>3543457.9308707328</c:v>
                </c:pt>
                <c:pt idx="62">
                  <c:v>3543457.9308707328</c:v>
                </c:pt>
                <c:pt idx="63">
                  <c:v>3543457.9308707328</c:v>
                </c:pt>
                <c:pt idx="64">
                  <c:v>3543457.9308707328</c:v>
                </c:pt>
                <c:pt idx="65">
                  <c:v>3543457.9308707328</c:v>
                </c:pt>
                <c:pt idx="66">
                  <c:v>3543457.9308707328</c:v>
                </c:pt>
                <c:pt idx="67">
                  <c:v>3543457.9308707328</c:v>
                </c:pt>
                <c:pt idx="68">
                  <c:v>3703513.3469958636</c:v>
                </c:pt>
                <c:pt idx="69">
                  <c:v>3831557.6798959682</c:v>
                </c:pt>
                <c:pt idx="70">
                  <c:v>3842228.0409709769</c:v>
                </c:pt>
                <c:pt idx="71">
                  <c:v>3874239.1241960027</c:v>
                </c:pt>
                <c:pt idx="72">
                  <c:v>3874239.1241960027</c:v>
                </c:pt>
                <c:pt idx="73">
                  <c:v>4247701.7618213082</c:v>
                </c:pt>
                <c:pt idx="74">
                  <c:v>4375746.0947214123</c:v>
                </c:pt>
                <c:pt idx="75">
                  <c:v>4439768.2611714657</c:v>
                </c:pt>
                <c:pt idx="76">
                  <c:v>4493120.066546509</c:v>
                </c:pt>
                <c:pt idx="77">
                  <c:v>4578482.9551465791</c:v>
                </c:pt>
                <c:pt idx="78">
                  <c:v>4578482.9551465791</c:v>
                </c:pt>
                <c:pt idx="79">
                  <c:v>4642505.1215966307</c:v>
                </c:pt>
                <c:pt idx="80">
                  <c:v>4642505.1215966307</c:v>
                </c:pt>
                <c:pt idx="81">
                  <c:v>4695856.926971674</c:v>
                </c:pt>
                <c:pt idx="82">
                  <c:v>4727868.0101967007</c:v>
                </c:pt>
                <c:pt idx="83">
                  <c:v>4727868.0101967007</c:v>
                </c:pt>
                <c:pt idx="84">
                  <c:v>4855912.3430968048</c:v>
                </c:pt>
                <c:pt idx="85">
                  <c:v>4855912.3430968048</c:v>
                </c:pt>
                <c:pt idx="86">
                  <c:v>4855912.3430968048</c:v>
                </c:pt>
                <c:pt idx="87">
                  <c:v>4855912.3430968048</c:v>
                </c:pt>
                <c:pt idx="88">
                  <c:v>4855912.3430968048</c:v>
                </c:pt>
                <c:pt idx="89">
                  <c:v>4855912.3430968048</c:v>
                </c:pt>
                <c:pt idx="90">
                  <c:v>4855912.3430968048</c:v>
                </c:pt>
                <c:pt idx="91">
                  <c:v>4887923.4263218315</c:v>
                </c:pt>
                <c:pt idx="92">
                  <c:v>4941275.2316968758</c:v>
                </c:pt>
                <c:pt idx="93">
                  <c:v>5013984.4797594221</c:v>
                </c:pt>
                <c:pt idx="94">
                  <c:v>5013984.4797594221</c:v>
                </c:pt>
                <c:pt idx="95">
                  <c:v>5013984.4797594221</c:v>
                </c:pt>
                <c:pt idx="96">
                  <c:v>5013984.4797594221</c:v>
                </c:pt>
                <c:pt idx="97">
                  <c:v>5013984.4797594221</c:v>
                </c:pt>
                <c:pt idx="98">
                  <c:v>5013984.4797594221</c:v>
                </c:pt>
                <c:pt idx="99">
                  <c:v>5013984.4797594221</c:v>
                </c:pt>
                <c:pt idx="100">
                  <c:v>5013984.4797594221</c:v>
                </c:pt>
                <c:pt idx="101">
                  <c:v>5032161.791775059</c:v>
                </c:pt>
                <c:pt idx="102">
                  <c:v>5050339.1037906958</c:v>
                </c:pt>
                <c:pt idx="103">
                  <c:v>5050339.1037906958</c:v>
                </c:pt>
                <c:pt idx="104">
                  <c:v>5232112.2239470631</c:v>
                </c:pt>
                <c:pt idx="105">
                  <c:v>5232112.2239470631</c:v>
                </c:pt>
                <c:pt idx="106">
                  <c:v>5632013.0882910714</c:v>
                </c:pt>
                <c:pt idx="107">
                  <c:v>5632013.0882910714</c:v>
                </c:pt>
                <c:pt idx="108">
                  <c:v>5632013.0882910714</c:v>
                </c:pt>
                <c:pt idx="109">
                  <c:v>5632013.0882910714</c:v>
                </c:pt>
                <c:pt idx="110">
                  <c:v>5632013.0882910714</c:v>
                </c:pt>
                <c:pt idx="111">
                  <c:v>5813786.2084474387</c:v>
                </c:pt>
                <c:pt idx="112">
                  <c:v>5813786.2084474387</c:v>
                </c:pt>
                <c:pt idx="113">
                  <c:v>5813786.2084474387</c:v>
                </c:pt>
                <c:pt idx="114">
                  <c:v>5904672.7685256219</c:v>
                </c:pt>
                <c:pt idx="115">
                  <c:v>6104623.2006976251</c:v>
                </c:pt>
                <c:pt idx="116">
                  <c:v>6213687.072791446</c:v>
                </c:pt>
                <c:pt idx="117">
                  <c:v>6286396.3208539933</c:v>
                </c:pt>
                <c:pt idx="118">
                  <c:v>7177084.609620193</c:v>
                </c:pt>
                <c:pt idx="119">
                  <c:v>7340680.4177609235</c:v>
                </c:pt>
                <c:pt idx="120">
                  <c:v>7413389.6658234689</c:v>
                </c:pt>
                <c:pt idx="121">
                  <c:v>7704226.6580736581</c:v>
                </c:pt>
                <c:pt idx="122">
                  <c:v>7758758.5941205677</c:v>
                </c:pt>
                <c:pt idx="123">
                  <c:v>7758758.5941205677</c:v>
                </c:pt>
                <c:pt idx="124">
                  <c:v>7758758.5941205677</c:v>
                </c:pt>
                <c:pt idx="125">
                  <c:v>8485851.0747460369</c:v>
                </c:pt>
                <c:pt idx="126">
                  <c:v>8685801.506918041</c:v>
                </c:pt>
                <c:pt idx="127">
                  <c:v>8849397.3150587715</c:v>
                </c:pt>
                <c:pt idx="128">
                  <c:v>8958461.1871525906</c:v>
                </c:pt>
                <c:pt idx="129">
                  <c:v>9085702.3712620474</c:v>
                </c:pt>
                <c:pt idx="130">
                  <c:v>9137789.1418285482</c:v>
                </c:pt>
                <c:pt idx="131">
                  <c:v>10127437.782592066</c:v>
                </c:pt>
                <c:pt idx="132">
                  <c:v>10283698.094291575</c:v>
                </c:pt>
                <c:pt idx="133">
                  <c:v>10856652.570523083</c:v>
                </c:pt>
                <c:pt idx="134">
                  <c:v>10856652.570523083</c:v>
                </c:pt>
                <c:pt idx="135">
                  <c:v>18096713.679266728</c:v>
                </c:pt>
                <c:pt idx="136">
                  <c:v>29555803.203896955</c:v>
                </c:pt>
                <c:pt idx="137">
                  <c:v>30753798.926926479</c:v>
                </c:pt>
                <c:pt idx="138">
                  <c:v>46171483.014610782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C3-42F1-8316-840A4A75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40336"/>
        <c:axId val="629740664"/>
      </c:scatterChart>
      <c:valAx>
        <c:axId val="629740336"/>
        <c:scaling>
          <c:orientation val="minMax"/>
          <c:max val="13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629740664"/>
        <c:crosses val="autoZero"/>
        <c:crossBetween val="midCat"/>
      </c:valAx>
      <c:valAx>
        <c:axId val="629740664"/>
        <c:scaling>
          <c:orientation val="minMax"/>
          <c:max val="2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CO"/>
          </a:p>
        </c:txPr>
        <c:crossAx val="629740336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273844</xdr:colOff>
      <xdr:row>24</xdr:row>
      <xdr:rowOff>154780</xdr:rowOff>
    </xdr:from>
    <xdr:to>
      <xdr:col>16</xdr:col>
      <xdr:colOff>27469</xdr:colOff>
      <xdr:row>41</xdr:row>
      <xdr:rowOff>11999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309562</xdr:colOff>
      <xdr:row>24</xdr:row>
      <xdr:rowOff>154780</xdr:rowOff>
    </xdr:from>
    <xdr:to>
      <xdr:col>12</xdr:col>
      <xdr:colOff>63187</xdr:colOff>
      <xdr:row>41</xdr:row>
      <xdr:rowOff>11999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38</xdr:row>
          <xdr:rowOff>114300</xdr:rowOff>
        </xdr:from>
        <xdr:to>
          <xdr:col>5</xdr:col>
          <xdr:colOff>1428750</xdr:colOff>
          <xdr:row>40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Generar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904875</xdr:colOff>
          <xdr:row>39</xdr:row>
          <xdr:rowOff>171450</xdr:rowOff>
        </xdr:from>
        <xdr:to>
          <xdr:col>7</xdr:col>
          <xdr:colOff>323850</xdr:colOff>
          <xdr:row>41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923925</xdr:colOff>
          <xdr:row>37</xdr:row>
          <xdr:rowOff>123825</xdr:rowOff>
        </xdr:from>
        <xdr:to>
          <xdr:col>7</xdr:col>
          <xdr:colOff>323850</xdr:colOff>
          <xdr:row>39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733425</xdr:colOff>
          <xdr:row>37</xdr:row>
          <xdr:rowOff>133350</xdr:rowOff>
        </xdr:from>
        <xdr:to>
          <xdr:col>8</xdr:col>
          <xdr:colOff>200025</xdr:colOff>
          <xdr:row>40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Registrar curva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licativo%20Equidad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inculos"/>
      <sheetName val="Cuadro de Control"/>
      <sheetName val="Control Automatización"/>
      <sheetName val="Datos Hoy"/>
      <sheetName val="Regresiones"/>
      <sheetName val="Resumenes"/>
      <sheetName val="Variables"/>
      <sheetName val="Instrucciones Iniciales"/>
      <sheetName val="Datos vincul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uplas" displayName="Duplas" ref="B3:F2214" totalsRowShown="0" headerRowDxfId="73" dataDxfId="71" headerRowBorderDxfId="72" tableBorderDxfId="70" totalsRowBorderDxfId="69">
  <tableColumns count="5">
    <tableColumn id="1" xr3:uid="{00000000-0010-0000-0000-000001000000}" name="Duplas posibles" dataDxfId="68">
      <calculatedColumnFormula>ROW()-3</calculatedColumnFormula>
    </tableColumn>
    <tableColumn id="2" xr3:uid="{00000000-0010-0000-0000-000002000000}" name="Final" dataDxfId="67">
      <calculatedColumnFormula>IF((D3-C3)=1,1,C3+1)</calculatedColumnFormula>
    </tableColumn>
    <tableColumn id="3" xr3:uid="{00000000-0010-0000-0000-000003000000}" name="Origen" dataDxfId="66">
      <calculatedColumnFormula>IF((D3-C3)=1,D3-1,D3)</calculatedColumnFormula>
    </tableColumn>
    <tableColumn id="4" xr3:uid="{00000000-0010-0000-0000-000004000000}" name="Origen (puntos)" dataDxfId="65">
      <calculatedColumnFormula>IFERROR(VLOOKUP(D4,$H$4:$I$70,2,0),"")</calculatedColumnFormula>
    </tableColumn>
    <tableColumn id="5" xr3:uid="{00000000-0010-0000-0000-000005000000}" name="Final (Puntos)" dataDxfId="64">
      <calculatedColumnFormula>IFERROR(VLOOKUP(C4,$H$4:$I$70,2,0),"")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adepuntos" displayName="Listadepuntos" ref="H3:I70" totalsRowShown="0" headerRowDxfId="63" dataDxfId="61" headerRowBorderDxfId="62" tableBorderDxfId="60" totalsRowBorderDxfId="59">
  <autoFilter ref="H3:I70" xr:uid="{00000000-0009-0000-0100-000002000000}"/>
  <sortState xmlns:xlrd2="http://schemas.microsoft.com/office/spreadsheetml/2017/richdata2" ref="H4:I65">
    <sortCondition descending="1" ref="I3:I65"/>
  </sortState>
  <tableColumns count="2">
    <tableColumn id="1" xr3:uid="{00000000-0010-0000-0100-000001000000}" name="Cod" dataDxfId="58"/>
    <tableColumn id="2" xr3:uid="{00000000-0010-0000-0100-000002000000}" name="Lista de puntos unicos" dataDxfId="5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DatosHoy" displayName="DatosHoy" ref="B5:AA145" totalsRowCount="1" headerRowDxfId="56" dataDxfId="55">
  <autoFilter ref="B5:AA144" xr:uid="{00000000-0009-0000-0100-000004000000}"/>
  <tableColumns count="26">
    <tableColumn id="1" xr3:uid="{00000000-0010-0000-0200-000001000000}" name="Persona" totalsRowLabel="Total" dataDxfId="54" totalsRowDxfId="28"/>
    <tableColumn id="2" xr3:uid="{00000000-0010-0000-0200-000002000000}" name="G Actual" totalsRowFunction="sum" dataDxfId="53" totalsRowDxfId="27"/>
    <tableColumn id="3" xr3:uid="{00000000-0010-0000-0200-000003000000}" name="G+V Actual" totalsRowFunction="sum" dataDxfId="52" totalsRowDxfId="26"/>
    <tableColumn id="4" xr3:uid="{00000000-0010-0000-0200-000004000000}" name="CT Actual" totalsRowFunction="sum" dataDxfId="51" totalsRowDxfId="25"/>
    <tableColumn id="5" xr3:uid="{00000000-0010-0000-0200-000005000000}" name="Cargo Valorado" dataDxfId="50" totalsRowDxfId="24"/>
    <tableColumn id="6" xr3:uid="{00000000-0010-0000-0200-000006000000}" name="Puntos" dataDxfId="49" totalsRowDxfId="23"/>
    <tableColumn id="7" xr3:uid="{00000000-0010-0000-0200-000007000000}" name="Puntos colum" dataDxfId="48" totalsRowDxfId="22">
      <calculatedColumnFormula>"$"&amp;"G"&amp;"$"&amp;ROW()</calculatedColumnFormula>
    </tableColumn>
    <tableColumn id="8" xr3:uid="{00000000-0010-0000-0200-000008000000}" name="G colum" dataDxfId="47" totalsRowDxfId="21">
      <calculatedColumnFormula>"$"&amp;"C"&amp;"$"&amp;ROW()</calculatedColumnFormula>
    </tableColumn>
    <tableColumn id="9" xr3:uid="{00000000-0010-0000-0200-000009000000}" name="G+V colum" dataDxfId="46" totalsRowDxfId="20">
      <calculatedColumnFormula>"$"&amp;"D"&amp;"$"&amp;ROW()</calculatedColumnFormula>
    </tableColumn>
    <tableColumn id="10" xr3:uid="{00000000-0010-0000-0200-00000A000000}" name="CT colum" dataDxfId="45" totalsRowDxfId="19">
      <calculatedColumnFormula>"$"&amp;"E"&amp;"$"&amp;ROW()</calculatedColumnFormula>
    </tableColumn>
    <tableColumn id="11" xr3:uid="{00000000-0010-0000-0200-00000B000000}" name="G regresión" dataDxfId="44" totalsRowDxfId="18">
      <calculatedColumnFormula>IFERROR(VLOOKUP($G6,Regresiones!$E$6:$I$10,4,1)*$G6+VLOOKUP($G6,Regresiones!$E$6:$I$10,5,1),"")</calculatedColumnFormula>
    </tableColumn>
    <tableColumn id="12" xr3:uid="{00000000-0010-0000-0200-00000C000000}" name="G+ V Regresión" dataDxfId="43" totalsRowDxfId="17">
      <calculatedColumnFormula>IFERROR(VLOOKUP($G6,Regresiones!$J$6:$N$10,4,1)*$G6+VLOOKUP($G6,Regresiones!$J$6:$N$10,5,1),"")</calculatedColumnFormula>
    </tableColumn>
    <tableColumn id="13" xr3:uid="{00000000-0010-0000-0200-00000D000000}" name="CT Regresión" dataDxfId="42" totalsRowDxfId="16">
      <calculatedColumnFormula>IFERROR(VLOOKUP($G6,Regresiones!$O$6:$S$10,4,1)*$G6+VLOOKUP($G6,Regresiones!$O$6:$S$10,5,1),"")</calculatedColumnFormula>
    </tableColumn>
    <tableColumn id="14" xr3:uid="{00000000-0010-0000-0200-00000E000000}" name="G Ajustado" dataDxfId="41" totalsRowDxfId="15">
      <calculatedColumnFormula>IFERROR(VLOOKUP($G6,Regresiones!$T$6:$V$10,2,1)*$G6+VLOOKUP($G6,Regresiones!$T$6:$V$10,3,1),"")</calculatedColumnFormula>
    </tableColumn>
    <tableColumn id="15" xr3:uid="{00000000-0010-0000-0200-00000F000000}" name="G+ V Ajustado" dataDxfId="40" totalsRowDxfId="14">
      <calculatedColumnFormula>IFERROR(VLOOKUP($G6,Regresiones!$W$6:$Y$10,2,1)*$G6+VLOOKUP($G6,Regresiones!$W$6:$Y$10,3,1),"")</calculatedColumnFormula>
    </tableColumn>
    <tableColumn id="16" xr3:uid="{00000000-0010-0000-0200-000010000000}" name="CT Ajustado" dataDxfId="39" totalsRowDxfId="13">
      <calculatedColumnFormula>IFERROR(VLOOKUP($G6,Regresiones!$Z$6:$AB$10,2,1)*$G6+VLOOKUP($G6,Regresiones!$Z$6:$AB$10,3,1),"")</calculatedColumnFormula>
    </tableColumn>
    <tableColumn id="17" xr3:uid="{00000000-0010-0000-0200-000011000000}" name="V1" dataDxfId="38" totalsRowDxfId="12">
      <calculatedColumnFormula>IF($W6=$W7,-1,DatosHoy[[#This Row],[G ajus PM]]-X7)</calculatedColumnFormula>
    </tableColumn>
    <tableColumn id="18" xr3:uid="{00000000-0010-0000-0200-000012000000}" name="V2" dataDxfId="37" totalsRowDxfId="11">
      <calculatedColumnFormula>IF($W6=$W7,-1,DatosHoy[[#This Row],[G+V ajus PM]]-Y7)</calculatedColumnFormula>
    </tableColumn>
    <tableColumn id="19" xr3:uid="{00000000-0010-0000-0200-000013000000}" name="V3" dataDxfId="36" totalsRowDxfId="10">
      <calculatedColumnFormula>IF($W6=$W7,-1,DatosHoy[[#This Row],[CT ajus PM]]-Z7)</calculatedColumnFormula>
    </tableColumn>
    <tableColumn id="20" xr3:uid="{00000000-0010-0000-0200-000014000000}" name="V4" dataDxfId="35" totalsRowDxfId="9">
      <calculatedColumnFormula>IFERROR(IF(DatosHoy[[#This Row],[G ajus PM]]=DatosHoy[[#This Row],[G+V ajus PM]],-1,DatosHoy[[#This Row],[G ajus PM]]-DatosHoy[[#This Row],[G+V ajus PM]]),"")</calculatedColumnFormula>
    </tableColumn>
    <tableColumn id="21" xr3:uid="{00000000-0010-0000-0200-000015000000}" name="V5" dataDxfId="34" totalsRowDxfId="8">
      <calculatedColumnFormula>IFERROR(IF(DatosHoy[[#This Row],[G+V ajus PM]]=DatosHoy[[#This Row],[CT ajus PM]],-1,DatosHoy[[#This Row],[G+V ajus PM]]-DatosHoy[[#This Row],[CT ajus PM]]),"")</calculatedColumnFormula>
    </tableColumn>
    <tableColumn id="22" xr3:uid="{00000000-0010-0000-0200-000016000000}" name="Punto Medio" dataDxfId="33" totalsRowDxfId="7"/>
    <tableColumn id="23" xr3:uid="{00000000-0010-0000-0200-000017000000}" name="G ajus PM" totalsRowFunction="sum" dataDxfId="32" totalsRowDxfId="6">
      <calculatedColumnFormula>IFERROR(IFERROR(VLOOKUP($W6,Regresiones!$T$6:$V$10,2,1)*$W6+VLOOKUP($W6,Regresiones!$T$6:$V$10,3,1),VLOOKUP(MIN(DatosHoy[Puntos]),Regresiones!$T$6:$V$10,2,1)*$W6+VLOOKUP(MIN(DatosHoy[Puntos]),Regresiones!$T$6:$V$10,3,1)),"NO")</calculatedColumnFormula>
    </tableColumn>
    <tableColumn id="24" xr3:uid="{00000000-0010-0000-0200-000018000000}" name="G+V ajus PM" totalsRowFunction="sum" dataDxfId="31" totalsRowDxfId="5">
      <calculatedColumnFormula>IFERROR(IFERROR(VLOOKUP($W6,Regresiones!$W$6:$Y$10,2,1)*$W6+VLOOKUP($W6,Regresiones!$W$6:$Y$10,3,1),VLOOKUP(MIN(DatosHoy[Puntos]),Regresiones!$W$6:$Y$10,2,1)*$W6+VLOOKUP(MIN(DatosHoy[Puntos]),Regresiones!$W$6:$Y$10,3,1)),"NO")</calculatedColumnFormula>
    </tableColumn>
    <tableColumn id="25" xr3:uid="{00000000-0010-0000-0200-000019000000}" name="CT ajus PM" totalsRowFunction="sum" dataDxfId="30" totalsRowDxfId="4">
      <calculatedColumnFormula>IFERROR(IFERROR(VLOOKUP($W6,Regresiones!$Z$6:$AB$10,2,1)*$W6+VLOOKUP($W6,Regresiones!$Z$6:$AB$10,3,1),VLOOKUP(MIN(DatosHoy[Puntos]),Regresiones!$Z$6:$AB$10,2,1)*$W6+VLOOKUP(MIN(DatosHoy[Puntos]),Regresiones!$Z$6:$AB$10,3,1)),"NO")</calculatedColumnFormula>
    </tableColumn>
    <tableColumn id="26" xr3:uid="{00000000-0010-0000-0200-00001A000000}" name="Posicion." totalsRowFunction="custom" dataDxfId="29" totalsRowDxfId="3" dataCellStyle="Porcentaje">
      <calculatedColumnFormula>IFERROR(E6/Z6,"NO")</calculatedColumnFormula>
      <totalsRowFormula>IFERROR(IF(VLOOKUP("NO",DatosHoy[Posicion.],1,FALSE)="NO","",SUBTOTAL(109,DatosHoy[Posicion.])),SUBTOTAL(109,DatosHoy[Posicion.]))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L2214"/>
  <sheetViews>
    <sheetView showGridLines="0" zoomScale="80" zoomScaleNormal="80" workbookViewId="0">
      <pane ySplit="3" topLeftCell="A2186" activePane="bottomLeft" state="frozen"/>
      <selection pane="bottomLeft" activeCell="B4" sqref="B4:B2214"/>
    </sheetView>
  </sheetViews>
  <sheetFormatPr baseColWidth="10" defaultColWidth="11" defaultRowHeight="14.25" x14ac:dyDescent="0.2"/>
  <cols>
    <col min="1" max="1" width="1.625" style="2" customWidth="1"/>
    <col min="2" max="6" width="12.5" style="2" customWidth="1"/>
    <col min="7" max="7" width="3" style="2" customWidth="1"/>
    <col min="8" max="9" width="12.5" style="2" customWidth="1"/>
    <col min="10" max="10" width="11" style="2"/>
    <col min="11" max="12" width="11" style="1"/>
    <col min="13" max="16384" width="11" style="2"/>
  </cols>
  <sheetData>
    <row r="1" spans="2:12" x14ac:dyDescent="0.2">
      <c r="E1" s="1"/>
      <c r="F1" s="1"/>
    </row>
    <row r="2" spans="2:12" s="21" customFormat="1" ht="45" x14ac:dyDescent="0.2">
      <c r="C2" s="22"/>
      <c r="D2" s="22"/>
      <c r="E2" s="22"/>
      <c r="F2" s="22"/>
      <c r="H2" s="39" t="s">
        <v>0</v>
      </c>
      <c r="I2" s="40">
        <f>COUNT(Listadepuntos[Lista de puntos unicos])</f>
        <v>67</v>
      </c>
      <c r="K2" s="22"/>
      <c r="L2" s="22"/>
    </row>
    <row r="3" spans="2:12" s="21" customFormat="1" ht="105" x14ac:dyDescent="0.2">
      <c r="B3" s="23" t="s">
        <v>1</v>
      </c>
      <c r="C3" s="11" t="s">
        <v>2</v>
      </c>
      <c r="D3" s="11" t="s">
        <v>3</v>
      </c>
      <c r="E3" s="11" t="s">
        <v>4</v>
      </c>
      <c r="F3" s="12" t="s">
        <v>5</v>
      </c>
      <c r="H3" s="41" t="s">
        <v>6</v>
      </c>
      <c r="I3" s="41" t="s">
        <v>7</v>
      </c>
      <c r="J3" s="22"/>
      <c r="K3" s="57" t="s">
        <v>8</v>
      </c>
      <c r="L3" s="57" t="s">
        <v>9</v>
      </c>
    </row>
    <row r="4" spans="2:12" x14ac:dyDescent="0.2">
      <c r="B4" s="13">
        <f>ROW()-3</f>
        <v>1</v>
      </c>
      <c r="C4" s="14">
        <v>1</v>
      </c>
      <c r="D4" s="14">
        <f>I2</f>
        <v>67</v>
      </c>
      <c r="E4" s="8">
        <f>IFERROR(VLOOKUP(D4,$H$4:$I$70,2,0),"")</f>
        <v>94</v>
      </c>
      <c r="F4" s="9">
        <f>IFERROR(VLOOKUP(C4,$H$4:$I$70,2,0),"")</f>
        <v>1344</v>
      </c>
      <c r="H4" s="24">
        <v>1</v>
      </c>
      <c r="I4" s="24">
        <v>1344</v>
      </c>
      <c r="J4" s="1"/>
      <c r="K4" s="58">
        <v>1344</v>
      </c>
      <c r="L4" s="24">
        <f>IF(IFERROR(INDEX($K$4:$K$85, MATCH(0, INDEX(COUNTIF($L$3:L3, $K$4:$K$85), 0, 0), 0)), "")=0,"",IFERROR(INDEX($K$4:$K$85, MATCH(0, INDEX(COUNTIF($L$3:L3, $K$4:$K$85), 0, 0), 0)), ""))</f>
        <v>1344</v>
      </c>
    </row>
    <row r="5" spans="2:12" x14ac:dyDescent="0.2">
      <c r="B5" s="13">
        <f t="shared" ref="B5:B68" si="0">ROW()-3</f>
        <v>2</v>
      </c>
      <c r="C5" s="8">
        <f t="shared" ref="C5" si="1">IF((D4-C4)=1,1,C4+1)</f>
        <v>2</v>
      </c>
      <c r="D5" s="8">
        <f t="shared" ref="D5" si="2">IF((D4-C4)=1,D4-1,D4)</f>
        <v>67</v>
      </c>
      <c r="E5" s="8">
        <f>IFERROR(VLOOKUP(D5,$H$4:$I$70,2,0),"")</f>
        <v>94</v>
      </c>
      <c r="F5" s="9">
        <f>IFERROR(VLOOKUP(C5,$H$4:$I$70,2,0),"")</f>
        <v>1048</v>
      </c>
      <c r="H5" s="24">
        <v>2</v>
      </c>
      <c r="I5" s="24">
        <v>1048</v>
      </c>
      <c r="J5" s="1"/>
      <c r="K5" s="58">
        <v>1048</v>
      </c>
      <c r="L5" s="24">
        <f>IF(IFERROR(INDEX($K$4:$K$85, MATCH(0, INDEX(COUNTIF($L$3:L4, $K$4:$K$85), 0, 0), 0)), "")=0,"",IFERROR(INDEX($K$4:$K$85, MATCH(0, INDEX(COUNTIF($L$3:L4, $K$4:$K$85), 0, 0), 0)), ""))</f>
        <v>1048</v>
      </c>
    </row>
    <row r="6" spans="2:12" x14ac:dyDescent="0.2">
      <c r="B6" s="13">
        <f t="shared" si="0"/>
        <v>3</v>
      </c>
      <c r="C6" s="8">
        <f t="shared" ref="C6:C69" si="3">IF((D5-C5)=1,1,C5+1)</f>
        <v>3</v>
      </c>
      <c r="D6" s="8">
        <f t="shared" ref="D6:D69" si="4">IF((D5-C5)=1,D5-1,D5)</f>
        <v>67</v>
      </c>
      <c r="E6" s="8">
        <f>IFERROR(VLOOKUP(D6,$H$4:$I$70,2,0),"")</f>
        <v>94</v>
      </c>
      <c r="F6" s="9">
        <f>IFERROR(VLOOKUP(C6,$H$4:$I$70,2,0),"")</f>
        <v>1025</v>
      </c>
      <c r="H6" s="24">
        <v>3</v>
      </c>
      <c r="I6" s="24">
        <v>1025</v>
      </c>
      <c r="J6" s="1"/>
      <c r="K6" s="58">
        <v>1025</v>
      </c>
      <c r="L6" s="24">
        <f>IF(IFERROR(INDEX($K$4:$K$85, MATCH(0, INDEX(COUNTIF($L$3:L5, $K$4:$K$85), 0, 0), 0)), "")=0,"",IFERROR(INDEX($K$4:$K$85, MATCH(0, INDEX(COUNTIF($L$3:L5, $K$4:$K$85), 0, 0), 0)), ""))</f>
        <v>1025</v>
      </c>
    </row>
    <row r="7" spans="2:12" x14ac:dyDescent="0.2">
      <c r="B7" s="13">
        <f t="shared" si="0"/>
        <v>4</v>
      </c>
      <c r="C7" s="8">
        <f t="shared" si="3"/>
        <v>4</v>
      </c>
      <c r="D7" s="8">
        <f t="shared" si="4"/>
        <v>67</v>
      </c>
      <c r="E7" s="8">
        <f>IFERROR(VLOOKUP(D7,$H$4:$I$70,2,0),"")</f>
        <v>94</v>
      </c>
      <c r="F7" s="9">
        <f>IFERROR(VLOOKUP(C7,$H$4:$I$70,2,0),"")</f>
        <v>805</v>
      </c>
      <c r="H7" s="24">
        <v>4</v>
      </c>
      <c r="I7" s="24">
        <v>805</v>
      </c>
      <c r="J7" s="1"/>
      <c r="K7" s="58">
        <v>805</v>
      </c>
      <c r="L7" s="24">
        <f>IF(IFERROR(INDEX($K$4:$K$85, MATCH(0, INDEX(COUNTIF($L$3:L6, $K$4:$K$85), 0, 0), 0)), "")=0,"",IFERROR(INDEX($K$4:$K$85, MATCH(0, INDEX(COUNTIF($L$3:L6, $K$4:$K$85), 0, 0), 0)), ""))</f>
        <v>805</v>
      </c>
    </row>
    <row r="8" spans="2:12" x14ac:dyDescent="0.2">
      <c r="B8" s="13">
        <f t="shared" si="0"/>
        <v>5</v>
      </c>
      <c r="C8" s="8">
        <f t="shared" si="3"/>
        <v>5</v>
      </c>
      <c r="D8" s="8">
        <f t="shared" si="4"/>
        <v>67</v>
      </c>
      <c r="E8" s="8">
        <f>IFERROR(VLOOKUP(D8,$H$4:$I$70,2,0),"")</f>
        <v>94</v>
      </c>
      <c r="F8" s="9">
        <f>IFERROR(VLOOKUP(C8,$H$4:$I$70,2,0),"")</f>
        <v>666</v>
      </c>
      <c r="H8" s="24">
        <v>5</v>
      </c>
      <c r="I8" s="24">
        <v>666</v>
      </c>
      <c r="J8" s="1"/>
      <c r="K8" s="58">
        <v>666</v>
      </c>
      <c r="L8" s="24">
        <f>IF(IFERROR(INDEX($K$4:$K$85, MATCH(0, INDEX(COUNTIF($L$3:L7, $K$4:$K$85), 0, 0), 0)), "")=0,"",IFERROR(INDEX($K$4:$K$85, MATCH(0, INDEX(COUNTIF($L$3:L7, $K$4:$K$85), 0, 0), 0)), ""))</f>
        <v>666</v>
      </c>
    </row>
    <row r="9" spans="2:12" x14ac:dyDescent="0.2">
      <c r="B9" s="13">
        <f t="shared" si="0"/>
        <v>6</v>
      </c>
      <c r="C9" s="8">
        <f t="shared" si="3"/>
        <v>6</v>
      </c>
      <c r="D9" s="8">
        <f t="shared" si="4"/>
        <v>67</v>
      </c>
      <c r="E9" s="8">
        <f>IFERROR(VLOOKUP(D9,$H$4:$I$70,2,0),"")</f>
        <v>94</v>
      </c>
      <c r="F9" s="9">
        <f>IFERROR(VLOOKUP(C9,$H$4:$I$70,2,0),"")</f>
        <v>655</v>
      </c>
      <c r="H9" s="24">
        <v>6</v>
      </c>
      <c r="I9" s="24">
        <v>655</v>
      </c>
      <c r="K9" s="58">
        <v>655</v>
      </c>
      <c r="L9" s="24">
        <f>IF(IFERROR(INDEX($K$4:$K$85, MATCH(0, INDEX(COUNTIF($L$3:L8, $K$4:$K$85), 0, 0), 0)), "")=0,"",IFERROR(INDEX($K$4:$K$85, MATCH(0, INDEX(COUNTIF($L$3:L8, $K$4:$K$85), 0, 0), 0)), ""))</f>
        <v>655</v>
      </c>
    </row>
    <row r="10" spans="2:12" x14ac:dyDescent="0.2">
      <c r="B10" s="13">
        <f t="shared" si="0"/>
        <v>7</v>
      </c>
      <c r="C10" s="8">
        <f t="shared" si="3"/>
        <v>7</v>
      </c>
      <c r="D10" s="8">
        <f t="shared" si="4"/>
        <v>67</v>
      </c>
      <c r="E10" s="8">
        <f>IFERROR(VLOOKUP(D10,$H$4:$I$70,2,0),"")</f>
        <v>94</v>
      </c>
      <c r="F10" s="9">
        <f>IFERROR(VLOOKUP(C10,$H$4:$I$70,2,0),"")</f>
        <v>652</v>
      </c>
      <c r="H10" s="24">
        <v>7</v>
      </c>
      <c r="I10" s="24">
        <v>652</v>
      </c>
      <c r="K10" s="58">
        <v>652</v>
      </c>
      <c r="L10" s="24">
        <f>IF(IFERROR(INDEX($K$4:$K$85, MATCH(0, INDEX(COUNTIF($L$3:L9, $K$4:$K$85), 0, 0), 0)), "")=0,"",IFERROR(INDEX($K$4:$K$85, MATCH(0, INDEX(COUNTIF($L$3:L9, $K$4:$K$85), 0, 0), 0)), ""))</f>
        <v>652</v>
      </c>
    </row>
    <row r="11" spans="2:12" x14ac:dyDescent="0.2">
      <c r="B11" s="13">
        <f t="shared" si="0"/>
        <v>8</v>
      </c>
      <c r="C11" s="8">
        <f t="shared" si="3"/>
        <v>8</v>
      </c>
      <c r="D11" s="8">
        <f t="shared" si="4"/>
        <v>67</v>
      </c>
      <c r="E11" s="8">
        <f>IFERROR(VLOOKUP(D11,$H$4:$I$70,2,0),"")</f>
        <v>94</v>
      </c>
      <c r="F11" s="9">
        <f>IFERROR(VLOOKUP(C11,$H$4:$I$70,2,0),"")</f>
        <v>633</v>
      </c>
      <c r="H11" s="24">
        <v>8</v>
      </c>
      <c r="I11" s="24">
        <v>633</v>
      </c>
      <c r="K11" s="58">
        <v>633</v>
      </c>
      <c r="L11" s="24">
        <f>IF(IFERROR(INDEX($K$4:$K$85, MATCH(0, INDEX(COUNTIF($L$3:L10, $K$4:$K$85), 0, 0), 0)), "")=0,"",IFERROR(INDEX($K$4:$K$85, MATCH(0, INDEX(COUNTIF($L$3:L10, $K$4:$K$85), 0, 0), 0)), ""))</f>
        <v>633</v>
      </c>
    </row>
    <row r="12" spans="2:12" x14ac:dyDescent="0.2">
      <c r="B12" s="13">
        <f t="shared" si="0"/>
        <v>9</v>
      </c>
      <c r="C12" s="8">
        <f t="shared" si="3"/>
        <v>9</v>
      </c>
      <c r="D12" s="8">
        <f t="shared" si="4"/>
        <v>67</v>
      </c>
      <c r="E12" s="8">
        <f>IFERROR(VLOOKUP(D12,$H$4:$I$70,2,0),"")</f>
        <v>94</v>
      </c>
      <c r="F12" s="9">
        <f>IFERROR(VLOOKUP(C12,$H$4:$I$70,2,0),"")</f>
        <v>632</v>
      </c>
      <c r="H12" s="24">
        <v>9</v>
      </c>
      <c r="I12" s="24">
        <v>632</v>
      </c>
      <c r="K12" s="58">
        <v>632</v>
      </c>
      <c r="L12" s="24">
        <f>IF(IFERROR(INDEX($K$4:$K$85, MATCH(0, INDEX(COUNTIF($L$3:L11, $K$4:$K$85), 0, 0), 0)), "")=0,"",IFERROR(INDEX($K$4:$K$85, MATCH(0, INDEX(COUNTIF($L$3:L11, $K$4:$K$85), 0, 0), 0)), ""))</f>
        <v>632</v>
      </c>
    </row>
    <row r="13" spans="2:12" x14ac:dyDescent="0.2">
      <c r="B13" s="13">
        <f t="shared" si="0"/>
        <v>10</v>
      </c>
      <c r="C13" s="8">
        <f t="shared" si="3"/>
        <v>10</v>
      </c>
      <c r="D13" s="8">
        <f t="shared" si="4"/>
        <v>67</v>
      </c>
      <c r="E13" s="8">
        <f>IFERROR(VLOOKUP(D13,$H$4:$I$70,2,0),"")</f>
        <v>94</v>
      </c>
      <c r="F13" s="9">
        <f>IFERROR(VLOOKUP(C13,$H$4:$I$70,2,0),"")</f>
        <v>625</v>
      </c>
      <c r="H13" s="24">
        <v>10</v>
      </c>
      <c r="I13" s="24">
        <v>625</v>
      </c>
      <c r="K13" s="58">
        <v>625</v>
      </c>
      <c r="L13" s="24">
        <f>IF(IFERROR(INDEX($K$4:$K$85, MATCH(0, INDEX(COUNTIF($L$3:L12, $K$4:$K$85), 0, 0), 0)), "")=0,"",IFERROR(INDEX($K$4:$K$85, MATCH(0, INDEX(COUNTIF($L$3:L12, $K$4:$K$85), 0, 0), 0)), ""))</f>
        <v>625</v>
      </c>
    </row>
    <row r="14" spans="2:12" x14ac:dyDescent="0.2">
      <c r="B14" s="13">
        <f t="shared" si="0"/>
        <v>11</v>
      </c>
      <c r="C14" s="8">
        <f t="shared" si="3"/>
        <v>11</v>
      </c>
      <c r="D14" s="8">
        <f t="shared" si="4"/>
        <v>67</v>
      </c>
      <c r="E14" s="8">
        <f>IFERROR(VLOOKUP(D14,$H$4:$I$70,2,0),"")</f>
        <v>94</v>
      </c>
      <c r="F14" s="9">
        <f>IFERROR(VLOOKUP(C14,$H$4:$I$70,2,0),"")</f>
        <v>619</v>
      </c>
      <c r="H14" s="24">
        <v>11</v>
      </c>
      <c r="I14" s="24">
        <v>619</v>
      </c>
      <c r="K14" s="58">
        <v>619</v>
      </c>
      <c r="L14" s="24">
        <f>IF(IFERROR(INDEX($K$4:$K$85, MATCH(0, INDEX(COUNTIF($L$3:L13, $K$4:$K$85), 0, 0), 0)), "")=0,"",IFERROR(INDEX($K$4:$K$85, MATCH(0, INDEX(COUNTIF($L$3:L13, $K$4:$K$85), 0, 0), 0)), ""))</f>
        <v>619</v>
      </c>
    </row>
    <row r="15" spans="2:12" x14ac:dyDescent="0.2">
      <c r="B15" s="13">
        <f t="shared" si="0"/>
        <v>12</v>
      </c>
      <c r="C15" s="8">
        <f t="shared" si="3"/>
        <v>12</v>
      </c>
      <c r="D15" s="8">
        <f t="shared" si="4"/>
        <v>67</v>
      </c>
      <c r="E15" s="8">
        <f>IFERROR(VLOOKUP(D15,$H$4:$I$70,2,0),"")</f>
        <v>94</v>
      </c>
      <c r="F15" s="9">
        <f>IFERROR(VLOOKUP(C15,$H$4:$I$70,2,0),"")</f>
        <v>610</v>
      </c>
      <c r="H15" s="24">
        <v>12</v>
      </c>
      <c r="I15" s="24">
        <v>610</v>
      </c>
      <c r="K15" s="58">
        <v>610</v>
      </c>
      <c r="L15" s="24">
        <f>IF(IFERROR(INDEX($K$4:$K$85, MATCH(0, INDEX(COUNTIF($L$3:L14, $K$4:$K$85), 0, 0), 0)), "")=0,"",IFERROR(INDEX($K$4:$K$85, MATCH(0, INDEX(COUNTIF($L$3:L14, $K$4:$K$85), 0, 0), 0)), ""))</f>
        <v>610</v>
      </c>
    </row>
    <row r="16" spans="2:12" x14ac:dyDescent="0.2">
      <c r="B16" s="13">
        <f t="shared" si="0"/>
        <v>13</v>
      </c>
      <c r="C16" s="8">
        <f t="shared" si="3"/>
        <v>13</v>
      </c>
      <c r="D16" s="8">
        <f t="shared" si="4"/>
        <v>67</v>
      </c>
      <c r="E16" s="8">
        <f>IFERROR(VLOOKUP(D16,$H$4:$I$70,2,0),"")</f>
        <v>94</v>
      </c>
      <c r="F16" s="9">
        <f>IFERROR(VLOOKUP(C16,$H$4:$I$70,2,0),"")</f>
        <v>599</v>
      </c>
      <c r="H16" s="24">
        <v>13</v>
      </c>
      <c r="I16" s="24">
        <v>599</v>
      </c>
      <c r="K16" s="58">
        <v>599</v>
      </c>
      <c r="L16" s="24">
        <f>IF(IFERROR(INDEX($K$4:$K$85, MATCH(0, INDEX(COUNTIF($L$3:L15, $K$4:$K$85), 0, 0), 0)), "")=0,"",IFERROR(INDEX($K$4:$K$85, MATCH(0, INDEX(COUNTIF($L$3:L15, $K$4:$K$85), 0, 0), 0)), ""))</f>
        <v>599</v>
      </c>
    </row>
    <row r="17" spans="2:12" x14ac:dyDescent="0.2">
      <c r="B17" s="13">
        <f t="shared" si="0"/>
        <v>14</v>
      </c>
      <c r="C17" s="8">
        <f t="shared" si="3"/>
        <v>14</v>
      </c>
      <c r="D17" s="8">
        <f t="shared" si="4"/>
        <v>67</v>
      </c>
      <c r="E17" s="8">
        <f>IFERROR(VLOOKUP(D17,$H$4:$I$70,2,0),"")</f>
        <v>94</v>
      </c>
      <c r="F17" s="9">
        <f>IFERROR(VLOOKUP(C17,$H$4:$I$70,2,0),"")</f>
        <v>559</v>
      </c>
      <c r="H17" s="24">
        <v>14</v>
      </c>
      <c r="I17" s="24">
        <v>559</v>
      </c>
      <c r="K17" s="58">
        <v>559</v>
      </c>
      <c r="L17" s="24">
        <f>IF(IFERROR(INDEX($K$4:$K$85, MATCH(0, INDEX(COUNTIF($L$3:L16, $K$4:$K$85), 0, 0), 0)), "")=0,"",IFERROR(INDEX($K$4:$K$85, MATCH(0, INDEX(COUNTIF($L$3:L16, $K$4:$K$85), 0, 0), 0)), ""))</f>
        <v>559</v>
      </c>
    </row>
    <row r="18" spans="2:12" x14ac:dyDescent="0.2">
      <c r="B18" s="13">
        <f t="shared" si="0"/>
        <v>15</v>
      </c>
      <c r="C18" s="8">
        <f t="shared" si="3"/>
        <v>15</v>
      </c>
      <c r="D18" s="8">
        <f t="shared" si="4"/>
        <v>67</v>
      </c>
      <c r="E18" s="8">
        <f>IFERROR(VLOOKUP(D18,$H$4:$I$70,2,0),"")</f>
        <v>94</v>
      </c>
      <c r="F18" s="9">
        <f>IFERROR(VLOOKUP(C18,$H$4:$I$70,2,0),"")</f>
        <v>556</v>
      </c>
      <c r="H18" s="24">
        <v>15</v>
      </c>
      <c r="I18" s="24">
        <v>556</v>
      </c>
      <c r="K18" s="58">
        <v>559</v>
      </c>
      <c r="L18" s="24">
        <f>IF(IFERROR(INDEX($K$4:$K$85, MATCH(0, INDEX(COUNTIF($L$3:L17, $K$4:$K$85), 0, 0), 0)), "")=0,"",IFERROR(INDEX($K$4:$K$85, MATCH(0, INDEX(COUNTIF($L$3:L17, $K$4:$K$85), 0, 0), 0)), ""))</f>
        <v>556</v>
      </c>
    </row>
    <row r="19" spans="2:12" x14ac:dyDescent="0.2">
      <c r="B19" s="13">
        <f t="shared" si="0"/>
        <v>16</v>
      </c>
      <c r="C19" s="8">
        <f t="shared" si="3"/>
        <v>16</v>
      </c>
      <c r="D19" s="8">
        <f t="shared" si="4"/>
        <v>67</v>
      </c>
      <c r="E19" s="8">
        <f>IFERROR(VLOOKUP(D19,$H$4:$I$70,2,0),"")</f>
        <v>94</v>
      </c>
      <c r="F19" s="9">
        <f>IFERROR(VLOOKUP(C19,$H$4:$I$70,2,0),"")</f>
        <v>540</v>
      </c>
      <c r="H19" s="24">
        <v>16</v>
      </c>
      <c r="I19" s="24">
        <v>540</v>
      </c>
      <c r="K19" s="58">
        <v>559</v>
      </c>
      <c r="L19" s="24">
        <f>IF(IFERROR(INDEX($K$4:$K$85, MATCH(0, INDEX(COUNTIF($L$3:L18, $K$4:$K$85), 0, 0), 0)), "")=0,"",IFERROR(INDEX($K$4:$K$85, MATCH(0, INDEX(COUNTIF($L$3:L18, $K$4:$K$85), 0, 0), 0)), ""))</f>
        <v>540</v>
      </c>
    </row>
    <row r="20" spans="2:12" x14ac:dyDescent="0.2">
      <c r="B20" s="13">
        <f t="shared" si="0"/>
        <v>17</v>
      </c>
      <c r="C20" s="8">
        <f t="shared" si="3"/>
        <v>17</v>
      </c>
      <c r="D20" s="8">
        <f t="shared" si="4"/>
        <v>67</v>
      </c>
      <c r="E20" s="8">
        <f>IFERROR(VLOOKUP(D20,$H$4:$I$70,2,0),"")</f>
        <v>94</v>
      </c>
      <c r="F20" s="9">
        <f>IFERROR(VLOOKUP(C20,$H$4:$I$70,2,0),"")</f>
        <v>536</v>
      </c>
      <c r="H20" s="24">
        <v>17</v>
      </c>
      <c r="I20" s="24">
        <v>536</v>
      </c>
      <c r="K20" s="58">
        <v>556</v>
      </c>
      <c r="L20" s="24">
        <f>IF(IFERROR(INDEX($K$4:$K$85, MATCH(0, INDEX(COUNTIF($L$3:L19, $K$4:$K$85), 0, 0), 0)), "")=0,"",IFERROR(INDEX($K$4:$K$85, MATCH(0, INDEX(COUNTIF($L$3:L19, $K$4:$K$85), 0, 0), 0)), ""))</f>
        <v>536</v>
      </c>
    </row>
    <row r="21" spans="2:12" x14ac:dyDescent="0.2">
      <c r="B21" s="13">
        <f t="shared" si="0"/>
        <v>18</v>
      </c>
      <c r="C21" s="8">
        <f t="shared" si="3"/>
        <v>18</v>
      </c>
      <c r="D21" s="8">
        <f t="shared" si="4"/>
        <v>67</v>
      </c>
      <c r="E21" s="8">
        <f>IFERROR(VLOOKUP(D21,$H$4:$I$70,2,0),"")</f>
        <v>94</v>
      </c>
      <c r="F21" s="9">
        <f>IFERROR(VLOOKUP(C21,$H$4:$I$70,2,0),"")</f>
        <v>527</v>
      </c>
      <c r="H21" s="24">
        <v>18</v>
      </c>
      <c r="I21" s="24">
        <v>527</v>
      </c>
      <c r="K21" s="58">
        <v>540</v>
      </c>
      <c r="L21" s="24">
        <f>IF(IFERROR(INDEX($K$4:$K$85, MATCH(0, INDEX(COUNTIF($L$3:L20, $K$4:$K$85), 0, 0), 0)), "")=0,"",IFERROR(INDEX($K$4:$K$85, MATCH(0, INDEX(COUNTIF($L$3:L20, $K$4:$K$85), 0, 0), 0)), ""))</f>
        <v>527</v>
      </c>
    </row>
    <row r="22" spans="2:12" x14ac:dyDescent="0.2">
      <c r="B22" s="13">
        <f t="shared" si="0"/>
        <v>19</v>
      </c>
      <c r="C22" s="8">
        <f t="shared" si="3"/>
        <v>19</v>
      </c>
      <c r="D22" s="8">
        <f t="shared" si="4"/>
        <v>67</v>
      </c>
      <c r="E22" s="8">
        <f>IFERROR(VLOOKUP(D22,$H$4:$I$70,2,0),"")</f>
        <v>94</v>
      </c>
      <c r="F22" s="9">
        <f>IFERROR(VLOOKUP(C22,$H$4:$I$70,2,0),"")</f>
        <v>478</v>
      </c>
      <c r="H22" s="24">
        <v>19</v>
      </c>
      <c r="I22" s="24">
        <v>478</v>
      </c>
      <c r="K22" s="58">
        <v>536</v>
      </c>
      <c r="L22" s="24">
        <f>IF(IFERROR(INDEX($K$4:$K$85, MATCH(0, INDEX(COUNTIF($L$3:L21, $K$4:$K$85), 0, 0), 0)), "")=0,"",IFERROR(INDEX($K$4:$K$85, MATCH(0, INDEX(COUNTIF($L$3:L21, $K$4:$K$85), 0, 0), 0)), ""))</f>
        <v>478</v>
      </c>
    </row>
    <row r="23" spans="2:12" x14ac:dyDescent="0.2">
      <c r="B23" s="13">
        <f t="shared" si="0"/>
        <v>20</v>
      </c>
      <c r="C23" s="8">
        <f t="shared" si="3"/>
        <v>20</v>
      </c>
      <c r="D23" s="8">
        <f t="shared" si="4"/>
        <v>67</v>
      </c>
      <c r="E23" s="8">
        <f>IFERROR(VLOOKUP(D23,$H$4:$I$70,2,0),"")</f>
        <v>94</v>
      </c>
      <c r="F23" s="9">
        <f>IFERROR(VLOOKUP(C23,$H$4:$I$70,2,0),"")</f>
        <v>474</v>
      </c>
      <c r="H23" s="24">
        <v>20</v>
      </c>
      <c r="I23" s="24">
        <v>474</v>
      </c>
      <c r="K23" s="58">
        <v>527</v>
      </c>
      <c r="L23" s="24">
        <f>IF(IFERROR(INDEX($K$4:$K$85, MATCH(0, INDEX(COUNTIF($L$3:L22, $K$4:$K$85), 0, 0), 0)), "")=0,"",IFERROR(INDEX($K$4:$K$85, MATCH(0, INDEX(COUNTIF($L$3:L22, $K$4:$K$85), 0, 0), 0)), ""))</f>
        <v>474</v>
      </c>
    </row>
    <row r="24" spans="2:12" x14ac:dyDescent="0.2">
      <c r="B24" s="13">
        <f t="shared" si="0"/>
        <v>21</v>
      </c>
      <c r="C24" s="8">
        <f t="shared" si="3"/>
        <v>21</v>
      </c>
      <c r="D24" s="8">
        <f t="shared" si="4"/>
        <v>67</v>
      </c>
      <c r="E24" s="8">
        <f>IFERROR(VLOOKUP(D24,$H$4:$I$70,2,0),"")</f>
        <v>94</v>
      </c>
      <c r="F24" s="9">
        <f>IFERROR(VLOOKUP(C24,$H$4:$I$70,2,0),"")</f>
        <v>468</v>
      </c>
      <c r="H24" s="24">
        <v>21</v>
      </c>
      <c r="I24" s="24">
        <v>468</v>
      </c>
      <c r="K24" s="58">
        <v>478</v>
      </c>
      <c r="L24" s="24">
        <f>IF(IFERROR(INDEX($K$4:$K$85, MATCH(0, INDEX(COUNTIF($L$3:L23, $K$4:$K$85), 0, 0), 0)), "")=0,"",IFERROR(INDEX($K$4:$K$85, MATCH(0, INDEX(COUNTIF($L$3:L23, $K$4:$K$85), 0, 0), 0)), ""))</f>
        <v>468</v>
      </c>
    </row>
    <row r="25" spans="2:12" x14ac:dyDescent="0.2">
      <c r="B25" s="13">
        <f t="shared" si="0"/>
        <v>22</v>
      </c>
      <c r="C25" s="8">
        <f t="shared" si="3"/>
        <v>22</v>
      </c>
      <c r="D25" s="8">
        <f t="shared" si="4"/>
        <v>67</v>
      </c>
      <c r="E25" s="8">
        <f>IFERROR(VLOOKUP(D25,$H$4:$I$70,2,0),"")</f>
        <v>94</v>
      </c>
      <c r="F25" s="9">
        <f>IFERROR(VLOOKUP(C25,$H$4:$I$70,2,0),"")</f>
        <v>457</v>
      </c>
      <c r="H25" s="24">
        <v>22</v>
      </c>
      <c r="I25" s="24">
        <v>457</v>
      </c>
      <c r="K25" s="58">
        <v>474</v>
      </c>
      <c r="L25" s="24">
        <f>IF(IFERROR(INDEX($K$4:$K$85, MATCH(0, INDEX(COUNTIF($L$3:L24, $K$4:$K$85), 0, 0), 0)), "")=0,"",IFERROR(INDEX($K$4:$K$85, MATCH(0, INDEX(COUNTIF($L$3:L24, $K$4:$K$85), 0, 0), 0)), ""))</f>
        <v>457</v>
      </c>
    </row>
    <row r="26" spans="2:12" x14ac:dyDescent="0.2">
      <c r="B26" s="13">
        <f t="shared" si="0"/>
        <v>23</v>
      </c>
      <c r="C26" s="8">
        <f t="shared" si="3"/>
        <v>23</v>
      </c>
      <c r="D26" s="8">
        <f t="shared" si="4"/>
        <v>67</v>
      </c>
      <c r="E26" s="8">
        <f>IFERROR(VLOOKUP(D26,$H$4:$I$70,2,0),"")</f>
        <v>94</v>
      </c>
      <c r="F26" s="9">
        <f>IFERROR(VLOOKUP(C26,$H$4:$I$70,2,0),"")</f>
        <v>452</v>
      </c>
      <c r="H26" s="24">
        <v>23</v>
      </c>
      <c r="I26" s="24">
        <v>452</v>
      </c>
      <c r="K26" s="58">
        <v>468</v>
      </c>
      <c r="L26" s="24">
        <f>IF(IFERROR(INDEX($K$4:$K$85, MATCH(0, INDEX(COUNTIF($L$3:L25, $K$4:$K$85), 0, 0), 0)), "")=0,"",IFERROR(INDEX($K$4:$K$85, MATCH(0, INDEX(COUNTIF($L$3:L25, $K$4:$K$85), 0, 0), 0)), ""))</f>
        <v>452</v>
      </c>
    </row>
    <row r="27" spans="2:12" x14ac:dyDescent="0.2">
      <c r="B27" s="13">
        <f t="shared" si="0"/>
        <v>24</v>
      </c>
      <c r="C27" s="8">
        <f t="shared" si="3"/>
        <v>24</v>
      </c>
      <c r="D27" s="8">
        <f t="shared" si="4"/>
        <v>67</v>
      </c>
      <c r="E27" s="8">
        <f>IFERROR(VLOOKUP(D27,$H$4:$I$70,2,0),"")</f>
        <v>94</v>
      </c>
      <c r="F27" s="9">
        <f>IFERROR(VLOOKUP(C27,$H$4:$I$70,2,0),"")</f>
        <v>442</v>
      </c>
      <c r="H27" s="24">
        <v>24</v>
      </c>
      <c r="I27" s="24">
        <v>442</v>
      </c>
      <c r="K27" s="58">
        <v>457</v>
      </c>
      <c r="L27" s="24">
        <f>IF(IFERROR(INDEX($K$4:$K$85, MATCH(0, INDEX(COUNTIF($L$3:L26, $K$4:$K$85), 0, 0), 0)), "")=0,"",IFERROR(INDEX($K$4:$K$85, MATCH(0, INDEX(COUNTIF($L$3:L26, $K$4:$K$85), 0, 0), 0)), ""))</f>
        <v>442</v>
      </c>
    </row>
    <row r="28" spans="2:12" x14ac:dyDescent="0.2">
      <c r="B28" s="13">
        <f t="shared" si="0"/>
        <v>25</v>
      </c>
      <c r="C28" s="8">
        <f t="shared" si="3"/>
        <v>25</v>
      </c>
      <c r="D28" s="8">
        <f t="shared" si="4"/>
        <v>67</v>
      </c>
      <c r="E28" s="8">
        <f>IFERROR(VLOOKUP(D28,$H$4:$I$70,2,0),"")</f>
        <v>94</v>
      </c>
      <c r="F28" s="9">
        <f>IFERROR(VLOOKUP(C28,$H$4:$I$70,2,0),"")</f>
        <v>420</v>
      </c>
      <c r="H28" s="24">
        <v>25</v>
      </c>
      <c r="I28" s="24">
        <v>420</v>
      </c>
      <c r="K28" s="58">
        <v>452</v>
      </c>
      <c r="L28" s="24">
        <f>IF(IFERROR(INDEX($K$4:$K$85, MATCH(0, INDEX(COUNTIF($L$3:L27, $K$4:$K$85), 0, 0), 0)), "")=0,"",IFERROR(INDEX($K$4:$K$85, MATCH(0, INDEX(COUNTIF($L$3:L27, $K$4:$K$85), 0, 0), 0)), ""))</f>
        <v>420</v>
      </c>
    </row>
    <row r="29" spans="2:12" x14ac:dyDescent="0.2">
      <c r="B29" s="13">
        <f t="shared" si="0"/>
        <v>26</v>
      </c>
      <c r="C29" s="8">
        <f t="shared" si="3"/>
        <v>26</v>
      </c>
      <c r="D29" s="8">
        <f t="shared" si="4"/>
        <v>67</v>
      </c>
      <c r="E29" s="8">
        <f>IFERROR(VLOOKUP(D29,$H$4:$I$70,2,0),"")</f>
        <v>94</v>
      </c>
      <c r="F29" s="9">
        <f>IFERROR(VLOOKUP(C29,$H$4:$I$70,2,0),"")</f>
        <v>410</v>
      </c>
      <c r="H29" s="24">
        <v>26</v>
      </c>
      <c r="I29" s="24">
        <v>410</v>
      </c>
      <c r="K29" s="58">
        <v>452</v>
      </c>
      <c r="L29" s="24">
        <f>IF(IFERROR(INDEX($K$4:$K$85, MATCH(0, INDEX(COUNTIF($L$3:L28, $K$4:$K$85), 0, 0), 0)), "")=0,"",IFERROR(INDEX($K$4:$K$85, MATCH(0, INDEX(COUNTIF($L$3:L28, $K$4:$K$85), 0, 0), 0)), ""))</f>
        <v>410</v>
      </c>
    </row>
    <row r="30" spans="2:12" x14ac:dyDescent="0.2">
      <c r="B30" s="13">
        <f t="shared" si="0"/>
        <v>27</v>
      </c>
      <c r="C30" s="8">
        <f t="shared" si="3"/>
        <v>27</v>
      </c>
      <c r="D30" s="8">
        <f t="shared" si="4"/>
        <v>67</v>
      </c>
      <c r="E30" s="8">
        <f>IFERROR(VLOOKUP(D30,$H$4:$I$70,2,0),"")</f>
        <v>94</v>
      </c>
      <c r="F30" s="9">
        <f>IFERROR(VLOOKUP(C30,$H$4:$I$70,2,0),"")</f>
        <v>409</v>
      </c>
      <c r="H30" s="24">
        <v>27</v>
      </c>
      <c r="I30" s="24">
        <v>409</v>
      </c>
      <c r="K30" s="58">
        <v>452</v>
      </c>
      <c r="L30" s="24">
        <f>IF(IFERROR(INDEX($K$4:$K$85, MATCH(0, INDEX(COUNTIF($L$3:L29, $K$4:$K$85), 0, 0), 0)), "")=0,"",IFERROR(INDEX($K$4:$K$85, MATCH(0, INDEX(COUNTIF($L$3:L29, $K$4:$K$85), 0, 0), 0)), ""))</f>
        <v>409</v>
      </c>
    </row>
    <row r="31" spans="2:12" x14ac:dyDescent="0.2">
      <c r="B31" s="13">
        <f t="shared" si="0"/>
        <v>28</v>
      </c>
      <c r="C31" s="8">
        <f t="shared" si="3"/>
        <v>28</v>
      </c>
      <c r="D31" s="8">
        <f t="shared" si="4"/>
        <v>67</v>
      </c>
      <c r="E31" s="8">
        <f>IFERROR(VLOOKUP(D31,$H$4:$I$70,2,0),"")</f>
        <v>94</v>
      </c>
      <c r="F31" s="9">
        <f>IFERROR(VLOOKUP(C31,$H$4:$I$70,2,0),"")</f>
        <v>408</v>
      </c>
      <c r="H31" s="24">
        <v>28</v>
      </c>
      <c r="I31" s="24">
        <v>408</v>
      </c>
      <c r="K31" s="58">
        <v>442</v>
      </c>
      <c r="L31" s="24">
        <f>IF(IFERROR(INDEX($K$4:$K$85, MATCH(0, INDEX(COUNTIF($L$3:L30, $K$4:$K$85), 0, 0), 0)), "")=0,"",IFERROR(INDEX($K$4:$K$85, MATCH(0, INDEX(COUNTIF($L$3:L30, $K$4:$K$85), 0, 0), 0)), ""))</f>
        <v>408</v>
      </c>
    </row>
    <row r="32" spans="2:12" x14ac:dyDescent="0.2">
      <c r="B32" s="13">
        <f t="shared" si="0"/>
        <v>29</v>
      </c>
      <c r="C32" s="8">
        <f t="shared" si="3"/>
        <v>29</v>
      </c>
      <c r="D32" s="8">
        <f t="shared" si="4"/>
        <v>67</v>
      </c>
      <c r="E32" s="8">
        <f>IFERROR(VLOOKUP(D32,$H$4:$I$70,2,0),"")</f>
        <v>94</v>
      </c>
      <c r="F32" s="9">
        <f>IFERROR(VLOOKUP(C32,$H$4:$I$70,2,0),"")</f>
        <v>404</v>
      </c>
      <c r="H32" s="24">
        <v>29</v>
      </c>
      <c r="I32" s="24">
        <v>404</v>
      </c>
      <c r="K32" s="58">
        <v>420</v>
      </c>
      <c r="L32" s="24">
        <f>IF(IFERROR(INDEX($K$4:$K$85, MATCH(0, INDEX(COUNTIF($L$3:L31, $K$4:$K$85), 0, 0), 0)), "")=0,"",IFERROR(INDEX($K$4:$K$85, MATCH(0, INDEX(COUNTIF($L$3:L31, $K$4:$K$85), 0, 0), 0)), ""))</f>
        <v>404</v>
      </c>
    </row>
    <row r="33" spans="2:12" x14ac:dyDescent="0.2">
      <c r="B33" s="13">
        <f t="shared" si="0"/>
        <v>30</v>
      </c>
      <c r="C33" s="8">
        <f t="shared" si="3"/>
        <v>30</v>
      </c>
      <c r="D33" s="8">
        <f t="shared" si="4"/>
        <v>67</v>
      </c>
      <c r="E33" s="8">
        <f>IFERROR(VLOOKUP(D33,$H$4:$I$70,2,0),"")</f>
        <v>94</v>
      </c>
      <c r="F33" s="9">
        <f>IFERROR(VLOOKUP(C33,$H$4:$I$70,2,0),"")</f>
        <v>399</v>
      </c>
      <c r="H33" s="24">
        <v>30</v>
      </c>
      <c r="I33" s="24">
        <v>399</v>
      </c>
      <c r="K33" s="58">
        <v>420</v>
      </c>
      <c r="L33" s="24">
        <f>IF(IFERROR(INDEX($K$4:$K$85, MATCH(0, INDEX(COUNTIF($L$3:L32, $K$4:$K$85), 0, 0), 0)), "")=0,"",IFERROR(INDEX($K$4:$K$85, MATCH(0, INDEX(COUNTIF($L$3:L32, $K$4:$K$85), 0, 0), 0)), ""))</f>
        <v>399</v>
      </c>
    </row>
    <row r="34" spans="2:12" x14ac:dyDescent="0.2">
      <c r="B34" s="13">
        <f t="shared" si="0"/>
        <v>31</v>
      </c>
      <c r="C34" s="8">
        <f t="shared" si="3"/>
        <v>31</v>
      </c>
      <c r="D34" s="8">
        <f t="shared" si="4"/>
        <v>67</v>
      </c>
      <c r="E34" s="8">
        <f>IFERROR(VLOOKUP(D34,$H$4:$I$70,2,0),"")</f>
        <v>94</v>
      </c>
      <c r="F34" s="9">
        <f>IFERROR(VLOOKUP(C34,$H$4:$I$70,2,0),"")</f>
        <v>396</v>
      </c>
      <c r="H34" s="24">
        <v>31</v>
      </c>
      <c r="I34" s="24">
        <v>396</v>
      </c>
      <c r="K34" s="58">
        <v>410</v>
      </c>
      <c r="L34" s="24">
        <f>IF(IFERROR(INDEX($K$4:$K$85, MATCH(0, INDEX(COUNTIF($L$3:L33, $K$4:$K$85), 0, 0), 0)), "")=0,"",IFERROR(INDEX($K$4:$K$85, MATCH(0, INDEX(COUNTIF($L$3:L33, $K$4:$K$85), 0, 0), 0)), ""))</f>
        <v>396</v>
      </c>
    </row>
    <row r="35" spans="2:12" x14ac:dyDescent="0.2">
      <c r="B35" s="13">
        <f t="shared" si="0"/>
        <v>32</v>
      </c>
      <c r="C35" s="8">
        <f t="shared" si="3"/>
        <v>32</v>
      </c>
      <c r="D35" s="8">
        <f t="shared" si="4"/>
        <v>67</v>
      </c>
      <c r="E35" s="8">
        <f>IFERROR(VLOOKUP(D35,$H$4:$I$70,2,0),"")</f>
        <v>94</v>
      </c>
      <c r="F35" s="9">
        <f>IFERROR(VLOOKUP(C35,$H$4:$I$70,2,0),"")</f>
        <v>384</v>
      </c>
      <c r="H35" s="24">
        <v>32</v>
      </c>
      <c r="I35" s="24">
        <v>384</v>
      </c>
      <c r="K35" s="58">
        <v>410</v>
      </c>
      <c r="L35" s="24">
        <f>IF(IFERROR(INDEX($K$4:$K$85, MATCH(0, INDEX(COUNTIF($L$3:L34, $K$4:$K$85), 0, 0), 0)), "")=0,"",IFERROR(INDEX($K$4:$K$85, MATCH(0, INDEX(COUNTIF($L$3:L34, $K$4:$K$85), 0, 0), 0)), ""))</f>
        <v>384</v>
      </c>
    </row>
    <row r="36" spans="2:12" x14ac:dyDescent="0.2">
      <c r="B36" s="13">
        <f t="shared" si="0"/>
        <v>33</v>
      </c>
      <c r="C36" s="8">
        <f t="shared" si="3"/>
        <v>33</v>
      </c>
      <c r="D36" s="8">
        <f t="shared" si="4"/>
        <v>67</v>
      </c>
      <c r="E36" s="8">
        <f>IFERROR(VLOOKUP(D36,$H$4:$I$70,2,0),"")</f>
        <v>94</v>
      </c>
      <c r="F36" s="9">
        <f>IFERROR(VLOOKUP(C36,$H$4:$I$70,2,0),"")</f>
        <v>381</v>
      </c>
      <c r="H36" s="24">
        <v>33</v>
      </c>
      <c r="I36" s="24">
        <v>381</v>
      </c>
      <c r="K36" s="58">
        <v>409</v>
      </c>
      <c r="L36" s="24">
        <f>IF(IFERROR(INDEX($K$4:$K$85, MATCH(0, INDEX(COUNTIF($L$3:L35, $K$4:$K$85), 0, 0), 0)), "")=0,"",IFERROR(INDEX($K$4:$K$85, MATCH(0, INDEX(COUNTIF($L$3:L35, $K$4:$K$85), 0, 0), 0)), ""))</f>
        <v>381</v>
      </c>
    </row>
    <row r="37" spans="2:12" x14ac:dyDescent="0.2">
      <c r="B37" s="13">
        <f t="shared" si="0"/>
        <v>34</v>
      </c>
      <c r="C37" s="8">
        <f t="shared" si="3"/>
        <v>34</v>
      </c>
      <c r="D37" s="8">
        <f t="shared" si="4"/>
        <v>67</v>
      </c>
      <c r="E37" s="8">
        <f>IFERROR(VLOOKUP(D37,$H$4:$I$70,2,0),"")</f>
        <v>94</v>
      </c>
      <c r="F37" s="9">
        <f>IFERROR(VLOOKUP(C37,$H$4:$I$70,2,0),"")</f>
        <v>376</v>
      </c>
      <c r="H37" s="24">
        <v>34</v>
      </c>
      <c r="I37" s="24">
        <v>376</v>
      </c>
      <c r="K37" s="58">
        <v>408</v>
      </c>
      <c r="L37" s="24">
        <f>IF(IFERROR(INDEX($K$4:$K$85, MATCH(0, INDEX(COUNTIF($L$3:L36, $K$4:$K$85), 0, 0), 0)), "")=0,"",IFERROR(INDEX($K$4:$K$85, MATCH(0, INDEX(COUNTIF($L$3:L36, $K$4:$K$85), 0, 0), 0)), ""))</f>
        <v>376</v>
      </c>
    </row>
    <row r="38" spans="2:12" x14ac:dyDescent="0.2">
      <c r="B38" s="13">
        <f t="shared" si="0"/>
        <v>35</v>
      </c>
      <c r="C38" s="8">
        <f t="shared" si="3"/>
        <v>35</v>
      </c>
      <c r="D38" s="8">
        <f t="shared" si="4"/>
        <v>67</v>
      </c>
      <c r="E38" s="8">
        <f>IFERROR(VLOOKUP(D38,$H$4:$I$70,2,0),"")</f>
        <v>94</v>
      </c>
      <c r="F38" s="9">
        <f>IFERROR(VLOOKUP(C38,$H$4:$I$70,2,0),"")</f>
        <v>370</v>
      </c>
      <c r="H38" s="24">
        <v>35</v>
      </c>
      <c r="I38" s="24">
        <v>370</v>
      </c>
      <c r="K38" s="58">
        <v>404</v>
      </c>
      <c r="L38" s="24">
        <f>IF(IFERROR(INDEX($K$4:$K$85, MATCH(0, INDEX(COUNTIF($L$3:L37, $K$4:$K$85), 0, 0), 0)), "")=0,"",IFERROR(INDEX($K$4:$K$85, MATCH(0, INDEX(COUNTIF($L$3:L37, $K$4:$K$85), 0, 0), 0)), ""))</f>
        <v>370</v>
      </c>
    </row>
    <row r="39" spans="2:12" x14ac:dyDescent="0.2">
      <c r="B39" s="13">
        <f t="shared" si="0"/>
        <v>36</v>
      </c>
      <c r="C39" s="8">
        <f t="shared" si="3"/>
        <v>36</v>
      </c>
      <c r="D39" s="8">
        <f t="shared" si="4"/>
        <v>67</v>
      </c>
      <c r="E39" s="8">
        <f>IFERROR(VLOOKUP(D39,$H$4:$I$70,2,0),"")</f>
        <v>94</v>
      </c>
      <c r="F39" s="9">
        <f>IFERROR(VLOOKUP(C39,$H$4:$I$70,2,0),"")</f>
        <v>362</v>
      </c>
      <c r="H39" s="24">
        <v>36</v>
      </c>
      <c r="I39" s="24">
        <v>362</v>
      </c>
      <c r="K39" s="58">
        <v>399</v>
      </c>
      <c r="L39" s="24">
        <f>IF(IFERROR(INDEX($K$4:$K$85, MATCH(0, INDEX(COUNTIF($L$3:L38, $K$4:$K$85), 0, 0), 0)), "")=0,"",IFERROR(INDEX($K$4:$K$85, MATCH(0, INDEX(COUNTIF($L$3:L38, $K$4:$K$85), 0, 0), 0)), ""))</f>
        <v>362</v>
      </c>
    </row>
    <row r="40" spans="2:12" x14ac:dyDescent="0.2">
      <c r="B40" s="13">
        <f t="shared" si="0"/>
        <v>37</v>
      </c>
      <c r="C40" s="8">
        <f t="shared" si="3"/>
        <v>37</v>
      </c>
      <c r="D40" s="8">
        <f t="shared" si="4"/>
        <v>67</v>
      </c>
      <c r="E40" s="8">
        <f>IFERROR(VLOOKUP(D40,$H$4:$I$70,2,0),"")</f>
        <v>94</v>
      </c>
      <c r="F40" s="9">
        <f>IFERROR(VLOOKUP(C40,$H$4:$I$70,2,0),"")</f>
        <v>357</v>
      </c>
      <c r="H40" s="24">
        <v>37</v>
      </c>
      <c r="I40" s="24">
        <v>357</v>
      </c>
      <c r="K40" s="58">
        <v>396</v>
      </c>
      <c r="L40" s="24">
        <f>IF(IFERROR(INDEX($K$4:$K$85, MATCH(0, INDEX(COUNTIF($L$3:L39, $K$4:$K$85), 0, 0), 0)), "")=0,"",IFERROR(INDEX($K$4:$K$85, MATCH(0, INDEX(COUNTIF($L$3:L39, $K$4:$K$85), 0, 0), 0)), ""))</f>
        <v>357</v>
      </c>
    </row>
    <row r="41" spans="2:12" x14ac:dyDescent="0.2">
      <c r="B41" s="13">
        <f t="shared" si="0"/>
        <v>38</v>
      </c>
      <c r="C41" s="8">
        <f t="shared" si="3"/>
        <v>38</v>
      </c>
      <c r="D41" s="8">
        <f t="shared" si="4"/>
        <v>67</v>
      </c>
      <c r="E41" s="8">
        <f>IFERROR(VLOOKUP(D41,$H$4:$I$70,2,0),"")</f>
        <v>94</v>
      </c>
      <c r="F41" s="9">
        <f>IFERROR(VLOOKUP(C41,$H$4:$I$70,2,0),"")</f>
        <v>351</v>
      </c>
      <c r="H41" s="24">
        <v>38</v>
      </c>
      <c r="I41" s="24">
        <v>351</v>
      </c>
      <c r="K41" s="58">
        <v>384</v>
      </c>
      <c r="L41" s="24">
        <f>IF(IFERROR(INDEX($K$4:$K$85, MATCH(0, INDEX(COUNTIF($L$3:L40, $K$4:$K$85), 0, 0), 0)), "")=0,"",IFERROR(INDEX($K$4:$K$85, MATCH(0, INDEX(COUNTIF($L$3:L40, $K$4:$K$85), 0, 0), 0)), ""))</f>
        <v>351</v>
      </c>
    </row>
    <row r="42" spans="2:12" x14ac:dyDescent="0.2">
      <c r="B42" s="13">
        <f t="shared" si="0"/>
        <v>39</v>
      </c>
      <c r="C42" s="8">
        <f t="shared" si="3"/>
        <v>39</v>
      </c>
      <c r="D42" s="8">
        <f t="shared" si="4"/>
        <v>67</v>
      </c>
      <c r="E42" s="8">
        <f>IFERROR(VLOOKUP(D42,$H$4:$I$70,2,0),"")</f>
        <v>94</v>
      </c>
      <c r="F42" s="9">
        <f>IFERROR(VLOOKUP(C42,$H$4:$I$70,2,0),"")</f>
        <v>339</v>
      </c>
      <c r="H42" s="24">
        <v>39</v>
      </c>
      <c r="I42" s="24">
        <v>339</v>
      </c>
      <c r="K42" s="58">
        <v>384</v>
      </c>
      <c r="L42" s="24">
        <f>IF(IFERROR(INDEX($K$4:$K$85, MATCH(0, INDEX(COUNTIF($L$3:L41, $K$4:$K$85), 0, 0), 0)), "")=0,"",IFERROR(INDEX($K$4:$K$85, MATCH(0, INDEX(COUNTIF($L$3:L41, $K$4:$K$85), 0, 0), 0)), ""))</f>
        <v>339</v>
      </c>
    </row>
    <row r="43" spans="2:12" x14ac:dyDescent="0.2">
      <c r="B43" s="13">
        <f t="shared" si="0"/>
        <v>40</v>
      </c>
      <c r="C43" s="8">
        <f t="shared" si="3"/>
        <v>40</v>
      </c>
      <c r="D43" s="8">
        <f t="shared" si="4"/>
        <v>67</v>
      </c>
      <c r="E43" s="8">
        <f>IFERROR(VLOOKUP(D43,$H$4:$I$70,2,0),"")</f>
        <v>94</v>
      </c>
      <c r="F43" s="9">
        <f>IFERROR(VLOOKUP(C43,$H$4:$I$70,2,0),"")</f>
        <v>304</v>
      </c>
      <c r="H43" s="24">
        <v>40</v>
      </c>
      <c r="I43" s="24">
        <v>304</v>
      </c>
      <c r="K43" s="58">
        <v>381</v>
      </c>
      <c r="L43" s="24">
        <f>IF(IFERROR(INDEX($K$4:$K$85, MATCH(0, INDEX(COUNTIF($L$3:L42, $K$4:$K$85), 0, 0), 0)), "")=0,"",IFERROR(INDEX($K$4:$K$85, MATCH(0, INDEX(COUNTIF($L$3:L42, $K$4:$K$85), 0, 0), 0)), ""))</f>
        <v>304</v>
      </c>
    </row>
    <row r="44" spans="2:12" x14ac:dyDescent="0.2">
      <c r="B44" s="13">
        <f t="shared" si="0"/>
        <v>41</v>
      </c>
      <c r="C44" s="8">
        <f t="shared" si="3"/>
        <v>41</v>
      </c>
      <c r="D44" s="8">
        <f t="shared" si="4"/>
        <v>67</v>
      </c>
      <c r="E44" s="8">
        <f>IFERROR(VLOOKUP(D44,$H$4:$I$70,2,0),"")</f>
        <v>94</v>
      </c>
      <c r="F44" s="9">
        <f>IFERROR(VLOOKUP(C44,$H$4:$I$70,2,0),"")</f>
        <v>301</v>
      </c>
      <c r="H44" s="24">
        <v>41</v>
      </c>
      <c r="I44" s="24">
        <v>301</v>
      </c>
      <c r="K44" s="58">
        <v>376</v>
      </c>
      <c r="L44" s="24">
        <f>IF(IFERROR(INDEX($K$4:$K$85, MATCH(0, INDEX(COUNTIF($L$3:L43, $K$4:$K$85), 0, 0), 0)), "")=0,"",IFERROR(INDEX($K$4:$K$85, MATCH(0, INDEX(COUNTIF($L$3:L43, $K$4:$K$85), 0, 0), 0)), ""))</f>
        <v>301</v>
      </c>
    </row>
    <row r="45" spans="2:12" x14ac:dyDescent="0.2">
      <c r="B45" s="13">
        <f t="shared" si="0"/>
        <v>42</v>
      </c>
      <c r="C45" s="8">
        <f t="shared" si="3"/>
        <v>42</v>
      </c>
      <c r="D45" s="8">
        <f t="shared" si="4"/>
        <v>67</v>
      </c>
      <c r="E45" s="8">
        <f>IFERROR(VLOOKUP(D45,$H$4:$I$70,2,0),"")</f>
        <v>94</v>
      </c>
      <c r="F45" s="9">
        <f>IFERROR(VLOOKUP(C45,$H$4:$I$70,2,0),"")</f>
        <v>300</v>
      </c>
      <c r="H45" s="24">
        <v>42</v>
      </c>
      <c r="I45" s="24">
        <v>300</v>
      </c>
      <c r="K45" s="58">
        <v>376</v>
      </c>
      <c r="L45" s="24">
        <f>IF(IFERROR(INDEX($K$4:$K$85, MATCH(0, INDEX(COUNTIF($L$3:L44, $K$4:$K$85), 0, 0), 0)), "")=0,"",IFERROR(INDEX($K$4:$K$85, MATCH(0, INDEX(COUNTIF($L$3:L44, $K$4:$K$85), 0, 0), 0)), ""))</f>
        <v>300</v>
      </c>
    </row>
    <row r="46" spans="2:12" x14ac:dyDescent="0.2">
      <c r="B46" s="13">
        <f t="shared" si="0"/>
        <v>43</v>
      </c>
      <c r="C46" s="8">
        <f t="shared" si="3"/>
        <v>43</v>
      </c>
      <c r="D46" s="8">
        <f t="shared" si="4"/>
        <v>67</v>
      </c>
      <c r="E46" s="8">
        <f>IFERROR(VLOOKUP(D46,$H$4:$I$70,2,0),"")</f>
        <v>94</v>
      </c>
      <c r="F46" s="9">
        <f>IFERROR(VLOOKUP(C46,$H$4:$I$70,2,0),"")</f>
        <v>288</v>
      </c>
      <c r="H46" s="24">
        <v>43</v>
      </c>
      <c r="I46" s="24">
        <v>288</v>
      </c>
      <c r="K46" s="58">
        <v>370</v>
      </c>
      <c r="L46" s="24">
        <f>IF(IFERROR(INDEX($K$4:$K$85, MATCH(0, INDEX(COUNTIF($L$3:L45, $K$4:$K$85), 0, 0), 0)), "")=0,"",IFERROR(INDEX($K$4:$K$85, MATCH(0, INDEX(COUNTIF($L$3:L45, $K$4:$K$85), 0, 0), 0)), ""))</f>
        <v>288</v>
      </c>
    </row>
    <row r="47" spans="2:12" x14ac:dyDescent="0.2">
      <c r="B47" s="13">
        <f t="shared" si="0"/>
        <v>44</v>
      </c>
      <c r="C47" s="8">
        <f t="shared" si="3"/>
        <v>44</v>
      </c>
      <c r="D47" s="8">
        <f t="shared" si="4"/>
        <v>67</v>
      </c>
      <c r="E47" s="8">
        <f>IFERROR(VLOOKUP(D47,$H$4:$I$70,2,0),"")</f>
        <v>94</v>
      </c>
      <c r="F47" s="9">
        <f>IFERROR(VLOOKUP(C47,$H$4:$I$70,2,0),"")</f>
        <v>273</v>
      </c>
      <c r="H47" s="24">
        <v>44</v>
      </c>
      <c r="I47" s="24">
        <v>273</v>
      </c>
      <c r="K47" s="58">
        <v>370</v>
      </c>
      <c r="L47" s="24">
        <f>IF(IFERROR(INDEX($K$4:$K$85, MATCH(0, INDEX(COUNTIF($L$3:L46, $K$4:$K$85), 0, 0), 0)), "")=0,"",IFERROR(INDEX($K$4:$K$85, MATCH(0, INDEX(COUNTIF($L$3:L46, $K$4:$K$85), 0, 0), 0)), ""))</f>
        <v>273</v>
      </c>
    </row>
    <row r="48" spans="2:12" x14ac:dyDescent="0.2">
      <c r="B48" s="13">
        <f t="shared" si="0"/>
        <v>45</v>
      </c>
      <c r="C48" s="8">
        <f t="shared" si="3"/>
        <v>45</v>
      </c>
      <c r="D48" s="8">
        <f t="shared" si="4"/>
        <v>67</v>
      </c>
      <c r="E48" s="8">
        <f>IFERROR(VLOOKUP(D48,$H$4:$I$70,2,0),"")</f>
        <v>94</v>
      </c>
      <c r="F48" s="9">
        <f>IFERROR(VLOOKUP(C48,$H$4:$I$70,2,0),"")</f>
        <v>268</v>
      </c>
      <c r="H48" s="24">
        <v>45</v>
      </c>
      <c r="I48" s="24">
        <v>268</v>
      </c>
      <c r="K48" s="58">
        <v>362</v>
      </c>
      <c r="L48" s="24">
        <f>IF(IFERROR(INDEX($K$4:$K$85, MATCH(0, INDEX(COUNTIF($L$3:L47, $K$4:$K$85), 0, 0), 0)), "")=0,"",IFERROR(INDEX($K$4:$K$85, MATCH(0, INDEX(COUNTIF($L$3:L47, $K$4:$K$85), 0, 0), 0)), ""))</f>
        <v>268</v>
      </c>
    </row>
    <row r="49" spans="2:12" x14ac:dyDescent="0.2">
      <c r="B49" s="13">
        <f t="shared" si="0"/>
        <v>46</v>
      </c>
      <c r="C49" s="8">
        <f t="shared" si="3"/>
        <v>46</v>
      </c>
      <c r="D49" s="8">
        <f t="shared" si="4"/>
        <v>67</v>
      </c>
      <c r="E49" s="8">
        <f>IFERROR(VLOOKUP(D49,$H$4:$I$70,2,0),"")</f>
        <v>94</v>
      </c>
      <c r="F49" s="9">
        <f>IFERROR(VLOOKUP(C49,$H$4:$I$70,2,0),"")</f>
        <v>262</v>
      </c>
      <c r="H49" s="24">
        <v>46</v>
      </c>
      <c r="I49" s="24">
        <v>262</v>
      </c>
      <c r="K49" s="58">
        <v>357</v>
      </c>
      <c r="L49" s="24">
        <f>IF(IFERROR(INDEX($K$4:$K$85, MATCH(0, INDEX(COUNTIF($L$3:L48, $K$4:$K$85), 0, 0), 0)), "")=0,"",IFERROR(INDEX($K$4:$K$85, MATCH(0, INDEX(COUNTIF($L$3:L48, $K$4:$K$85), 0, 0), 0)), ""))</f>
        <v>262</v>
      </c>
    </row>
    <row r="50" spans="2:12" x14ac:dyDescent="0.2">
      <c r="B50" s="13">
        <f t="shared" si="0"/>
        <v>47</v>
      </c>
      <c r="C50" s="8">
        <f t="shared" si="3"/>
        <v>47</v>
      </c>
      <c r="D50" s="8">
        <f t="shared" si="4"/>
        <v>67</v>
      </c>
      <c r="E50" s="8">
        <f>IFERROR(VLOOKUP(D50,$H$4:$I$70,2,0),"")</f>
        <v>94</v>
      </c>
      <c r="F50" s="9">
        <f>IFERROR(VLOOKUP(C50,$H$4:$I$70,2,0),"")</f>
        <v>248</v>
      </c>
      <c r="H50" s="24">
        <v>47</v>
      </c>
      <c r="I50" s="24">
        <v>248</v>
      </c>
      <c r="K50" s="58">
        <v>351</v>
      </c>
      <c r="L50" s="24">
        <f>IF(IFERROR(INDEX($K$4:$K$85, MATCH(0, INDEX(COUNTIF($L$3:L49, $K$4:$K$85), 0, 0), 0)), "")=0,"",IFERROR(INDEX($K$4:$K$85, MATCH(0, INDEX(COUNTIF($L$3:L49, $K$4:$K$85), 0, 0), 0)), ""))</f>
        <v>248</v>
      </c>
    </row>
    <row r="51" spans="2:12" x14ac:dyDescent="0.2">
      <c r="B51" s="13">
        <f t="shared" si="0"/>
        <v>48</v>
      </c>
      <c r="C51" s="8">
        <f t="shared" si="3"/>
        <v>48</v>
      </c>
      <c r="D51" s="8">
        <f t="shared" si="4"/>
        <v>67</v>
      </c>
      <c r="E51" s="8">
        <f>IFERROR(VLOOKUP(D51,$H$4:$I$70,2,0),"")</f>
        <v>94</v>
      </c>
      <c r="F51" s="9">
        <f>IFERROR(VLOOKUP(C51,$H$4:$I$70,2,0),"")</f>
        <v>246</v>
      </c>
      <c r="H51" s="24">
        <v>48</v>
      </c>
      <c r="I51" s="24">
        <v>246</v>
      </c>
      <c r="K51" s="58">
        <v>339</v>
      </c>
      <c r="L51" s="24">
        <f>IF(IFERROR(INDEX($K$4:$K$85, MATCH(0, INDEX(COUNTIF($L$3:L50, $K$4:$K$85), 0, 0), 0)), "")=0,"",IFERROR(INDEX($K$4:$K$85, MATCH(0, INDEX(COUNTIF($L$3:L50, $K$4:$K$85), 0, 0), 0)), ""))</f>
        <v>246</v>
      </c>
    </row>
    <row r="52" spans="2:12" x14ac:dyDescent="0.2">
      <c r="B52" s="13">
        <f t="shared" si="0"/>
        <v>49</v>
      </c>
      <c r="C52" s="8">
        <f t="shared" si="3"/>
        <v>49</v>
      </c>
      <c r="D52" s="8">
        <f t="shared" si="4"/>
        <v>67</v>
      </c>
      <c r="E52" s="8">
        <f>IFERROR(VLOOKUP(D52,$H$4:$I$70,2,0),"")</f>
        <v>94</v>
      </c>
      <c r="F52" s="9">
        <f>IFERROR(VLOOKUP(C52,$H$4:$I$70,2,0),"")</f>
        <v>236</v>
      </c>
      <c r="H52" s="24">
        <v>49</v>
      </c>
      <c r="I52" s="24">
        <v>236</v>
      </c>
      <c r="K52" s="58">
        <v>304</v>
      </c>
      <c r="L52" s="24">
        <f>IF(IFERROR(INDEX($K$4:$K$85, MATCH(0, INDEX(COUNTIF($L$3:L51, $K$4:$K$85), 0, 0), 0)), "")=0,"",IFERROR(INDEX($K$4:$K$85, MATCH(0, INDEX(COUNTIF($L$3:L51, $K$4:$K$85), 0, 0), 0)), ""))</f>
        <v>236</v>
      </c>
    </row>
    <row r="53" spans="2:12" x14ac:dyDescent="0.2">
      <c r="B53" s="13">
        <f t="shared" si="0"/>
        <v>50</v>
      </c>
      <c r="C53" s="8">
        <f t="shared" si="3"/>
        <v>50</v>
      </c>
      <c r="D53" s="8">
        <f t="shared" si="4"/>
        <v>67</v>
      </c>
      <c r="E53" s="8">
        <f>IFERROR(VLOOKUP(D53,$H$4:$I$70,2,0),"")</f>
        <v>94</v>
      </c>
      <c r="F53" s="9">
        <f>IFERROR(VLOOKUP(C53,$H$4:$I$70,2,0),"")</f>
        <v>231</v>
      </c>
      <c r="H53" s="24">
        <v>50</v>
      </c>
      <c r="I53" s="24">
        <v>231</v>
      </c>
      <c r="K53" s="58">
        <v>301</v>
      </c>
      <c r="L53" s="24">
        <f>IF(IFERROR(INDEX($K$4:$K$85, MATCH(0, INDEX(COUNTIF($L$3:L52, $K$4:$K$85), 0, 0), 0)), "")=0,"",IFERROR(INDEX($K$4:$K$85, MATCH(0, INDEX(COUNTIF($L$3:L52, $K$4:$K$85), 0, 0), 0)), ""))</f>
        <v>231</v>
      </c>
    </row>
    <row r="54" spans="2:12" x14ac:dyDescent="0.2">
      <c r="B54" s="13">
        <f t="shared" si="0"/>
        <v>51</v>
      </c>
      <c r="C54" s="8">
        <f t="shared" si="3"/>
        <v>51</v>
      </c>
      <c r="D54" s="8">
        <f t="shared" si="4"/>
        <v>67</v>
      </c>
      <c r="E54" s="8">
        <f>IFERROR(VLOOKUP(D54,$H$4:$I$70,2,0),"")</f>
        <v>94</v>
      </c>
      <c r="F54" s="9">
        <f>IFERROR(VLOOKUP(C54,$H$4:$I$70,2,0),"")</f>
        <v>227</v>
      </c>
      <c r="H54" s="24">
        <v>51</v>
      </c>
      <c r="I54" s="24">
        <v>227</v>
      </c>
      <c r="K54" s="58">
        <v>300</v>
      </c>
      <c r="L54" s="24">
        <f>IF(IFERROR(INDEX($K$4:$K$85, MATCH(0, INDEX(COUNTIF($L$3:L53, $K$4:$K$85), 0, 0), 0)), "")=0,"",IFERROR(INDEX($K$4:$K$85, MATCH(0, INDEX(COUNTIF($L$3:L53, $K$4:$K$85), 0, 0), 0)), ""))</f>
        <v>227</v>
      </c>
    </row>
    <row r="55" spans="2:12" x14ac:dyDescent="0.2">
      <c r="B55" s="13">
        <f t="shared" si="0"/>
        <v>52</v>
      </c>
      <c r="C55" s="8">
        <f t="shared" si="3"/>
        <v>52</v>
      </c>
      <c r="D55" s="8">
        <f t="shared" si="4"/>
        <v>67</v>
      </c>
      <c r="E55" s="8">
        <f>IFERROR(VLOOKUP(D55,$H$4:$I$70,2,0),"")</f>
        <v>94</v>
      </c>
      <c r="F55" s="9">
        <f>IFERROR(VLOOKUP(C55,$H$4:$I$70,2,0),"")</f>
        <v>224</v>
      </c>
      <c r="H55" s="24">
        <v>52</v>
      </c>
      <c r="I55" s="24">
        <v>224</v>
      </c>
      <c r="K55" s="58">
        <v>288</v>
      </c>
      <c r="L55" s="24">
        <f>IF(IFERROR(INDEX($K$4:$K$85, MATCH(0, INDEX(COUNTIF($L$3:L54, $K$4:$K$85), 0, 0), 0)), "")=0,"",IFERROR(INDEX($K$4:$K$85, MATCH(0, INDEX(COUNTIF($L$3:L54, $K$4:$K$85), 0, 0), 0)), ""))</f>
        <v>224</v>
      </c>
    </row>
    <row r="56" spans="2:12" x14ac:dyDescent="0.2">
      <c r="B56" s="13">
        <f t="shared" si="0"/>
        <v>53</v>
      </c>
      <c r="C56" s="8">
        <f t="shared" si="3"/>
        <v>53</v>
      </c>
      <c r="D56" s="8">
        <f t="shared" si="4"/>
        <v>67</v>
      </c>
      <c r="E56" s="8">
        <f>IFERROR(VLOOKUP(D56,$H$4:$I$70,2,0),"")</f>
        <v>94</v>
      </c>
      <c r="F56" s="9">
        <f>IFERROR(VLOOKUP(C56,$H$4:$I$70,2,0),"")</f>
        <v>217</v>
      </c>
      <c r="H56" s="24">
        <v>53</v>
      </c>
      <c r="I56" s="24">
        <v>217</v>
      </c>
      <c r="K56" s="58">
        <v>273</v>
      </c>
      <c r="L56" s="24">
        <f>IF(IFERROR(INDEX($K$4:$K$85, MATCH(0, INDEX(COUNTIF($L$3:L55, $K$4:$K$85), 0, 0), 0)), "")=0,"",IFERROR(INDEX($K$4:$K$85, MATCH(0, INDEX(COUNTIF($L$3:L55, $K$4:$K$85), 0, 0), 0)), ""))</f>
        <v>217</v>
      </c>
    </row>
    <row r="57" spans="2:12" x14ac:dyDescent="0.2">
      <c r="B57" s="13">
        <f t="shared" si="0"/>
        <v>54</v>
      </c>
      <c r="C57" s="8">
        <f t="shared" si="3"/>
        <v>54</v>
      </c>
      <c r="D57" s="8">
        <f t="shared" si="4"/>
        <v>67</v>
      </c>
      <c r="E57" s="8">
        <f>IFERROR(VLOOKUP(D57,$H$4:$I$70,2,0),"")</f>
        <v>94</v>
      </c>
      <c r="F57" s="9">
        <f>IFERROR(VLOOKUP(C57,$H$4:$I$70,2,0),"")</f>
        <v>213</v>
      </c>
      <c r="H57" s="24">
        <v>54</v>
      </c>
      <c r="I57" s="24">
        <v>213</v>
      </c>
      <c r="K57" s="58">
        <v>268</v>
      </c>
      <c r="L57" s="24">
        <f>IF(IFERROR(INDEX($K$4:$K$85, MATCH(0, INDEX(COUNTIF($L$3:L56, $K$4:$K$85), 0, 0), 0)), "")=0,"",IFERROR(INDEX($K$4:$K$85, MATCH(0, INDEX(COUNTIF($L$3:L56, $K$4:$K$85), 0, 0), 0)), ""))</f>
        <v>213</v>
      </c>
    </row>
    <row r="58" spans="2:12" x14ac:dyDescent="0.2">
      <c r="B58" s="13">
        <f t="shared" si="0"/>
        <v>55</v>
      </c>
      <c r="C58" s="8">
        <f t="shared" si="3"/>
        <v>55</v>
      </c>
      <c r="D58" s="8">
        <f t="shared" si="4"/>
        <v>67</v>
      </c>
      <c r="E58" s="8">
        <f>IFERROR(VLOOKUP(D58,$H$4:$I$70,2,0),"")</f>
        <v>94</v>
      </c>
      <c r="F58" s="9">
        <f>IFERROR(VLOOKUP(C58,$H$4:$I$70,2,0),"")</f>
        <v>212</v>
      </c>
      <c r="H58" s="24">
        <v>55</v>
      </c>
      <c r="I58" s="24">
        <v>212</v>
      </c>
      <c r="K58" s="58">
        <v>262</v>
      </c>
      <c r="L58" s="24">
        <f>IF(IFERROR(INDEX($K$4:$K$85, MATCH(0, INDEX(COUNTIF($L$3:L57, $K$4:$K$85), 0, 0), 0)), "")=0,"",IFERROR(INDEX($K$4:$K$85, MATCH(0, INDEX(COUNTIF($L$3:L57, $K$4:$K$85), 0, 0), 0)), ""))</f>
        <v>212</v>
      </c>
    </row>
    <row r="59" spans="2:12" x14ac:dyDescent="0.2">
      <c r="B59" s="13">
        <f t="shared" si="0"/>
        <v>56</v>
      </c>
      <c r="C59" s="8">
        <f t="shared" si="3"/>
        <v>56</v>
      </c>
      <c r="D59" s="8">
        <f t="shared" si="4"/>
        <v>67</v>
      </c>
      <c r="E59" s="8">
        <f>IFERROR(VLOOKUP(D59,$H$4:$I$70,2,0),"")</f>
        <v>94</v>
      </c>
      <c r="F59" s="9">
        <f>IFERROR(VLOOKUP(C59,$H$4:$I$70,2,0),"")</f>
        <v>211</v>
      </c>
      <c r="H59" s="24">
        <v>56</v>
      </c>
      <c r="I59" s="24">
        <v>211</v>
      </c>
      <c r="K59" s="58">
        <v>248</v>
      </c>
      <c r="L59" s="24">
        <f>IF(IFERROR(INDEX($K$4:$K$85, MATCH(0, INDEX(COUNTIF($L$3:L58, $K$4:$K$85), 0, 0), 0)), "")=0,"",IFERROR(INDEX($K$4:$K$85, MATCH(0, INDEX(COUNTIF($L$3:L58, $K$4:$K$85), 0, 0), 0)), ""))</f>
        <v>211</v>
      </c>
    </row>
    <row r="60" spans="2:12" x14ac:dyDescent="0.2">
      <c r="B60" s="13">
        <f t="shared" si="0"/>
        <v>57</v>
      </c>
      <c r="C60" s="8">
        <f t="shared" si="3"/>
        <v>57</v>
      </c>
      <c r="D60" s="8">
        <f t="shared" si="4"/>
        <v>67</v>
      </c>
      <c r="E60" s="8">
        <f>IFERROR(VLOOKUP(D60,$H$4:$I$70,2,0),"")</f>
        <v>94</v>
      </c>
      <c r="F60" s="9">
        <f>IFERROR(VLOOKUP(C60,$H$4:$I$70,2,0),"")</f>
        <v>209</v>
      </c>
      <c r="H60" s="24">
        <v>57</v>
      </c>
      <c r="I60" s="24">
        <v>209</v>
      </c>
      <c r="K60" s="58">
        <v>246</v>
      </c>
      <c r="L60" s="24">
        <f>IF(IFERROR(INDEX($K$4:$K$85, MATCH(0, INDEX(COUNTIF($L$3:L59, $K$4:$K$85), 0, 0), 0)), "")=0,"",IFERROR(INDEX($K$4:$K$85, MATCH(0, INDEX(COUNTIF($L$3:L59, $K$4:$K$85), 0, 0), 0)), ""))</f>
        <v>209</v>
      </c>
    </row>
    <row r="61" spans="2:12" x14ac:dyDescent="0.2">
      <c r="B61" s="13">
        <f t="shared" si="0"/>
        <v>58</v>
      </c>
      <c r="C61" s="8">
        <f t="shared" si="3"/>
        <v>58</v>
      </c>
      <c r="D61" s="8">
        <f t="shared" si="4"/>
        <v>67</v>
      </c>
      <c r="E61" s="8">
        <f>IFERROR(VLOOKUP(D61,$H$4:$I$70,2,0),"")</f>
        <v>94</v>
      </c>
      <c r="F61" s="9">
        <f>IFERROR(VLOOKUP(C61,$H$4:$I$70,2,0),"")</f>
        <v>208</v>
      </c>
      <c r="H61" s="24">
        <v>58</v>
      </c>
      <c r="I61" s="24">
        <v>208</v>
      </c>
      <c r="K61" s="58">
        <v>246</v>
      </c>
      <c r="L61" s="24">
        <f>IF(IFERROR(INDEX($K$4:$K$85, MATCH(0, INDEX(COUNTIF($L$3:L60, $K$4:$K$85), 0, 0), 0)), "")=0,"",IFERROR(INDEX($K$4:$K$85, MATCH(0, INDEX(COUNTIF($L$3:L60, $K$4:$K$85), 0, 0), 0)), ""))</f>
        <v>208</v>
      </c>
    </row>
    <row r="62" spans="2:12" x14ac:dyDescent="0.2">
      <c r="B62" s="13">
        <f t="shared" si="0"/>
        <v>59</v>
      </c>
      <c r="C62" s="8">
        <f t="shared" si="3"/>
        <v>59</v>
      </c>
      <c r="D62" s="8">
        <f t="shared" si="4"/>
        <v>67</v>
      </c>
      <c r="E62" s="8">
        <f>IFERROR(VLOOKUP(D62,$H$4:$I$70,2,0),"")</f>
        <v>94</v>
      </c>
      <c r="F62" s="9">
        <f>IFERROR(VLOOKUP(C62,$H$4:$I$70,2,0),"")</f>
        <v>204</v>
      </c>
      <c r="H62" s="24">
        <v>59</v>
      </c>
      <c r="I62" s="24">
        <v>204</v>
      </c>
      <c r="K62" s="58">
        <v>236</v>
      </c>
      <c r="L62" s="24">
        <f>IF(IFERROR(INDEX($K$4:$K$85, MATCH(0, INDEX(COUNTIF($L$3:L61, $K$4:$K$85), 0, 0), 0)), "")=0,"",IFERROR(INDEX($K$4:$K$85, MATCH(0, INDEX(COUNTIF($L$3:L61, $K$4:$K$85), 0, 0), 0)), ""))</f>
        <v>204</v>
      </c>
    </row>
    <row r="63" spans="2:12" x14ac:dyDescent="0.2">
      <c r="B63" s="13">
        <f t="shared" si="0"/>
        <v>60</v>
      </c>
      <c r="C63" s="8">
        <f t="shared" si="3"/>
        <v>60</v>
      </c>
      <c r="D63" s="8">
        <f t="shared" si="4"/>
        <v>67</v>
      </c>
      <c r="E63" s="8">
        <f>IFERROR(VLOOKUP(D63,$H$4:$I$70,2,0),"")</f>
        <v>94</v>
      </c>
      <c r="F63" s="9">
        <f>IFERROR(VLOOKUP(C63,$H$4:$I$70,2,0),"")</f>
        <v>200</v>
      </c>
      <c r="H63" s="24">
        <v>60</v>
      </c>
      <c r="I63" s="24">
        <v>200</v>
      </c>
      <c r="K63" s="58">
        <v>236</v>
      </c>
      <c r="L63" s="24">
        <f>IF(IFERROR(INDEX($K$4:$K$85, MATCH(0, INDEX(COUNTIF($L$3:L62, $K$4:$K$85), 0, 0), 0)), "")=0,"",IFERROR(INDEX($K$4:$K$85, MATCH(0, INDEX(COUNTIF($L$3:L62, $K$4:$K$85), 0, 0), 0)), ""))</f>
        <v>200</v>
      </c>
    </row>
    <row r="64" spans="2:12" x14ac:dyDescent="0.2">
      <c r="B64" s="13">
        <f t="shared" si="0"/>
        <v>61</v>
      </c>
      <c r="C64" s="8">
        <f t="shared" si="3"/>
        <v>61</v>
      </c>
      <c r="D64" s="8">
        <f t="shared" si="4"/>
        <v>67</v>
      </c>
      <c r="E64" s="8">
        <f>IFERROR(VLOOKUP(D64,$H$4:$I$70,2,0),"")</f>
        <v>94</v>
      </c>
      <c r="F64" s="9">
        <f>IFERROR(VLOOKUP(C64,$H$4:$I$70,2,0),"")</f>
        <v>199</v>
      </c>
      <c r="H64" s="24">
        <v>61</v>
      </c>
      <c r="I64" s="24">
        <v>199</v>
      </c>
      <c r="K64" s="58">
        <v>231</v>
      </c>
      <c r="L64" s="24">
        <f>IF(IFERROR(INDEX($K$4:$K$85, MATCH(0, INDEX(COUNTIF($L$3:L63, $K$4:$K$85), 0, 0), 0)), "")=0,"",IFERROR(INDEX($K$4:$K$85, MATCH(0, INDEX(COUNTIF($L$3:L63, $K$4:$K$85), 0, 0), 0)), ""))</f>
        <v>199</v>
      </c>
    </row>
    <row r="65" spans="2:12" x14ac:dyDescent="0.2">
      <c r="B65" s="13">
        <f t="shared" si="0"/>
        <v>62</v>
      </c>
      <c r="C65" s="8">
        <f t="shared" si="3"/>
        <v>62</v>
      </c>
      <c r="D65" s="8">
        <f t="shared" si="4"/>
        <v>67</v>
      </c>
      <c r="E65" s="8">
        <f>IFERROR(VLOOKUP(D65,$H$4:$I$70,2,0),"")</f>
        <v>94</v>
      </c>
      <c r="F65" s="9">
        <f>IFERROR(VLOOKUP(C65,$H$4:$I$70,2,0),"")</f>
        <v>193</v>
      </c>
      <c r="H65" s="24">
        <v>62</v>
      </c>
      <c r="I65" s="24">
        <v>193</v>
      </c>
      <c r="K65" s="58">
        <v>227</v>
      </c>
      <c r="L65" s="24">
        <f>IF(IFERROR(INDEX($K$4:$K$85, MATCH(0, INDEX(COUNTIF($L$3:L64, $K$4:$K$85), 0, 0), 0)), "")=0,"",IFERROR(INDEX($K$4:$K$85, MATCH(0, INDEX(COUNTIF($L$3:L64, $K$4:$K$85), 0, 0), 0)), ""))</f>
        <v>193</v>
      </c>
    </row>
    <row r="66" spans="2:12" x14ac:dyDescent="0.2">
      <c r="B66" s="13">
        <f t="shared" si="0"/>
        <v>63</v>
      </c>
      <c r="C66" s="8">
        <f t="shared" si="3"/>
        <v>63</v>
      </c>
      <c r="D66" s="8">
        <f t="shared" si="4"/>
        <v>67</v>
      </c>
      <c r="E66" s="8">
        <f>IFERROR(VLOOKUP(D66,$H$4:$I$70,2,0),"")</f>
        <v>94</v>
      </c>
      <c r="F66" s="9">
        <f>IFERROR(VLOOKUP(C66,$H$4:$I$70,2,0),"")</f>
        <v>192</v>
      </c>
      <c r="H66" s="24">
        <v>63</v>
      </c>
      <c r="I66" s="79">
        <v>192</v>
      </c>
      <c r="K66" s="58">
        <v>224</v>
      </c>
      <c r="L66" s="24">
        <f>IF(IFERROR(INDEX($K$4:$K$85, MATCH(0, INDEX(COUNTIF($L$3:L65, $K$4:$K$85), 0, 0), 0)), "")=0,"",IFERROR(INDEX($K$4:$K$85, MATCH(0, INDEX(COUNTIF($L$3:L65, $K$4:$K$85), 0, 0), 0)), ""))</f>
        <v>192</v>
      </c>
    </row>
    <row r="67" spans="2:12" x14ac:dyDescent="0.2">
      <c r="B67" s="13">
        <f t="shared" si="0"/>
        <v>64</v>
      </c>
      <c r="C67" s="8">
        <f t="shared" si="3"/>
        <v>64</v>
      </c>
      <c r="D67" s="8">
        <f t="shared" si="4"/>
        <v>67</v>
      </c>
      <c r="E67" s="8">
        <f>IFERROR(VLOOKUP(D67,$H$4:$I$70,2,0),"")</f>
        <v>94</v>
      </c>
      <c r="F67" s="9">
        <f>IFERROR(VLOOKUP(C67,$H$4:$I$70,2,0),"")</f>
        <v>168</v>
      </c>
      <c r="H67" s="24">
        <v>64</v>
      </c>
      <c r="I67" s="79">
        <v>168</v>
      </c>
      <c r="K67" s="58">
        <v>224</v>
      </c>
      <c r="L67" s="24">
        <f>IF(IFERROR(INDEX($K$4:$K$85, MATCH(0, INDEX(COUNTIF($L$3:L66, $K$4:$K$85), 0, 0), 0)), "")=0,"",IFERROR(INDEX($K$4:$K$85, MATCH(0, INDEX(COUNTIF($L$3:L66, $K$4:$K$85), 0, 0), 0)), ""))</f>
        <v>168</v>
      </c>
    </row>
    <row r="68" spans="2:12" x14ac:dyDescent="0.2">
      <c r="B68" s="13">
        <f t="shared" si="0"/>
        <v>65</v>
      </c>
      <c r="C68" s="8">
        <f t="shared" si="3"/>
        <v>65</v>
      </c>
      <c r="D68" s="8">
        <f t="shared" si="4"/>
        <v>67</v>
      </c>
      <c r="E68" s="8">
        <f>IFERROR(VLOOKUP(D68,$H$4:$I$70,2,0),"")</f>
        <v>94</v>
      </c>
      <c r="F68" s="9">
        <f>IFERROR(VLOOKUP(C68,$H$4:$I$70,2,0),"")</f>
        <v>142</v>
      </c>
      <c r="H68" s="24">
        <v>65</v>
      </c>
      <c r="I68" s="79">
        <v>142</v>
      </c>
      <c r="K68" s="58">
        <v>217</v>
      </c>
      <c r="L68" s="24">
        <f>IF(IFERROR(INDEX($K$4:$K$85, MATCH(0, INDEX(COUNTIF($L$3:L67, $K$4:$K$85), 0, 0), 0)), "")=0,"",IFERROR(INDEX($K$4:$K$85, MATCH(0, INDEX(COUNTIF($L$3:L67, $K$4:$K$85), 0, 0), 0)), ""))</f>
        <v>142</v>
      </c>
    </row>
    <row r="69" spans="2:12" x14ac:dyDescent="0.2">
      <c r="B69" s="13">
        <f t="shared" ref="B69:B132" si="5">ROW()-3</f>
        <v>66</v>
      </c>
      <c r="C69" s="8">
        <f t="shared" si="3"/>
        <v>66</v>
      </c>
      <c r="D69" s="8">
        <f t="shared" si="4"/>
        <v>67</v>
      </c>
      <c r="E69" s="8">
        <f>IFERROR(VLOOKUP(D69,$H$4:$I$70,2,0),"")</f>
        <v>94</v>
      </c>
      <c r="F69" s="9">
        <f>IFERROR(VLOOKUP(C69,$H$4:$I$70,2,0),"")</f>
        <v>138</v>
      </c>
      <c r="H69" s="24">
        <v>66</v>
      </c>
      <c r="I69" s="79">
        <v>138</v>
      </c>
      <c r="K69" s="58">
        <v>217</v>
      </c>
      <c r="L69" s="24">
        <f>IF(IFERROR(INDEX($K$4:$K$85, MATCH(0, INDEX(COUNTIF($L$3:L68, $K$4:$K$85), 0, 0), 0)), "")=0,"",IFERROR(INDEX($K$4:$K$85, MATCH(0, INDEX(COUNTIF($L$3:L68, $K$4:$K$85), 0, 0), 0)), ""))</f>
        <v>138</v>
      </c>
    </row>
    <row r="70" spans="2:12" x14ac:dyDescent="0.2">
      <c r="B70" s="13">
        <f t="shared" si="5"/>
        <v>67</v>
      </c>
      <c r="C70" s="8">
        <f t="shared" ref="C70:C133" si="6">IF((D69-C69)=1,1,C69+1)</f>
        <v>1</v>
      </c>
      <c r="D70" s="8">
        <f t="shared" ref="D70:D133" si="7">IF((D69-C69)=1,D69-1,D69)</f>
        <v>66</v>
      </c>
      <c r="E70" s="8">
        <f>IFERROR(VLOOKUP(D70,$H$4:$I$70,2,0),"")</f>
        <v>138</v>
      </c>
      <c r="F70" s="9">
        <f>IFERROR(VLOOKUP(C70,$H$4:$I$70,2,0),"")</f>
        <v>1344</v>
      </c>
      <c r="H70" s="24">
        <v>67</v>
      </c>
      <c r="I70" s="79">
        <v>94</v>
      </c>
      <c r="K70" s="58">
        <v>217</v>
      </c>
      <c r="L70" s="24">
        <f>IF(IFERROR(INDEX($K$4:$K$85, MATCH(0, INDEX(COUNTIF($L$3:L69, $K$4:$K$85), 0, 0), 0)), "")=0,"",IFERROR(INDEX($K$4:$K$85, MATCH(0, INDEX(COUNTIF($L$3:L69, $K$4:$K$85), 0, 0), 0)), ""))</f>
        <v>94</v>
      </c>
    </row>
    <row r="71" spans="2:12" x14ac:dyDescent="0.2">
      <c r="B71" s="13">
        <f t="shared" si="5"/>
        <v>68</v>
      </c>
      <c r="C71" s="8">
        <f t="shared" si="6"/>
        <v>2</v>
      </c>
      <c r="D71" s="8">
        <f t="shared" si="7"/>
        <v>66</v>
      </c>
      <c r="E71" s="8">
        <f>IFERROR(VLOOKUP(D71,$H$4:$I$70,2,0),"")</f>
        <v>138</v>
      </c>
      <c r="F71" s="9">
        <f>IFERROR(VLOOKUP(C71,$H$4:$I$70,2,0),"")</f>
        <v>1048</v>
      </c>
      <c r="K71" s="58">
        <v>213</v>
      </c>
      <c r="L71" s="24" t="str">
        <f>IF(IFERROR(INDEX($K$4:$K$85, MATCH(0, INDEX(COUNTIF($L$3:L70, $K$4:$K$85), 0, 0), 0)), "")=0,"",IFERROR(INDEX($K$4:$K$85, MATCH(0, INDEX(COUNTIF($L$3:L70, $K$4:$K$85), 0, 0), 0)), ""))</f>
        <v/>
      </c>
    </row>
    <row r="72" spans="2:12" x14ac:dyDescent="0.2">
      <c r="B72" s="13">
        <f t="shared" si="5"/>
        <v>69</v>
      </c>
      <c r="C72" s="8">
        <f t="shared" si="6"/>
        <v>3</v>
      </c>
      <c r="D72" s="8">
        <f t="shared" si="7"/>
        <v>66</v>
      </c>
      <c r="E72" s="8">
        <f>IFERROR(VLOOKUP(D72,$H$4:$I$70,2,0),"")</f>
        <v>138</v>
      </c>
      <c r="F72" s="9">
        <f>IFERROR(VLOOKUP(C72,$H$4:$I$70,2,0),"")</f>
        <v>1025</v>
      </c>
      <c r="K72" s="58">
        <v>212</v>
      </c>
      <c r="L72" s="24" t="str">
        <f>IF(IFERROR(INDEX($K$4:$K$85, MATCH(0, INDEX(COUNTIF($L$3:L71, $K$4:$K$85), 0, 0), 0)), "")=0,"",IFERROR(INDEX($K$4:$K$85, MATCH(0, INDEX(COUNTIF($L$3:L71, $K$4:$K$85), 0, 0), 0)), ""))</f>
        <v/>
      </c>
    </row>
    <row r="73" spans="2:12" x14ac:dyDescent="0.2">
      <c r="B73" s="13">
        <f t="shared" si="5"/>
        <v>70</v>
      </c>
      <c r="C73" s="8">
        <f t="shared" si="6"/>
        <v>4</v>
      </c>
      <c r="D73" s="8">
        <f t="shared" si="7"/>
        <v>66</v>
      </c>
      <c r="E73" s="8">
        <f>IFERROR(VLOOKUP(D73,$H$4:$I$70,2,0),"")</f>
        <v>138</v>
      </c>
      <c r="F73" s="9">
        <f>IFERROR(VLOOKUP(C73,$H$4:$I$70,2,0),"")</f>
        <v>805</v>
      </c>
      <c r="K73" s="58">
        <v>211</v>
      </c>
      <c r="L73" s="24" t="str">
        <f>IF(IFERROR(INDEX($K$4:$K$85, MATCH(0, INDEX(COUNTIF($L$3:L72, $K$4:$K$85), 0, 0), 0)), "")=0,"",IFERROR(INDEX($K$4:$K$85, MATCH(0, INDEX(COUNTIF($L$3:L72, $K$4:$K$85), 0, 0), 0)), ""))</f>
        <v/>
      </c>
    </row>
    <row r="74" spans="2:12" x14ac:dyDescent="0.2">
      <c r="B74" s="13">
        <f t="shared" si="5"/>
        <v>71</v>
      </c>
      <c r="C74" s="8">
        <f t="shared" si="6"/>
        <v>5</v>
      </c>
      <c r="D74" s="8">
        <f t="shared" si="7"/>
        <v>66</v>
      </c>
      <c r="E74" s="8">
        <f>IFERROR(VLOOKUP(D74,$H$4:$I$70,2,0),"")</f>
        <v>138</v>
      </c>
      <c r="F74" s="9">
        <f>IFERROR(VLOOKUP(C74,$H$4:$I$70,2,0),"")</f>
        <v>666</v>
      </c>
      <c r="K74" s="58">
        <v>209</v>
      </c>
      <c r="L74" s="24" t="str">
        <f>IF(IFERROR(INDEX($K$4:$K$85, MATCH(0, INDEX(COUNTIF($L$3:L73, $K$4:$K$85), 0, 0), 0)), "")=0,"",IFERROR(INDEX($K$4:$K$85, MATCH(0, INDEX(COUNTIF($L$3:L73, $K$4:$K$85), 0, 0), 0)), ""))</f>
        <v/>
      </c>
    </row>
    <row r="75" spans="2:12" x14ac:dyDescent="0.2">
      <c r="B75" s="13">
        <f t="shared" si="5"/>
        <v>72</v>
      </c>
      <c r="C75" s="8">
        <f t="shared" si="6"/>
        <v>6</v>
      </c>
      <c r="D75" s="8">
        <f t="shared" si="7"/>
        <v>66</v>
      </c>
      <c r="E75" s="8">
        <f>IFERROR(VLOOKUP(D75,$H$4:$I$70,2,0),"")</f>
        <v>138</v>
      </c>
      <c r="F75" s="9">
        <f>IFERROR(VLOOKUP(C75,$H$4:$I$70,2,0),"")</f>
        <v>655</v>
      </c>
      <c r="K75" s="58">
        <v>208</v>
      </c>
      <c r="L75" s="24" t="str">
        <f>IF(IFERROR(INDEX($K$4:$K$85, MATCH(0, INDEX(COUNTIF($L$3:L74, $K$4:$K$85), 0, 0), 0)), "")=0,"",IFERROR(INDEX($K$4:$K$85, MATCH(0, INDEX(COUNTIF($L$3:L74, $K$4:$K$85), 0, 0), 0)), ""))</f>
        <v/>
      </c>
    </row>
    <row r="76" spans="2:12" x14ac:dyDescent="0.2">
      <c r="B76" s="13">
        <f t="shared" si="5"/>
        <v>73</v>
      </c>
      <c r="C76" s="8">
        <f t="shared" si="6"/>
        <v>7</v>
      </c>
      <c r="D76" s="8">
        <f t="shared" si="7"/>
        <v>66</v>
      </c>
      <c r="E76" s="8">
        <f>IFERROR(VLOOKUP(D76,$H$4:$I$70,2,0),"")</f>
        <v>138</v>
      </c>
      <c r="F76" s="9">
        <f>IFERROR(VLOOKUP(C76,$H$4:$I$70,2,0),"")</f>
        <v>652</v>
      </c>
      <c r="K76" s="58">
        <v>204</v>
      </c>
      <c r="L76" s="24" t="str">
        <f>IF(IFERROR(INDEX($K$4:$K$85, MATCH(0, INDEX(COUNTIF($L$3:L75, $K$4:$K$85), 0, 0), 0)), "")=0,"",IFERROR(INDEX($K$4:$K$85, MATCH(0, INDEX(COUNTIF($L$3:L75, $K$4:$K$85), 0, 0), 0)), ""))</f>
        <v/>
      </c>
    </row>
    <row r="77" spans="2:12" x14ac:dyDescent="0.2">
      <c r="B77" s="13">
        <f t="shared" si="5"/>
        <v>74</v>
      </c>
      <c r="C77" s="8">
        <f t="shared" si="6"/>
        <v>8</v>
      </c>
      <c r="D77" s="8">
        <f t="shared" si="7"/>
        <v>66</v>
      </c>
      <c r="E77" s="8">
        <f>IFERROR(VLOOKUP(D77,$H$4:$I$70,2,0),"")</f>
        <v>138</v>
      </c>
      <c r="F77" s="9">
        <f>IFERROR(VLOOKUP(C77,$H$4:$I$70,2,0),"")</f>
        <v>633</v>
      </c>
      <c r="K77" s="58">
        <v>204</v>
      </c>
      <c r="L77" s="24" t="str">
        <f>IF(IFERROR(INDEX($K$4:$K$85, MATCH(0, INDEX(COUNTIF($L$3:L76, $K$4:$K$85), 0, 0), 0)), "")=0,"",IFERROR(INDEX($K$4:$K$85, MATCH(0, INDEX(COUNTIF($L$3:L76, $K$4:$K$85), 0, 0), 0)), ""))</f>
        <v/>
      </c>
    </row>
    <row r="78" spans="2:12" x14ac:dyDescent="0.2">
      <c r="B78" s="13">
        <f t="shared" si="5"/>
        <v>75</v>
      </c>
      <c r="C78" s="8">
        <f t="shared" si="6"/>
        <v>9</v>
      </c>
      <c r="D78" s="8">
        <f t="shared" si="7"/>
        <v>66</v>
      </c>
      <c r="E78" s="8">
        <f>IFERROR(VLOOKUP(D78,$H$4:$I$70,2,0),"")</f>
        <v>138</v>
      </c>
      <c r="F78" s="9">
        <f>IFERROR(VLOOKUP(C78,$H$4:$I$70,2,0),"")</f>
        <v>632</v>
      </c>
      <c r="K78" s="58">
        <v>200</v>
      </c>
      <c r="L78" s="24" t="str">
        <f>IF(IFERROR(INDEX($K$4:$K$85, MATCH(0, INDEX(COUNTIF($L$3:L77, $K$4:$K$85), 0, 0), 0)), "")=0,"",IFERROR(INDEX($K$4:$K$85, MATCH(0, INDEX(COUNTIF($L$3:L77, $K$4:$K$85), 0, 0), 0)), ""))</f>
        <v/>
      </c>
    </row>
    <row r="79" spans="2:12" x14ac:dyDescent="0.2">
      <c r="B79" s="13">
        <f t="shared" si="5"/>
        <v>76</v>
      </c>
      <c r="C79" s="8">
        <f t="shared" si="6"/>
        <v>10</v>
      </c>
      <c r="D79" s="8">
        <f t="shared" si="7"/>
        <v>66</v>
      </c>
      <c r="E79" s="8">
        <f>IFERROR(VLOOKUP(D79,$H$4:$I$70,2,0),"")</f>
        <v>138</v>
      </c>
      <c r="F79" s="9">
        <f>IFERROR(VLOOKUP(C79,$H$4:$I$70,2,0),"")</f>
        <v>625</v>
      </c>
      <c r="K79" s="58">
        <v>199</v>
      </c>
      <c r="L79" s="24" t="str">
        <f>IF(IFERROR(INDEX($K$4:$K$85, MATCH(0, INDEX(COUNTIF($L$3:L78, $K$4:$K$85), 0, 0), 0)), "")=0,"",IFERROR(INDEX($K$4:$K$85, MATCH(0, INDEX(COUNTIF($L$3:L78, $K$4:$K$85), 0, 0), 0)), ""))</f>
        <v/>
      </c>
    </row>
    <row r="80" spans="2:12" x14ac:dyDescent="0.2">
      <c r="B80" s="13">
        <f t="shared" si="5"/>
        <v>77</v>
      </c>
      <c r="C80" s="8">
        <f t="shared" si="6"/>
        <v>11</v>
      </c>
      <c r="D80" s="8">
        <f t="shared" si="7"/>
        <v>66</v>
      </c>
      <c r="E80" s="8">
        <f>IFERROR(VLOOKUP(D80,$H$4:$I$70,2,0),"")</f>
        <v>138</v>
      </c>
      <c r="F80" s="9">
        <f>IFERROR(VLOOKUP(C80,$H$4:$I$70,2,0),"")</f>
        <v>619</v>
      </c>
      <c r="K80" s="58">
        <v>193</v>
      </c>
      <c r="L80" s="24" t="str">
        <f>IF(IFERROR(INDEX($K$4:$K$85, MATCH(0, INDEX(COUNTIF($L$3:L79, $K$4:$K$85), 0, 0), 0)), "")=0,"",IFERROR(INDEX($K$4:$K$85, MATCH(0, INDEX(COUNTIF($L$3:L79, $K$4:$K$85), 0, 0), 0)), ""))</f>
        <v/>
      </c>
    </row>
    <row r="81" spans="2:12" x14ac:dyDescent="0.2">
      <c r="B81" s="13">
        <f t="shared" si="5"/>
        <v>78</v>
      </c>
      <c r="C81" s="8">
        <f t="shared" si="6"/>
        <v>12</v>
      </c>
      <c r="D81" s="8">
        <f t="shared" si="7"/>
        <v>66</v>
      </c>
      <c r="E81" s="8">
        <f>IFERROR(VLOOKUP(D81,$H$4:$I$70,2,0),"")</f>
        <v>138</v>
      </c>
      <c r="F81" s="9">
        <f>IFERROR(VLOOKUP(C81,$H$4:$I$70,2,0),"")</f>
        <v>610</v>
      </c>
      <c r="K81" s="58">
        <v>192</v>
      </c>
      <c r="L81" s="24" t="str">
        <f>IF(IFERROR(INDEX($K$4:$K$85, MATCH(0, INDEX(COUNTIF($L$3:L80, $K$4:$K$85), 0, 0), 0)), "")=0,"",IFERROR(INDEX($K$4:$K$85, MATCH(0, INDEX(COUNTIF($L$3:L80, $K$4:$K$85), 0, 0), 0)), ""))</f>
        <v/>
      </c>
    </row>
    <row r="82" spans="2:12" x14ac:dyDescent="0.2">
      <c r="B82" s="13">
        <f t="shared" si="5"/>
        <v>79</v>
      </c>
      <c r="C82" s="8">
        <f t="shared" si="6"/>
        <v>13</v>
      </c>
      <c r="D82" s="8">
        <f t="shared" si="7"/>
        <v>66</v>
      </c>
      <c r="E82" s="8">
        <f>IFERROR(VLOOKUP(D82,$H$4:$I$70,2,0),"")</f>
        <v>138</v>
      </c>
      <c r="F82" s="9">
        <f>IFERROR(VLOOKUP(C82,$H$4:$I$70,2,0),"")</f>
        <v>599</v>
      </c>
      <c r="K82" s="58">
        <v>168</v>
      </c>
      <c r="L82" s="24" t="str">
        <f>IF(IFERROR(INDEX($K$4:$K$85, MATCH(0, INDEX(COUNTIF($L$3:L81, $K$4:$K$85), 0, 0), 0)), "")=0,"",IFERROR(INDEX($K$4:$K$85, MATCH(0, INDEX(COUNTIF($L$3:L81, $K$4:$K$85), 0, 0), 0)), ""))</f>
        <v/>
      </c>
    </row>
    <row r="83" spans="2:12" x14ac:dyDescent="0.2">
      <c r="B83" s="13">
        <f t="shared" si="5"/>
        <v>80</v>
      </c>
      <c r="C83" s="8">
        <f t="shared" si="6"/>
        <v>14</v>
      </c>
      <c r="D83" s="8">
        <f t="shared" si="7"/>
        <v>66</v>
      </c>
      <c r="E83" s="8">
        <f>IFERROR(VLOOKUP(D83,$H$4:$I$70,2,0),"")</f>
        <v>138</v>
      </c>
      <c r="F83" s="9">
        <f>IFERROR(VLOOKUP(C83,$H$4:$I$70,2,0),"")</f>
        <v>559</v>
      </c>
      <c r="K83" s="58">
        <v>142</v>
      </c>
      <c r="L83" s="24" t="str">
        <f>IF(IFERROR(INDEX($K$4:$K$85, MATCH(0, INDEX(COUNTIF($L$3:L82, $K$4:$K$85), 0, 0), 0)), "")=0,"",IFERROR(INDEX($K$4:$K$85, MATCH(0, INDEX(COUNTIF($L$3:L82, $K$4:$K$85), 0, 0), 0)), ""))</f>
        <v/>
      </c>
    </row>
    <row r="84" spans="2:12" x14ac:dyDescent="0.2">
      <c r="B84" s="13">
        <f t="shared" si="5"/>
        <v>81</v>
      </c>
      <c r="C84" s="8">
        <f t="shared" si="6"/>
        <v>15</v>
      </c>
      <c r="D84" s="8">
        <f t="shared" si="7"/>
        <v>66</v>
      </c>
      <c r="E84" s="8">
        <f>IFERROR(VLOOKUP(D84,$H$4:$I$70,2,0),"")</f>
        <v>138</v>
      </c>
      <c r="F84" s="9">
        <f>IFERROR(VLOOKUP(C84,$H$4:$I$70,2,0),"")</f>
        <v>556</v>
      </c>
      <c r="K84" s="58">
        <v>138</v>
      </c>
      <c r="L84" s="24" t="str">
        <f>IF(IFERROR(INDEX($K$4:$K$85, MATCH(0, INDEX(COUNTIF($L$3:L83, $K$4:$K$85), 0, 0), 0)), "")=0,"",IFERROR(INDEX($K$4:$K$85, MATCH(0, INDEX(COUNTIF($L$3:L83, $K$4:$K$85), 0, 0), 0)), ""))</f>
        <v/>
      </c>
    </row>
    <row r="85" spans="2:12" x14ac:dyDescent="0.2">
      <c r="B85" s="13">
        <f t="shared" si="5"/>
        <v>82</v>
      </c>
      <c r="C85" s="8">
        <f t="shared" si="6"/>
        <v>16</v>
      </c>
      <c r="D85" s="8">
        <f t="shared" si="7"/>
        <v>66</v>
      </c>
      <c r="E85" s="8">
        <f>IFERROR(VLOOKUP(D85,$H$4:$I$70,2,0),"")</f>
        <v>138</v>
      </c>
      <c r="F85" s="9">
        <f>IFERROR(VLOOKUP(C85,$H$4:$I$70,2,0),"")</f>
        <v>540</v>
      </c>
      <c r="K85" s="58">
        <v>94</v>
      </c>
      <c r="L85" s="24" t="str">
        <f>IF(IFERROR(INDEX($K$4:$K$85, MATCH(0, INDEX(COUNTIF($L$3:L84, $K$4:$K$85), 0, 0), 0)), "")=0,"",IFERROR(INDEX($K$4:$K$85, MATCH(0, INDEX(COUNTIF($L$3:L84, $K$4:$K$85), 0, 0), 0)), ""))</f>
        <v/>
      </c>
    </row>
    <row r="86" spans="2:12" x14ac:dyDescent="0.2">
      <c r="B86" s="13">
        <f t="shared" si="5"/>
        <v>83</v>
      </c>
      <c r="C86" s="8">
        <f t="shared" si="6"/>
        <v>17</v>
      </c>
      <c r="D86" s="8">
        <f t="shared" si="7"/>
        <v>66</v>
      </c>
      <c r="E86" s="8">
        <f>IFERROR(VLOOKUP(D86,$H$4:$I$70,2,0),"")</f>
        <v>138</v>
      </c>
      <c r="F86" s="9">
        <f>IFERROR(VLOOKUP(C86,$H$4:$I$70,2,0),"")</f>
        <v>536</v>
      </c>
    </row>
    <row r="87" spans="2:12" x14ac:dyDescent="0.2">
      <c r="B87" s="13">
        <f t="shared" si="5"/>
        <v>84</v>
      </c>
      <c r="C87" s="8">
        <f t="shared" si="6"/>
        <v>18</v>
      </c>
      <c r="D87" s="8">
        <f t="shared" si="7"/>
        <v>66</v>
      </c>
      <c r="E87" s="8">
        <f>IFERROR(VLOOKUP(D87,$H$4:$I$70,2,0),"")</f>
        <v>138</v>
      </c>
      <c r="F87" s="9">
        <f>IFERROR(VLOOKUP(C87,$H$4:$I$70,2,0),"")</f>
        <v>527</v>
      </c>
    </row>
    <row r="88" spans="2:12" x14ac:dyDescent="0.2">
      <c r="B88" s="13">
        <f t="shared" si="5"/>
        <v>85</v>
      </c>
      <c r="C88" s="8">
        <f t="shared" si="6"/>
        <v>19</v>
      </c>
      <c r="D88" s="8">
        <f t="shared" si="7"/>
        <v>66</v>
      </c>
      <c r="E88" s="8">
        <f>IFERROR(VLOOKUP(D88,$H$4:$I$70,2,0),"")</f>
        <v>138</v>
      </c>
      <c r="F88" s="9">
        <f>IFERROR(VLOOKUP(C88,$H$4:$I$70,2,0),"")</f>
        <v>478</v>
      </c>
    </row>
    <row r="89" spans="2:12" x14ac:dyDescent="0.2">
      <c r="B89" s="13">
        <f t="shared" si="5"/>
        <v>86</v>
      </c>
      <c r="C89" s="8">
        <f t="shared" si="6"/>
        <v>20</v>
      </c>
      <c r="D89" s="8">
        <f t="shared" si="7"/>
        <v>66</v>
      </c>
      <c r="E89" s="8">
        <f>IFERROR(VLOOKUP(D89,$H$4:$I$70,2,0),"")</f>
        <v>138</v>
      </c>
      <c r="F89" s="9">
        <f>IFERROR(VLOOKUP(C89,$H$4:$I$70,2,0),"")</f>
        <v>474</v>
      </c>
    </row>
    <row r="90" spans="2:12" x14ac:dyDescent="0.2">
      <c r="B90" s="13">
        <f t="shared" si="5"/>
        <v>87</v>
      </c>
      <c r="C90" s="8">
        <f t="shared" si="6"/>
        <v>21</v>
      </c>
      <c r="D90" s="8">
        <f t="shared" si="7"/>
        <v>66</v>
      </c>
      <c r="E90" s="8">
        <f>IFERROR(VLOOKUP(D90,$H$4:$I$70,2,0),"")</f>
        <v>138</v>
      </c>
      <c r="F90" s="9">
        <f>IFERROR(VLOOKUP(C90,$H$4:$I$70,2,0),"")</f>
        <v>468</v>
      </c>
    </row>
    <row r="91" spans="2:12" x14ac:dyDescent="0.2">
      <c r="B91" s="13">
        <f t="shared" si="5"/>
        <v>88</v>
      </c>
      <c r="C91" s="8">
        <f t="shared" si="6"/>
        <v>22</v>
      </c>
      <c r="D91" s="8">
        <f t="shared" si="7"/>
        <v>66</v>
      </c>
      <c r="E91" s="8">
        <f>IFERROR(VLOOKUP(D91,$H$4:$I$70,2,0),"")</f>
        <v>138</v>
      </c>
      <c r="F91" s="9">
        <f>IFERROR(VLOOKUP(C91,$H$4:$I$70,2,0),"")</f>
        <v>457</v>
      </c>
    </row>
    <row r="92" spans="2:12" x14ac:dyDescent="0.2">
      <c r="B92" s="13">
        <f t="shared" si="5"/>
        <v>89</v>
      </c>
      <c r="C92" s="8">
        <f t="shared" si="6"/>
        <v>23</v>
      </c>
      <c r="D92" s="8">
        <f t="shared" si="7"/>
        <v>66</v>
      </c>
      <c r="E92" s="8">
        <f>IFERROR(VLOOKUP(D92,$H$4:$I$70,2,0),"")</f>
        <v>138</v>
      </c>
      <c r="F92" s="9">
        <f>IFERROR(VLOOKUP(C92,$H$4:$I$70,2,0),"")</f>
        <v>452</v>
      </c>
    </row>
    <row r="93" spans="2:12" x14ac:dyDescent="0.2">
      <c r="B93" s="13">
        <f t="shared" si="5"/>
        <v>90</v>
      </c>
      <c r="C93" s="8">
        <f t="shared" si="6"/>
        <v>24</v>
      </c>
      <c r="D93" s="8">
        <f t="shared" si="7"/>
        <v>66</v>
      </c>
      <c r="E93" s="8">
        <f>IFERROR(VLOOKUP(D93,$H$4:$I$70,2,0),"")</f>
        <v>138</v>
      </c>
      <c r="F93" s="9">
        <f>IFERROR(VLOOKUP(C93,$H$4:$I$70,2,0),"")</f>
        <v>442</v>
      </c>
    </row>
    <row r="94" spans="2:12" x14ac:dyDescent="0.2">
      <c r="B94" s="13">
        <f t="shared" si="5"/>
        <v>91</v>
      </c>
      <c r="C94" s="8">
        <f t="shared" si="6"/>
        <v>25</v>
      </c>
      <c r="D94" s="8">
        <f t="shared" si="7"/>
        <v>66</v>
      </c>
      <c r="E94" s="8">
        <f>IFERROR(VLOOKUP(D94,$H$4:$I$70,2,0),"")</f>
        <v>138</v>
      </c>
      <c r="F94" s="9">
        <f>IFERROR(VLOOKUP(C94,$H$4:$I$70,2,0),"")</f>
        <v>420</v>
      </c>
    </row>
    <row r="95" spans="2:12" x14ac:dyDescent="0.2">
      <c r="B95" s="13">
        <f t="shared" si="5"/>
        <v>92</v>
      </c>
      <c r="C95" s="8">
        <f t="shared" si="6"/>
        <v>26</v>
      </c>
      <c r="D95" s="8">
        <f t="shared" si="7"/>
        <v>66</v>
      </c>
      <c r="E95" s="8">
        <f>IFERROR(VLOOKUP(D95,$H$4:$I$70,2,0),"")</f>
        <v>138</v>
      </c>
      <c r="F95" s="9">
        <f>IFERROR(VLOOKUP(C95,$H$4:$I$70,2,0),"")</f>
        <v>410</v>
      </c>
    </row>
    <row r="96" spans="2:12" x14ac:dyDescent="0.2">
      <c r="B96" s="13">
        <f t="shared" si="5"/>
        <v>93</v>
      </c>
      <c r="C96" s="8">
        <f t="shared" si="6"/>
        <v>27</v>
      </c>
      <c r="D96" s="8">
        <f t="shared" si="7"/>
        <v>66</v>
      </c>
      <c r="E96" s="8">
        <f>IFERROR(VLOOKUP(D96,$H$4:$I$70,2,0),"")</f>
        <v>138</v>
      </c>
      <c r="F96" s="9">
        <f>IFERROR(VLOOKUP(C96,$H$4:$I$70,2,0),"")</f>
        <v>409</v>
      </c>
    </row>
    <row r="97" spans="2:6" x14ac:dyDescent="0.2">
      <c r="B97" s="13">
        <f t="shared" si="5"/>
        <v>94</v>
      </c>
      <c r="C97" s="8">
        <f t="shared" si="6"/>
        <v>28</v>
      </c>
      <c r="D97" s="8">
        <f t="shared" si="7"/>
        <v>66</v>
      </c>
      <c r="E97" s="8">
        <f>IFERROR(VLOOKUP(D97,$H$4:$I$70,2,0),"")</f>
        <v>138</v>
      </c>
      <c r="F97" s="9">
        <f>IFERROR(VLOOKUP(C97,$H$4:$I$70,2,0),"")</f>
        <v>408</v>
      </c>
    </row>
    <row r="98" spans="2:6" x14ac:dyDescent="0.2">
      <c r="B98" s="13">
        <f t="shared" si="5"/>
        <v>95</v>
      </c>
      <c r="C98" s="8">
        <f t="shared" si="6"/>
        <v>29</v>
      </c>
      <c r="D98" s="8">
        <f t="shared" si="7"/>
        <v>66</v>
      </c>
      <c r="E98" s="8">
        <f>IFERROR(VLOOKUP(D98,$H$4:$I$70,2,0),"")</f>
        <v>138</v>
      </c>
      <c r="F98" s="9">
        <f>IFERROR(VLOOKUP(C98,$H$4:$I$70,2,0),"")</f>
        <v>404</v>
      </c>
    </row>
    <row r="99" spans="2:6" x14ac:dyDescent="0.2">
      <c r="B99" s="13">
        <f t="shared" si="5"/>
        <v>96</v>
      </c>
      <c r="C99" s="8">
        <f t="shared" si="6"/>
        <v>30</v>
      </c>
      <c r="D99" s="8">
        <f t="shared" si="7"/>
        <v>66</v>
      </c>
      <c r="E99" s="8">
        <f>IFERROR(VLOOKUP(D99,$H$4:$I$70,2,0),"")</f>
        <v>138</v>
      </c>
      <c r="F99" s="9">
        <f>IFERROR(VLOOKUP(C99,$H$4:$I$70,2,0),"")</f>
        <v>399</v>
      </c>
    </row>
    <row r="100" spans="2:6" x14ac:dyDescent="0.2">
      <c r="B100" s="13">
        <f t="shared" si="5"/>
        <v>97</v>
      </c>
      <c r="C100" s="8">
        <f t="shared" si="6"/>
        <v>31</v>
      </c>
      <c r="D100" s="8">
        <f t="shared" si="7"/>
        <v>66</v>
      </c>
      <c r="E100" s="8">
        <f>IFERROR(VLOOKUP(D100,$H$4:$I$70,2,0),"")</f>
        <v>138</v>
      </c>
      <c r="F100" s="9">
        <f>IFERROR(VLOOKUP(C100,$H$4:$I$70,2,0),"")</f>
        <v>396</v>
      </c>
    </row>
    <row r="101" spans="2:6" x14ac:dyDescent="0.2">
      <c r="B101" s="13">
        <f t="shared" si="5"/>
        <v>98</v>
      </c>
      <c r="C101" s="8">
        <f t="shared" si="6"/>
        <v>32</v>
      </c>
      <c r="D101" s="8">
        <f t="shared" si="7"/>
        <v>66</v>
      </c>
      <c r="E101" s="8">
        <f>IFERROR(VLOOKUP(D101,$H$4:$I$70,2,0),"")</f>
        <v>138</v>
      </c>
      <c r="F101" s="9">
        <f>IFERROR(VLOOKUP(C101,$H$4:$I$70,2,0),"")</f>
        <v>384</v>
      </c>
    </row>
    <row r="102" spans="2:6" x14ac:dyDescent="0.2">
      <c r="B102" s="13">
        <f t="shared" si="5"/>
        <v>99</v>
      </c>
      <c r="C102" s="8">
        <f t="shared" si="6"/>
        <v>33</v>
      </c>
      <c r="D102" s="8">
        <f t="shared" si="7"/>
        <v>66</v>
      </c>
      <c r="E102" s="8">
        <f>IFERROR(VLOOKUP(D102,$H$4:$I$70,2,0),"")</f>
        <v>138</v>
      </c>
      <c r="F102" s="9">
        <f>IFERROR(VLOOKUP(C102,$H$4:$I$70,2,0),"")</f>
        <v>381</v>
      </c>
    </row>
    <row r="103" spans="2:6" x14ac:dyDescent="0.2">
      <c r="B103" s="13">
        <f t="shared" si="5"/>
        <v>100</v>
      </c>
      <c r="C103" s="8">
        <f t="shared" si="6"/>
        <v>34</v>
      </c>
      <c r="D103" s="8">
        <f t="shared" si="7"/>
        <v>66</v>
      </c>
      <c r="E103" s="8">
        <f>IFERROR(VLOOKUP(D103,$H$4:$I$70,2,0),"")</f>
        <v>138</v>
      </c>
      <c r="F103" s="9">
        <f>IFERROR(VLOOKUP(C103,$H$4:$I$70,2,0),"")</f>
        <v>376</v>
      </c>
    </row>
    <row r="104" spans="2:6" x14ac:dyDescent="0.2">
      <c r="B104" s="13">
        <f t="shared" si="5"/>
        <v>101</v>
      </c>
      <c r="C104" s="8">
        <f t="shared" si="6"/>
        <v>35</v>
      </c>
      <c r="D104" s="8">
        <f t="shared" si="7"/>
        <v>66</v>
      </c>
      <c r="E104" s="8">
        <f>IFERROR(VLOOKUP(D104,$H$4:$I$70,2,0),"")</f>
        <v>138</v>
      </c>
      <c r="F104" s="9">
        <f>IFERROR(VLOOKUP(C104,$H$4:$I$70,2,0),"")</f>
        <v>370</v>
      </c>
    </row>
    <row r="105" spans="2:6" x14ac:dyDescent="0.2">
      <c r="B105" s="13">
        <f t="shared" si="5"/>
        <v>102</v>
      </c>
      <c r="C105" s="8">
        <f t="shared" si="6"/>
        <v>36</v>
      </c>
      <c r="D105" s="8">
        <f t="shared" si="7"/>
        <v>66</v>
      </c>
      <c r="E105" s="8">
        <f>IFERROR(VLOOKUP(D105,$H$4:$I$70,2,0),"")</f>
        <v>138</v>
      </c>
      <c r="F105" s="9">
        <f>IFERROR(VLOOKUP(C105,$H$4:$I$70,2,0),"")</f>
        <v>362</v>
      </c>
    </row>
    <row r="106" spans="2:6" x14ac:dyDescent="0.2">
      <c r="B106" s="13">
        <f t="shared" si="5"/>
        <v>103</v>
      </c>
      <c r="C106" s="8">
        <f t="shared" si="6"/>
        <v>37</v>
      </c>
      <c r="D106" s="8">
        <f t="shared" si="7"/>
        <v>66</v>
      </c>
      <c r="E106" s="8">
        <f>IFERROR(VLOOKUP(D106,$H$4:$I$70,2,0),"")</f>
        <v>138</v>
      </c>
      <c r="F106" s="9">
        <f>IFERROR(VLOOKUP(C106,$H$4:$I$70,2,0),"")</f>
        <v>357</v>
      </c>
    </row>
    <row r="107" spans="2:6" x14ac:dyDescent="0.2">
      <c r="B107" s="13">
        <f t="shared" si="5"/>
        <v>104</v>
      </c>
      <c r="C107" s="8">
        <f t="shared" si="6"/>
        <v>38</v>
      </c>
      <c r="D107" s="8">
        <f t="shared" si="7"/>
        <v>66</v>
      </c>
      <c r="E107" s="8">
        <f>IFERROR(VLOOKUP(D107,$H$4:$I$70,2,0),"")</f>
        <v>138</v>
      </c>
      <c r="F107" s="9">
        <f>IFERROR(VLOOKUP(C107,$H$4:$I$70,2,0),"")</f>
        <v>351</v>
      </c>
    </row>
    <row r="108" spans="2:6" x14ac:dyDescent="0.2">
      <c r="B108" s="13">
        <f t="shared" si="5"/>
        <v>105</v>
      </c>
      <c r="C108" s="8">
        <f t="shared" si="6"/>
        <v>39</v>
      </c>
      <c r="D108" s="8">
        <f t="shared" si="7"/>
        <v>66</v>
      </c>
      <c r="E108" s="8">
        <f>IFERROR(VLOOKUP(D108,$H$4:$I$70,2,0),"")</f>
        <v>138</v>
      </c>
      <c r="F108" s="9">
        <f>IFERROR(VLOOKUP(C108,$H$4:$I$70,2,0),"")</f>
        <v>339</v>
      </c>
    </row>
    <row r="109" spans="2:6" x14ac:dyDescent="0.2">
      <c r="B109" s="13">
        <f t="shared" si="5"/>
        <v>106</v>
      </c>
      <c r="C109" s="8">
        <f t="shared" si="6"/>
        <v>40</v>
      </c>
      <c r="D109" s="8">
        <f t="shared" si="7"/>
        <v>66</v>
      </c>
      <c r="E109" s="8">
        <f>IFERROR(VLOOKUP(D109,$H$4:$I$70,2,0),"")</f>
        <v>138</v>
      </c>
      <c r="F109" s="9">
        <f>IFERROR(VLOOKUP(C109,$H$4:$I$70,2,0),"")</f>
        <v>304</v>
      </c>
    </row>
    <row r="110" spans="2:6" x14ac:dyDescent="0.2">
      <c r="B110" s="13">
        <f t="shared" si="5"/>
        <v>107</v>
      </c>
      <c r="C110" s="8">
        <f t="shared" si="6"/>
        <v>41</v>
      </c>
      <c r="D110" s="8">
        <f t="shared" si="7"/>
        <v>66</v>
      </c>
      <c r="E110" s="8">
        <f>IFERROR(VLOOKUP(D110,$H$4:$I$70,2,0),"")</f>
        <v>138</v>
      </c>
      <c r="F110" s="9">
        <f>IFERROR(VLOOKUP(C110,$H$4:$I$70,2,0),"")</f>
        <v>301</v>
      </c>
    </row>
    <row r="111" spans="2:6" x14ac:dyDescent="0.2">
      <c r="B111" s="13">
        <f t="shared" si="5"/>
        <v>108</v>
      </c>
      <c r="C111" s="8">
        <f t="shared" si="6"/>
        <v>42</v>
      </c>
      <c r="D111" s="8">
        <f t="shared" si="7"/>
        <v>66</v>
      </c>
      <c r="E111" s="8">
        <f>IFERROR(VLOOKUP(D111,$H$4:$I$70,2,0),"")</f>
        <v>138</v>
      </c>
      <c r="F111" s="9">
        <f>IFERROR(VLOOKUP(C111,$H$4:$I$70,2,0),"")</f>
        <v>300</v>
      </c>
    </row>
    <row r="112" spans="2:6" x14ac:dyDescent="0.2">
      <c r="B112" s="13">
        <f t="shared" si="5"/>
        <v>109</v>
      </c>
      <c r="C112" s="8">
        <f t="shared" si="6"/>
        <v>43</v>
      </c>
      <c r="D112" s="8">
        <f t="shared" si="7"/>
        <v>66</v>
      </c>
      <c r="E112" s="8">
        <f>IFERROR(VLOOKUP(D112,$H$4:$I$70,2,0),"")</f>
        <v>138</v>
      </c>
      <c r="F112" s="9">
        <f>IFERROR(VLOOKUP(C112,$H$4:$I$70,2,0),"")</f>
        <v>288</v>
      </c>
    </row>
    <row r="113" spans="2:6" x14ac:dyDescent="0.2">
      <c r="B113" s="13">
        <f t="shared" si="5"/>
        <v>110</v>
      </c>
      <c r="C113" s="8">
        <f t="shared" si="6"/>
        <v>44</v>
      </c>
      <c r="D113" s="8">
        <f t="shared" si="7"/>
        <v>66</v>
      </c>
      <c r="E113" s="8">
        <f>IFERROR(VLOOKUP(D113,$H$4:$I$70,2,0),"")</f>
        <v>138</v>
      </c>
      <c r="F113" s="9">
        <f>IFERROR(VLOOKUP(C113,$H$4:$I$70,2,0),"")</f>
        <v>273</v>
      </c>
    </row>
    <row r="114" spans="2:6" x14ac:dyDescent="0.2">
      <c r="B114" s="13">
        <f t="shared" si="5"/>
        <v>111</v>
      </c>
      <c r="C114" s="8">
        <f t="shared" si="6"/>
        <v>45</v>
      </c>
      <c r="D114" s="8">
        <f t="shared" si="7"/>
        <v>66</v>
      </c>
      <c r="E114" s="8">
        <f>IFERROR(VLOOKUP(D114,$H$4:$I$70,2,0),"")</f>
        <v>138</v>
      </c>
      <c r="F114" s="9">
        <f>IFERROR(VLOOKUP(C114,$H$4:$I$70,2,0),"")</f>
        <v>268</v>
      </c>
    </row>
    <row r="115" spans="2:6" x14ac:dyDescent="0.2">
      <c r="B115" s="13">
        <f t="shared" si="5"/>
        <v>112</v>
      </c>
      <c r="C115" s="8">
        <f t="shared" si="6"/>
        <v>46</v>
      </c>
      <c r="D115" s="8">
        <f t="shared" si="7"/>
        <v>66</v>
      </c>
      <c r="E115" s="8">
        <f>IFERROR(VLOOKUP(D115,$H$4:$I$70,2,0),"")</f>
        <v>138</v>
      </c>
      <c r="F115" s="9">
        <f>IFERROR(VLOOKUP(C115,$H$4:$I$70,2,0),"")</f>
        <v>262</v>
      </c>
    </row>
    <row r="116" spans="2:6" x14ac:dyDescent="0.2">
      <c r="B116" s="13">
        <f t="shared" si="5"/>
        <v>113</v>
      </c>
      <c r="C116" s="8">
        <f t="shared" si="6"/>
        <v>47</v>
      </c>
      <c r="D116" s="8">
        <f t="shared" si="7"/>
        <v>66</v>
      </c>
      <c r="E116" s="8">
        <f>IFERROR(VLOOKUP(D116,$H$4:$I$70,2,0),"")</f>
        <v>138</v>
      </c>
      <c r="F116" s="9">
        <f>IFERROR(VLOOKUP(C116,$H$4:$I$70,2,0),"")</f>
        <v>248</v>
      </c>
    </row>
    <row r="117" spans="2:6" x14ac:dyDescent="0.2">
      <c r="B117" s="13">
        <f t="shared" si="5"/>
        <v>114</v>
      </c>
      <c r="C117" s="8">
        <f t="shared" si="6"/>
        <v>48</v>
      </c>
      <c r="D117" s="8">
        <f t="shared" si="7"/>
        <v>66</v>
      </c>
      <c r="E117" s="8">
        <f>IFERROR(VLOOKUP(D117,$H$4:$I$70,2,0),"")</f>
        <v>138</v>
      </c>
      <c r="F117" s="9">
        <f>IFERROR(VLOOKUP(C117,$H$4:$I$70,2,0),"")</f>
        <v>246</v>
      </c>
    </row>
    <row r="118" spans="2:6" x14ac:dyDescent="0.2">
      <c r="B118" s="13">
        <f t="shared" si="5"/>
        <v>115</v>
      </c>
      <c r="C118" s="8">
        <f t="shared" si="6"/>
        <v>49</v>
      </c>
      <c r="D118" s="8">
        <f t="shared" si="7"/>
        <v>66</v>
      </c>
      <c r="E118" s="8">
        <f>IFERROR(VLOOKUP(D118,$H$4:$I$70,2,0),"")</f>
        <v>138</v>
      </c>
      <c r="F118" s="9">
        <f>IFERROR(VLOOKUP(C118,$H$4:$I$70,2,0),"")</f>
        <v>236</v>
      </c>
    </row>
    <row r="119" spans="2:6" x14ac:dyDescent="0.2">
      <c r="B119" s="13">
        <f t="shared" si="5"/>
        <v>116</v>
      </c>
      <c r="C119" s="8">
        <f t="shared" si="6"/>
        <v>50</v>
      </c>
      <c r="D119" s="8">
        <f t="shared" si="7"/>
        <v>66</v>
      </c>
      <c r="E119" s="8">
        <f>IFERROR(VLOOKUP(D119,$H$4:$I$70,2,0),"")</f>
        <v>138</v>
      </c>
      <c r="F119" s="9">
        <f>IFERROR(VLOOKUP(C119,$H$4:$I$70,2,0),"")</f>
        <v>231</v>
      </c>
    </row>
    <row r="120" spans="2:6" x14ac:dyDescent="0.2">
      <c r="B120" s="13">
        <f t="shared" si="5"/>
        <v>117</v>
      </c>
      <c r="C120" s="8">
        <f t="shared" si="6"/>
        <v>51</v>
      </c>
      <c r="D120" s="8">
        <f t="shared" si="7"/>
        <v>66</v>
      </c>
      <c r="E120" s="8">
        <f>IFERROR(VLOOKUP(D120,$H$4:$I$70,2,0),"")</f>
        <v>138</v>
      </c>
      <c r="F120" s="9">
        <f>IFERROR(VLOOKUP(C120,$H$4:$I$70,2,0),"")</f>
        <v>227</v>
      </c>
    </row>
    <row r="121" spans="2:6" x14ac:dyDescent="0.2">
      <c r="B121" s="13">
        <f t="shared" si="5"/>
        <v>118</v>
      </c>
      <c r="C121" s="8">
        <f t="shared" si="6"/>
        <v>52</v>
      </c>
      <c r="D121" s="8">
        <f t="shared" si="7"/>
        <v>66</v>
      </c>
      <c r="E121" s="8">
        <f>IFERROR(VLOOKUP(D121,$H$4:$I$70,2,0),"")</f>
        <v>138</v>
      </c>
      <c r="F121" s="9">
        <f>IFERROR(VLOOKUP(C121,$H$4:$I$70,2,0),"")</f>
        <v>224</v>
      </c>
    </row>
    <row r="122" spans="2:6" x14ac:dyDescent="0.2">
      <c r="B122" s="13">
        <f t="shared" si="5"/>
        <v>119</v>
      </c>
      <c r="C122" s="8">
        <f t="shared" si="6"/>
        <v>53</v>
      </c>
      <c r="D122" s="8">
        <f t="shared" si="7"/>
        <v>66</v>
      </c>
      <c r="E122" s="8">
        <f>IFERROR(VLOOKUP(D122,$H$4:$I$70,2,0),"")</f>
        <v>138</v>
      </c>
      <c r="F122" s="9">
        <f>IFERROR(VLOOKUP(C122,$H$4:$I$70,2,0),"")</f>
        <v>217</v>
      </c>
    </row>
    <row r="123" spans="2:6" x14ac:dyDescent="0.2">
      <c r="B123" s="13">
        <f t="shared" si="5"/>
        <v>120</v>
      </c>
      <c r="C123" s="8">
        <f t="shared" si="6"/>
        <v>54</v>
      </c>
      <c r="D123" s="8">
        <f t="shared" si="7"/>
        <v>66</v>
      </c>
      <c r="E123" s="8">
        <f>IFERROR(VLOOKUP(D123,$H$4:$I$70,2,0),"")</f>
        <v>138</v>
      </c>
      <c r="F123" s="9">
        <f>IFERROR(VLOOKUP(C123,$H$4:$I$70,2,0),"")</f>
        <v>213</v>
      </c>
    </row>
    <row r="124" spans="2:6" x14ac:dyDescent="0.2">
      <c r="B124" s="13">
        <f t="shared" si="5"/>
        <v>121</v>
      </c>
      <c r="C124" s="8">
        <f t="shared" si="6"/>
        <v>55</v>
      </c>
      <c r="D124" s="8">
        <f t="shared" si="7"/>
        <v>66</v>
      </c>
      <c r="E124" s="8">
        <f>IFERROR(VLOOKUP(D124,$H$4:$I$70,2,0),"")</f>
        <v>138</v>
      </c>
      <c r="F124" s="9">
        <f>IFERROR(VLOOKUP(C124,$H$4:$I$70,2,0),"")</f>
        <v>212</v>
      </c>
    </row>
    <row r="125" spans="2:6" x14ac:dyDescent="0.2">
      <c r="B125" s="13">
        <f t="shared" si="5"/>
        <v>122</v>
      </c>
      <c r="C125" s="8">
        <f t="shared" si="6"/>
        <v>56</v>
      </c>
      <c r="D125" s="8">
        <f t="shared" si="7"/>
        <v>66</v>
      </c>
      <c r="E125" s="8">
        <f>IFERROR(VLOOKUP(D125,$H$4:$I$70,2,0),"")</f>
        <v>138</v>
      </c>
      <c r="F125" s="9">
        <f>IFERROR(VLOOKUP(C125,$H$4:$I$70,2,0),"")</f>
        <v>211</v>
      </c>
    </row>
    <row r="126" spans="2:6" x14ac:dyDescent="0.2">
      <c r="B126" s="13">
        <f t="shared" si="5"/>
        <v>123</v>
      </c>
      <c r="C126" s="8">
        <f t="shared" si="6"/>
        <v>57</v>
      </c>
      <c r="D126" s="8">
        <f t="shared" si="7"/>
        <v>66</v>
      </c>
      <c r="E126" s="8">
        <f>IFERROR(VLOOKUP(D126,$H$4:$I$70,2,0),"")</f>
        <v>138</v>
      </c>
      <c r="F126" s="9">
        <f>IFERROR(VLOOKUP(C126,$H$4:$I$70,2,0),"")</f>
        <v>209</v>
      </c>
    </row>
    <row r="127" spans="2:6" x14ac:dyDescent="0.2">
      <c r="B127" s="13">
        <f t="shared" si="5"/>
        <v>124</v>
      </c>
      <c r="C127" s="8">
        <f t="shared" si="6"/>
        <v>58</v>
      </c>
      <c r="D127" s="8">
        <f t="shared" si="7"/>
        <v>66</v>
      </c>
      <c r="E127" s="8">
        <f>IFERROR(VLOOKUP(D127,$H$4:$I$70,2,0),"")</f>
        <v>138</v>
      </c>
      <c r="F127" s="9">
        <f>IFERROR(VLOOKUP(C127,$H$4:$I$70,2,0),"")</f>
        <v>208</v>
      </c>
    </row>
    <row r="128" spans="2:6" x14ac:dyDescent="0.2">
      <c r="B128" s="13">
        <f t="shared" si="5"/>
        <v>125</v>
      </c>
      <c r="C128" s="8">
        <f t="shared" si="6"/>
        <v>59</v>
      </c>
      <c r="D128" s="8">
        <f t="shared" si="7"/>
        <v>66</v>
      </c>
      <c r="E128" s="8">
        <f>IFERROR(VLOOKUP(D128,$H$4:$I$70,2,0),"")</f>
        <v>138</v>
      </c>
      <c r="F128" s="9">
        <f>IFERROR(VLOOKUP(C128,$H$4:$I$70,2,0),"")</f>
        <v>204</v>
      </c>
    </row>
    <row r="129" spans="2:6" x14ac:dyDescent="0.2">
      <c r="B129" s="13">
        <f t="shared" si="5"/>
        <v>126</v>
      </c>
      <c r="C129" s="8">
        <f t="shared" si="6"/>
        <v>60</v>
      </c>
      <c r="D129" s="8">
        <f t="shared" si="7"/>
        <v>66</v>
      </c>
      <c r="E129" s="8">
        <f>IFERROR(VLOOKUP(D129,$H$4:$I$70,2,0),"")</f>
        <v>138</v>
      </c>
      <c r="F129" s="9">
        <f>IFERROR(VLOOKUP(C129,$H$4:$I$70,2,0),"")</f>
        <v>200</v>
      </c>
    </row>
    <row r="130" spans="2:6" x14ac:dyDescent="0.2">
      <c r="B130" s="13">
        <f t="shared" si="5"/>
        <v>127</v>
      </c>
      <c r="C130" s="8">
        <f t="shared" si="6"/>
        <v>61</v>
      </c>
      <c r="D130" s="8">
        <f t="shared" si="7"/>
        <v>66</v>
      </c>
      <c r="E130" s="8">
        <f>IFERROR(VLOOKUP(D130,$H$4:$I$70,2,0),"")</f>
        <v>138</v>
      </c>
      <c r="F130" s="9">
        <f>IFERROR(VLOOKUP(C130,$H$4:$I$70,2,0),"")</f>
        <v>199</v>
      </c>
    </row>
    <row r="131" spans="2:6" x14ac:dyDescent="0.2">
      <c r="B131" s="13">
        <f t="shared" si="5"/>
        <v>128</v>
      </c>
      <c r="C131" s="8">
        <f t="shared" si="6"/>
        <v>62</v>
      </c>
      <c r="D131" s="8">
        <f t="shared" si="7"/>
        <v>66</v>
      </c>
      <c r="E131" s="8">
        <f>IFERROR(VLOOKUP(D131,$H$4:$I$70,2,0),"")</f>
        <v>138</v>
      </c>
      <c r="F131" s="9">
        <f>IFERROR(VLOOKUP(C131,$H$4:$I$70,2,0),"")</f>
        <v>193</v>
      </c>
    </row>
    <row r="132" spans="2:6" x14ac:dyDescent="0.2">
      <c r="B132" s="13">
        <f t="shared" si="5"/>
        <v>129</v>
      </c>
      <c r="C132" s="8">
        <f t="shared" si="6"/>
        <v>63</v>
      </c>
      <c r="D132" s="8">
        <f t="shared" si="7"/>
        <v>66</v>
      </c>
      <c r="E132" s="8">
        <f>IFERROR(VLOOKUP(D132,$H$4:$I$70,2,0),"")</f>
        <v>138</v>
      </c>
      <c r="F132" s="9">
        <f>IFERROR(VLOOKUP(C132,$H$4:$I$70,2,0),"")</f>
        <v>192</v>
      </c>
    </row>
    <row r="133" spans="2:6" x14ac:dyDescent="0.2">
      <c r="B133" s="13">
        <f t="shared" ref="B133:B196" si="8">ROW()-3</f>
        <v>130</v>
      </c>
      <c r="C133" s="8">
        <f t="shared" si="6"/>
        <v>64</v>
      </c>
      <c r="D133" s="8">
        <f t="shared" si="7"/>
        <v>66</v>
      </c>
      <c r="E133" s="8">
        <f>IFERROR(VLOOKUP(D133,$H$4:$I$70,2,0),"")</f>
        <v>138</v>
      </c>
      <c r="F133" s="9">
        <f>IFERROR(VLOOKUP(C133,$H$4:$I$70,2,0),"")</f>
        <v>168</v>
      </c>
    </row>
    <row r="134" spans="2:6" x14ac:dyDescent="0.2">
      <c r="B134" s="13">
        <f t="shared" si="8"/>
        <v>131</v>
      </c>
      <c r="C134" s="8">
        <f t="shared" ref="C134:C197" si="9">IF((D133-C133)=1,1,C133+1)</f>
        <v>65</v>
      </c>
      <c r="D134" s="8">
        <f t="shared" ref="D134:D197" si="10">IF((D133-C133)=1,D133-1,D133)</f>
        <v>66</v>
      </c>
      <c r="E134" s="8">
        <f>IFERROR(VLOOKUP(D134,$H$4:$I$70,2,0),"")</f>
        <v>138</v>
      </c>
      <c r="F134" s="9">
        <f>IFERROR(VLOOKUP(C134,$H$4:$I$70,2,0),"")</f>
        <v>142</v>
      </c>
    </row>
    <row r="135" spans="2:6" x14ac:dyDescent="0.2">
      <c r="B135" s="13">
        <f t="shared" si="8"/>
        <v>132</v>
      </c>
      <c r="C135" s="8">
        <f t="shared" si="9"/>
        <v>1</v>
      </c>
      <c r="D135" s="8">
        <f t="shared" si="10"/>
        <v>65</v>
      </c>
      <c r="E135" s="8">
        <f>IFERROR(VLOOKUP(D135,$H$4:$I$70,2,0),"")</f>
        <v>142</v>
      </c>
      <c r="F135" s="9">
        <f>IFERROR(VLOOKUP(C135,$H$4:$I$70,2,0),"")</f>
        <v>1344</v>
      </c>
    </row>
    <row r="136" spans="2:6" x14ac:dyDescent="0.2">
      <c r="B136" s="13">
        <f t="shared" si="8"/>
        <v>133</v>
      </c>
      <c r="C136" s="8">
        <f t="shared" si="9"/>
        <v>2</v>
      </c>
      <c r="D136" s="8">
        <f t="shared" si="10"/>
        <v>65</v>
      </c>
      <c r="E136" s="8">
        <f>IFERROR(VLOOKUP(D136,$H$4:$I$70,2,0),"")</f>
        <v>142</v>
      </c>
      <c r="F136" s="9">
        <f>IFERROR(VLOOKUP(C136,$H$4:$I$70,2,0),"")</f>
        <v>1048</v>
      </c>
    </row>
    <row r="137" spans="2:6" x14ac:dyDescent="0.2">
      <c r="B137" s="13">
        <f t="shared" si="8"/>
        <v>134</v>
      </c>
      <c r="C137" s="8">
        <f t="shared" si="9"/>
        <v>3</v>
      </c>
      <c r="D137" s="8">
        <f t="shared" si="10"/>
        <v>65</v>
      </c>
      <c r="E137" s="8">
        <f>IFERROR(VLOOKUP(D137,$H$4:$I$70,2,0),"")</f>
        <v>142</v>
      </c>
      <c r="F137" s="9">
        <f>IFERROR(VLOOKUP(C137,$H$4:$I$70,2,0),"")</f>
        <v>1025</v>
      </c>
    </row>
    <row r="138" spans="2:6" x14ac:dyDescent="0.2">
      <c r="B138" s="13">
        <f t="shared" si="8"/>
        <v>135</v>
      </c>
      <c r="C138" s="8">
        <f t="shared" si="9"/>
        <v>4</v>
      </c>
      <c r="D138" s="8">
        <f t="shared" si="10"/>
        <v>65</v>
      </c>
      <c r="E138" s="8">
        <f>IFERROR(VLOOKUP(D138,$H$4:$I$70,2,0),"")</f>
        <v>142</v>
      </c>
      <c r="F138" s="9">
        <f>IFERROR(VLOOKUP(C138,$H$4:$I$70,2,0),"")</f>
        <v>805</v>
      </c>
    </row>
    <row r="139" spans="2:6" x14ac:dyDescent="0.2">
      <c r="B139" s="13">
        <f t="shared" si="8"/>
        <v>136</v>
      </c>
      <c r="C139" s="8">
        <f t="shared" si="9"/>
        <v>5</v>
      </c>
      <c r="D139" s="8">
        <f t="shared" si="10"/>
        <v>65</v>
      </c>
      <c r="E139" s="8">
        <f>IFERROR(VLOOKUP(D139,$H$4:$I$70,2,0),"")</f>
        <v>142</v>
      </c>
      <c r="F139" s="9">
        <f>IFERROR(VLOOKUP(C139,$H$4:$I$70,2,0),"")</f>
        <v>666</v>
      </c>
    </row>
    <row r="140" spans="2:6" x14ac:dyDescent="0.2">
      <c r="B140" s="13">
        <f t="shared" si="8"/>
        <v>137</v>
      </c>
      <c r="C140" s="8">
        <f t="shared" si="9"/>
        <v>6</v>
      </c>
      <c r="D140" s="8">
        <f t="shared" si="10"/>
        <v>65</v>
      </c>
      <c r="E140" s="8">
        <f>IFERROR(VLOOKUP(D140,$H$4:$I$70,2,0),"")</f>
        <v>142</v>
      </c>
      <c r="F140" s="9">
        <f>IFERROR(VLOOKUP(C140,$H$4:$I$70,2,0),"")</f>
        <v>655</v>
      </c>
    </row>
    <row r="141" spans="2:6" x14ac:dyDescent="0.2">
      <c r="B141" s="13">
        <f t="shared" si="8"/>
        <v>138</v>
      </c>
      <c r="C141" s="8">
        <f t="shared" si="9"/>
        <v>7</v>
      </c>
      <c r="D141" s="8">
        <f t="shared" si="10"/>
        <v>65</v>
      </c>
      <c r="E141" s="8">
        <f>IFERROR(VLOOKUP(D141,$H$4:$I$70,2,0),"")</f>
        <v>142</v>
      </c>
      <c r="F141" s="9">
        <f>IFERROR(VLOOKUP(C141,$H$4:$I$70,2,0),"")</f>
        <v>652</v>
      </c>
    </row>
    <row r="142" spans="2:6" x14ac:dyDescent="0.2">
      <c r="B142" s="13">
        <f t="shared" si="8"/>
        <v>139</v>
      </c>
      <c r="C142" s="8">
        <f t="shared" si="9"/>
        <v>8</v>
      </c>
      <c r="D142" s="8">
        <f t="shared" si="10"/>
        <v>65</v>
      </c>
      <c r="E142" s="8">
        <f>IFERROR(VLOOKUP(D142,$H$4:$I$70,2,0),"")</f>
        <v>142</v>
      </c>
      <c r="F142" s="9">
        <f>IFERROR(VLOOKUP(C142,$H$4:$I$70,2,0),"")</f>
        <v>633</v>
      </c>
    </row>
    <row r="143" spans="2:6" x14ac:dyDescent="0.2">
      <c r="B143" s="13">
        <f t="shared" si="8"/>
        <v>140</v>
      </c>
      <c r="C143" s="8">
        <f t="shared" si="9"/>
        <v>9</v>
      </c>
      <c r="D143" s="8">
        <f t="shared" si="10"/>
        <v>65</v>
      </c>
      <c r="E143" s="8">
        <f>IFERROR(VLOOKUP(D143,$H$4:$I$70,2,0),"")</f>
        <v>142</v>
      </c>
      <c r="F143" s="9">
        <f>IFERROR(VLOOKUP(C143,$H$4:$I$70,2,0),"")</f>
        <v>632</v>
      </c>
    </row>
    <row r="144" spans="2:6" x14ac:dyDescent="0.2">
      <c r="B144" s="13">
        <f t="shared" si="8"/>
        <v>141</v>
      </c>
      <c r="C144" s="8">
        <f t="shared" si="9"/>
        <v>10</v>
      </c>
      <c r="D144" s="8">
        <f t="shared" si="10"/>
        <v>65</v>
      </c>
      <c r="E144" s="8">
        <f>IFERROR(VLOOKUP(D144,$H$4:$I$70,2,0),"")</f>
        <v>142</v>
      </c>
      <c r="F144" s="9">
        <f>IFERROR(VLOOKUP(C144,$H$4:$I$70,2,0),"")</f>
        <v>625</v>
      </c>
    </row>
    <row r="145" spans="2:6" x14ac:dyDescent="0.2">
      <c r="B145" s="13">
        <f t="shared" si="8"/>
        <v>142</v>
      </c>
      <c r="C145" s="8">
        <f t="shared" si="9"/>
        <v>11</v>
      </c>
      <c r="D145" s="8">
        <f t="shared" si="10"/>
        <v>65</v>
      </c>
      <c r="E145" s="8">
        <f>IFERROR(VLOOKUP(D145,$H$4:$I$70,2,0),"")</f>
        <v>142</v>
      </c>
      <c r="F145" s="9">
        <f>IFERROR(VLOOKUP(C145,$H$4:$I$70,2,0),"")</f>
        <v>619</v>
      </c>
    </row>
    <row r="146" spans="2:6" x14ac:dyDescent="0.2">
      <c r="B146" s="13">
        <f t="shared" si="8"/>
        <v>143</v>
      </c>
      <c r="C146" s="8">
        <f t="shared" si="9"/>
        <v>12</v>
      </c>
      <c r="D146" s="8">
        <f t="shared" si="10"/>
        <v>65</v>
      </c>
      <c r="E146" s="8">
        <f>IFERROR(VLOOKUP(D146,$H$4:$I$70,2,0),"")</f>
        <v>142</v>
      </c>
      <c r="F146" s="9">
        <f>IFERROR(VLOOKUP(C146,$H$4:$I$70,2,0),"")</f>
        <v>610</v>
      </c>
    </row>
    <row r="147" spans="2:6" x14ac:dyDescent="0.2">
      <c r="B147" s="13">
        <f t="shared" si="8"/>
        <v>144</v>
      </c>
      <c r="C147" s="8">
        <f t="shared" si="9"/>
        <v>13</v>
      </c>
      <c r="D147" s="8">
        <f t="shared" si="10"/>
        <v>65</v>
      </c>
      <c r="E147" s="8">
        <f>IFERROR(VLOOKUP(D147,$H$4:$I$70,2,0),"")</f>
        <v>142</v>
      </c>
      <c r="F147" s="9">
        <f>IFERROR(VLOOKUP(C147,$H$4:$I$70,2,0),"")</f>
        <v>599</v>
      </c>
    </row>
    <row r="148" spans="2:6" x14ac:dyDescent="0.2">
      <c r="B148" s="13">
        <f t="shared" si="8"/>
        <v>145</v>
      </c>
      <c r="C148" s="8">
        <f t="shared" si="9"/>
        <v>14</v>
      </c>
      <c r="D148" s="8">
        <f t="shared" si="10"/>
        <v>65</v>
      </c>
      <c r="E148" s="8">
        <f>IFERROR(VLOOKUP(D148,$H$4:$I$70,2,0),"")</f>
        <v>142</v>
      </c>
      <c r="F148" s="9">
        <f>IFERROR(VLOOKUP(C148,$H$4:$I$70,2,0),"")</f>
        <v>559</v>
      </c>
    </row>
    <row r="149" spans="2:6" x14ac:dyDescent="0.2">
      <c r="B149" s="13">
        <f t="shared" si="8"/>
        <v>146</v>
      </c>
      <c r="C149" s="8">
        <f t="shared" si="9"/>
        <v>15</v>
      </c>
      <c r="D149" s="8">
        <f t="shared" si="10"/>
        <v>65</v>
      </c>
      <c r="E149" s="8">
        <f>IFERROR(VLOOKUP(D149,$H$4:$I$70,2,0),"")</f>
        <v>142</v>
      </c>
      <c r="F149" s="9">
        <f>IFERROR(VLOOKUP(C149,$H$4:$I$70,2,0),"")</f>
        <v>556</v>
      </c>
    </row>
    <row r="150" spans="2:6" x14ac:dyDescent="0.2">
      <c r="B150" s="13">
        <f t="shared" si="8"/>
        <v>147</v>
      </c>
      <c r="C150" s="8">
        <f t="shared" si="9"/>
        <v>16</v>
      </c>
      <c r="D150" s="8">
        <f t="shared" si="10"/>
        <v>65</v>
      </c>
      <c r="E150" s="8">
        <f>IFERROR(VLOOKUP(D150,$H$4:$I$70,2,0),"")</f>
        <v>142</v>
      </c>
      <c r="F150" s="9">
        <f>IFERROR(VLOOKUP(C150,$H$4:$I$70,2,0),"")</f>
        <v>540</v>
      </c>
    </row>
    <row r="151" spans="2:6" x14ac:dyDescent="0.2">
      <c r="B151" s="13">
        <f t="shared" si="8"/>
        <v>148</v>
      </c>
      <c r="C151" s="8">
        <f t="shared" si="9"/>
        <v>17</v>
      </c>
      <c r="D151" s="8">
        <f t="shared" si="10"/>
        <v>65</v>
      </c>
      <c r="E151" s="8">
        <f>IFERROR(VLOOKUP(D151,$H$4:$I$70,2,0),"")</f>
        <v>142</v>
      </c>
      <c r="F151" s="9">
        <f>IFERROR(VLOOKUP(C151,$H$4:$I$70,2,0),"")</f>
        <v>536</v>
      </c>
    </row>
    <row r="152" spans="2:6" x14ac:dyDescent="0.2">
      <c r="B152" s="13">
        <f t="shared" si="8"/>
        <v>149</v>
      </c>
      <c r="C152" s="8">
        <f t="shared" si="9"/>
        <v>18</v>
      </c>
      <c r="D152" s="8">
        <f t="shared" si="10"/>
        <v>65</v>
      </c>
      <c r="E152" s="8">
        <f>IFERROR(VLOOKUP(D152,$H$4:$I$70,2,0),"")</f>
        <v>142</v>
      </c>
      <c r="F152" s="9">
        <f>IFERROR(VLOOKUP(C152,$H$4:$I$70,2,0),"")</f>
        <v>527</v>
      </c>
    </row>
    <row r="153" spans="2:6" x14ac:dyDescent="0.2">
      <c r="B153" s="13">
        <f t="shared" si="8"/>
        <v>150</v>
      </c>
      <c r="C153" s="8">
        <f t="shared" si="9"/>
        <v>19</v>
      </c>
      <c r="D153" s="8">
        <f t="shared" si="10"/>
        <v>65</v>
      </c>
      <c r="E153" s="8">
        <f>IFERROR(VLOOKUP(D153,$H$4:$I$70,2,0),"")</f>
        <v>142</v>
      </c>
      <c r="F153" s="9">
        <f>IFERROR(VLOOKUP(C153,$H$4:$I$70,2,0),"")</f>
        <v>478</v>
      </c>
    </row>
    <row r="154" spans="2:6" x14ac:dyDescent="0.2">
      <c r="B154" s="13">
        <f t="shared" si="8"/>
        <v>151</v>
      </c>
      <c r="C154" s="8">
        <f t="shared" si="9"/>
        <v>20</v>
      </c>
      <c r="D154" s="8">
        <f t="shared" si="10"/>
        <v>65</v>
      </c>
      <c r="E154" s="8">
        <f>IFERROR(VLOOKUP(D154,$H$4:$I$70,2,0),"")</f>
        <v>142</v>
      </c>
      <c r="F154" s="9">
        <f>IFERROR(VLOOKUP(C154,$H$4:$I$70,2,0),"")</f>
        <v>474</v>
      </c>
    </row>
    <row r="155" spans="2:6" x14ac:dyDescent="0.2">
      <c r="B155" s="13">
        <f t="shared" si="8"/>
        <v>152</v>
      </c>
      <c r="C155" s="8">
        <f t="shared" si="9"/>
        <v>21</v>
      </c>
      <c r="D155" s="8">
        <f t="shared" si="10"/>
        <v>65</v>
      </c>
      <c r="E155" s="8">
        <f>IFERROR(VLOOKUP(D155,$H$4:$I$70,2,0),"")</f>
        <v>142</v>
      </c>
      <c r="F155" s="9">
        <f>IFERROR(VLOOKUP(C155,$H$4:$I$70,2,0),"")</f>
        <v>468</v>
      </c>
    </row>
    <row r="156" spans="2:6" x14ac:dyDescent="0.2">
      <c r="B156" s="13">
        <f t="shared" si="8"/>
        <v>153</v>
      </c>
      <c r="C156" s="8">
        <f t="shared" si="9"/>
        <v>22</v>
      </c>
      <c r="D156" s="8">
        <f t="shared" si="10"/>
        <v>65</v>
      </c>
      <c r="E156" s="8">
        <f>IFERROR(VLOOKUP(D156,$H$4:$I$70,2,0),"")</f>
        <v>142</v>
      </c>
      <c r="F156" s="9">
        <f>IFERROR(VLOOKUP(C156,$H$4:$I$70,2,0),"")</f>
        <v>457</v>
      </c>
    </row>
    <row r="157" spans="2:6" x14ac:dyDescent="0.2">
      <c r="B157" s="13">
        <f t="shared" si="8"/>
        <v>154</v>
      </c>
      <c r="C157" s="8">
        <f t="shared" si="9"/>
        <v>23</v>
      </c>
      <c r="D157" s="8">
        <f t="shared" si="10"/>
        <v>65</v>
      </c>
      <c r="E157" s="8">
        <f>IFERROR(VLOOKUP(D157,$H$4:$I$70,2,0),"")</f>
        <v>142</v>
      </c>
      <c r="F157" s="9">
        <f>IFERROR(VLOOKUP(C157,$H$4:$I$70,2,0),"")</f>
        <v>452</v>
      </c>
    </row>
    <row r="158" spans="2:6" x14ac:dyDescent="0.2">
      <c r="B158" s="13">
        <f t="shared" si="8"/>
        <v>155</v>
      </c>
      <c r="C158" s="8">
        <f t="shared" si="9"/>
        <v>24</v>
      </c>
      <c r="D158" s="8">
        <f t="shared" si="10"/>
        <v>65</v>
      </c>
      <c r="E158" s="8">
        <f>IFERROR(VLOOKUP(D158,$H$4:$I$70,2,0),"")</f>
        <v>142</v>
      </c>
      <c r="F158" s="9">
        <f>IFERROR(VLOOKUP(C158,$H$4:$I$70,2,0),"")</f>
        <v>442</v>
      </c>
    </row>
    <row r="159" spans="2:6" x14ac:dyDescent="0.2">
      <c r="B159" s="13">
        <f t="shared" si="8"/>
        <v>156</v>
      </c>
      <c r="C159" s="8">
        <f t="shared" si="9"/>
        <v>25</v>
      </c>
      <c r="D159" s="8">
        <f t="shared" si="10"/>
        <v>65</v>
      </c>
      <c r="E159" s="8">
        <f>IFERROR(VLOOKUP(D159,$H$4:$I$70,2,0),"")</f>
        <v>142</v>
      </c>
      <c r="F159" s="9">
        <f>IFERROR(VLOOKUP(C159,$H$4:$I$70,2,0),"")</f>
        <v>420</v>
      </c>
    </row>
    <row r="160" spans="2:6" x14ac:dyDescent="0.2">
      <c r="B160" s="13">
        <f t="shared" si="8"/>
        <v>157</v>
      </c>
      <c r="C160" s="8">
        <f t="shared" si="9"/>
        <v>26</v>
      </c>
      <c r="D160" s="8">
        <f t="shared" si="10"/>
        <v>65</v>
      </c>
      <c r="E160" s="8">
        <f>IFERROR(VLOOKUP(D160,$H$4:$I$70,2,0),"")</f>
        <v>142</v>
      </c>
      <c r="F160" s="9">
        <f>IFERROR(VLOOKUP(C160,$H$4:$I$70,2,0),"")</f>
        <v>410</v>
      </c>
    </row>
    <row r="161" spans="2:6" x14ac:dyDescent="0.2">
      <c r="B161" s="13">
        <f t="shared" si="8"/>
        <v>158</v>
      </c>
      <c r="C161" s="8">
        <f t="shared" si="9"/>
        <v>27</v>
      </c>
      <c r="D161" s="8">
        <f t="shared" si="10"/>
        <v>65</v>
      </c>
      <c r="E161" s="8">
        <f>IFERROR(VLOOKUP(D161,$H$4:$I$70,2,0),"")</f>
        <v>142</v>
      </c>
      <c r="F161" s="9">
        <f>IFERROR(VLOOKUP(C161,$H$4:$I$70,2,0),"")</f>
        <v>409</v>
      </c>
    </row>
    <row r="162" spans="2:6" x14ac:dyDescent="0.2">
      <c r="B162" s="13">
        <f t="shared" si="8"/>
        <v>159</v>
      </c>
      <c r="C162" s="8">
        <f t="shared" si="9"/>
        <v>28</v>
      </c>
      <c r="D162" s="8">
        <f t="shared" si="10"/>
        <v>65</v>
      </c>
      <c r="E162" s="8">
        <f>IFERROR(VLOOKUP(D162,$H$4:$I$70,2,0),"")</f>
        <v>142</v>
      </c>
      <c r="F162" s="9">
        <f>IFERROR(VLOOKUP(C162,$H$4:$I$70,2,0),"")</f>
        <v>408</v>
      </c>
    </row>
    <row r="163" spans="2:6" x14ac:dyDescent="0.2">
      <c r="B163" s="13">
        <f t="shared" si="8"/>
        <v>160</v>
      </c>
      <c r="C163" s="8">
        <f t="shared" si="9"/>
        <v>29</v>
      </c>
      <c r="D163" s="8">
        <f t="shared" si="10"/>
        <v>65</v>
      </c>
      <c r="E163" s="8">
        <f>IFERROR(VLOOKUP(D163,$H$4:$I$70,2,0),"")</f>
        <v>142</v>
      </c>
      <c r="F163" s="9">
        <f>IFERROR(VLOOKUP(C163,$H$4:$I$70,2,0),"")</f>
        <v>404</v>
      </c>
    </row>
    <row r="164" spans="2:6" x14ac:dyDescent="0.2">
      <c r="B164" s="13">
        <f t="shared" si="8"/>
        <v>161</v>
      </c>
      <c r="C164" s="8">
        <f t="shared" si="9"/>
        <v>30</v>
      </c>
      <c r="D164" s="8">
        <f t="shared" si="10"/>
        <v>65</v>
      </c>
      <c r="E164" s="8">
        <f>IFERROR(VLOOKUP(D164,$H$4:$I$70,2,0),"")</f>
        <v>142</v>
      </c>
      <c r="F164" s="9">
        <f>IFERROR(VLOOKUP(C164,$H$4:$I$70,2,0),"")</f>
        <v>399</v>
      </c>
    </row>
    <row r="165" spans="2:6" x14ac:dyDescent="0.2">
      <c r="B165" s="13">
        <f t="shared" si="8"/>
        <v>162</v>
      </c>
      <c r="C165" s="8">
        <f t="shared" si="9"/>
        <v>31</v>
      </c>
      <c r="D165" s="8">
        <f t="shared" si="10"/>
        <v>65</v>
      </c>
      <c r="E165" s="8">
        <f>IFERROR(VLOOKUP(D165,$H$4:$I$70,2,0),"")</f>
        <v>142</v>
      </c>
      <c r="F165" s="9">
        <f>IFERROR(VLOOKUP(C165,$H$4:$I$70,2,0),"")</f>
        <v>396</v>
      </c>
    </row>
    <row r="166" spans="2:6" x14ac:dyDescent="0.2">
      <c r="B166" s="13">
        <f t="shared" si="8"/>
        <v>163</v>
      </c>
      <c r="C166" s="8">
        <f t="shared" si="9"/>
        <v>32</v>
      </c>
      <c r="D166" s="8">
        <f t="shared" si="10"/>
        <v>65</v>
      </c>
      <c r="E166" s="8">
        <f>IFERROR(VLOOKUP(D166,$H$4:$I$70,2,0),"")</f>
        <v>142</v>
      </c>
      <c r="F166" s="9">
        <f>IFERROR(VLOOKUP(C166,$H$4:$I$70,2,0),"")</f>
        <v>384</v>
      </c>
    </row>
    <row r="167" spans="2:6" x14ac:dyDescent="0.2">
      <c r="B167" s="13">
        <f t="shared" si="8"/>
        <v>164</v>
      </c>
      <c r="C167" s="8">
        <f t="shared" si="9"/>
        <v>33</v>
      </c>
      <c r="D167" s="8">
        <f t="shared" si="10"/>
        <v>65</v>
      </c>
      <c r="E167" s="8">
        <f>IFERROR(VLOOKUP(D167,$H$4:$I$70,2,0),"")</f>
        <v>142</v>
      </c>
      <c r="F167" s="9">
        <f>IFERROR(VLOOKUP(C167,$H$4:$I$70,2,0),"")</f>
        <v>381</v>
      </c>
    </row>
    <row r="168" spans="2:6" x14ac:dyDescent="0.2">
      <c r="B168" s="13">
        <f t="shared" si="8"/>
        <v>165</v>
      </c>
      <c r="C168" s="8">
        <f t="shared" si="9"/>
        <v>34</v>
      </c>
      <c r="D168" s="8">
        <f t="shared" si="10"/>
        <v>65</v>
      </c>
      <c r="E168" s="8">
        <f>IFERROR(VLOOKUP(D168,$H$4:$I$70,2,0),"")</f>
        <v>142</v>
      </c>
      <c r="F168" s="9">
        <f>IFERROR(VLOOKUP(C168,$H$4:$I$70,2,0),"")</f>
        <v>376</v>
      </c>
    </row>
    <row r="169" spans="2:6" x14ac:dyDescent="0.2">
      <c r="B169" s="13">
        <f t="shared" si="8"/>
        <v>166</v>
      </c>
      <c r="C169" s="8">
        <f t="shared" si="9"/>
        <v>35</v>
      </c>
      <c r="D169" s="8">
        <f t="shared" si="10"/>
        <v>65</v>
      </c>
      <c r="E169" s="8">
        <f>IFERROR(VLOOKUP(D169,$H$4:$I$70,2,0),"")</f>
        <v>142</v>
      </c>
      <c r="F169" s="9">
        <f>IFERROR(VLOOKUP(C169,$H$4:$I$70,2,0),"")</f>
        <v>370</v>
      </c>
    </row>
    <row r="170" spans="2:6" x14ac:dyDescent="0.2">
      <c r="B170" s="13">
        <f t="shared" si="8"/>
        <v>167</v>
      </c>
      <c r="C170" s="8">
        <f t="shared" si="9"/>
        <v>36</v>
      </c>
      <c r="D170" s="8">
        <f t="shared" si="10"/>
        <v>65</v>
      </c>
      <c r="E170" s="8">
        <f>IFERROR(VLOOKUP(D170,$H$4:$I$70,2,0),"")</f>
        <v>142</v>
      </c>
      <c r="F170" s="9">
        <f>IFERROR(VLOOKUP(C170,$H$4:$I$70,2,0),"")</f>
        <v>362</v>
      </c>
    </row>
    <row r="171" spans="2:6" x14ac:dyDescent="0.2">
      <c r="B171" s="13">
        <f t="shared" si="8"/>
        <v>168</v>
      </c>
      <c r="C171" s="8">
        <f t="shared" si="9"/>
        <v>37</v>
      </c>
      <c r="D171" s="8">
        <f t="shared" si="10"/>
        <v>65</v>
      </c>
      <c r="E171" s="8">
        <f>IFERROR(VLOOKUP(D171,$H$4:$I$70,2,0),"")</f>
        <v>142</v>
      </c>
      <c r="F171" s="9">
        <f>IFERROR(VLOOKUP(C171,$H$4:$I$70,2,0),"")</f>
        <v>357</v>
      </c>
    </row>
    <row r="172" spans="2:6" x14ac:dyDescent="0.2">
      <c r="B172" s="13">
        <f t="shared" si="8"/>
        <v>169</v>
      </c>
      <c r="C172" s="8">
        <f t="shared" si="9"/>
        <v>38</v>
      </c>
      <c r="D172" s="8">
        <f t="shared" si="10"/>
        <v>65</v>
      </c>
      <c r="E172" s="8">
        <f>IFERROR(VLOOKUP(D172,$H$4:$I$70,2,0),"")</f>
        <v>142</v>
      </c>
      <c r="F172" s="9">
        <f>IFERROR(VLOOKUP(C172,$H$4:$I$70,2,0),"")</f>
        <v>351</v>
      </c>
    </row>
    <row r="173" spans="2:6" x14ac:dyDescent="0.2">
      <c r="B173" s="13">
        <f t="shared" si="8"/>
        <v>170</v>
      </c>
      <c r="C173" s="8">
        <f t="shared" si="9"/>
        <v>39</v>
      </c>
      <c r="D173" s="8">
        <f t="shared" si="10"/>
        <v>65</v>
      </c>
      <c r="E173" s="8">
        <f>IFERROR(VLOOKUP(D173,$H$4:$I$70,2,0),"")</f>
        <v>142</v>
      </c>
      <c r="F173" s="9">
        <f>IFERROR(VLOOKUP(C173,$H$4:$I$70,2,0),"")</f>
        <v>339</v>
      </c>
    </row>
    <row r="174" spans="2:6" x14ac:dyDescent="0.2">
      <c r="B174" s="13">
        <f t="shared" si="8"/>
        <v>171</v>
      </c>
      <c r="C174" s="8">
        <f t="shared" si="9"/>
        <v>40</v>
      </c>
      <c r="D174" s="8">
        <f t="shared" si="10"/>
        <v>65</v>
      </c>
      <c r="E174" s="8">
        <f>IFERROR(VLOOKUP(D174,$H$4:$I$70,2,0),"")</f>
        <v>142</v>
      </c>
      <c r="F174" s="9">
        <f>IFERROR(VLOOKUP(C174,$H$4:$I$70,2,0),"")</f>
        <v>304</v>
      </c>
    </row>
    <row r="175" spans="2:6" x14ac:dyDescent="0.2">
      <c r="B175" s="13">
        <f t="shared" si="8"/>
        <v>172</v>
      </c>
      <c r="C175" s="8">
        <f t="shared" si="9"/>
        <v>41</v>
      </c>
      <c r="D175" s="8">
        <f t="shared" si="10"/>
        <v>65</v>
      </c>
      <c r="E175" s="8">
        <f>IFERROR(VLOOKUP(D175,$H$4:$I$70,2,0),"")</f>
        <v>142</v>
      </c>
      <c r="F175" s="9">
        <f>IFERROR(VLOOKUP(C175,$H$4:$I$70,2,0),"")</f>
        <v>301</v>
      </c>
    </row>
    <row r="176" spans="2:6" x14ac:dyDescent="0.2">
      <c r="B176" s="13">
        <f t="shared" si="8"/>
        <v>173</v>
      </c>
      <c r="C176" s="8">
        <f t="shared" si="9"/>
        <v>42</v>
      </c>
      <c r="D176" s="8">
        <f t="shared" si="10"/>
        <v>65</v>
      </c>
      <c r="E176" s="8">
        <f>IFERROR(VLOOKUP(D176,$H$4:$I$70,2,0),"")</f>
        <v>142</v>
      </c>
      <c r="F176" s="9">
        <f>IFERROR(VLOOKUP(C176,$H$4:$I$70,2,0),"")</f>
        <v>300</v>
      </c>
    </row>
    <row r="177" spans="2:6" x14ac:dyDescent="0.2">
      <c r="B177" s="13">
        <f t="shared" si="8"/>
        <v>174</v>
      </c>
      <c r="C177" s="8">
        <f t="shared" si="9"/>
        <v>43</v>
      </c>
      <c r="D177" s="8">
        <f t="shared" si="10"/>
        <v>65</v>
      </c>
      <c r="E177" s="8">
        <f>IFERROR(VLOOKUP(D177,$H$4:$I$70,2,0),"")</f>
        <v>142</v>
      </c>
      <c r="F177" s="9">
        <f>IFERROR(VLOOKUP(C177,$H$4:$I$70,2,0),"")</f>
        <v>288</v>
      </c>
    </row>
    <row r="178" spans="2:6" x14ac:dyDescent="0.2">
      <c r="B178" s="13">
        <f t="shared" si="8"/>
        <v>175</v>
      </c>
      <c r="C178" s="8">
        <f t="shared" si="9"/>
        <v>44</v>
      </c>
      <c r="D178" s="8">
        <f t="shared" si="10"/>
        <v>65</v>
      </c>
      <c r="E178" s="8">
        <f>IFERROR(VLOOKUP(D178,$H$4:$I$70,2,0),"")</f>
        <v>142</v>
      </c>
      <c r="F178" s="9">
        <f>IFERROR(VLOOKUP(C178,$H$4:$I$70,2,0),"")</f>
        <v>273</v>
      </c>
    </row>
    <row r="179" spans="2:6" x14ac:dyDescent="0.2">
      <c r="B179" s="13">
        <f t="shared" si="8"/>
        <v>176</v>
      </c>
      <c r="C179" s="8">
        <f t="shared" si="9"/>
        <v>45</v>
      </c>
      <c r="D179" s="8">
        <f t="shared" si="10"/>
        <v>65</v>
      </c>
      <c r="E179" s="8">
        <f>IFERROR(VLOOKUP(D179,$H$4:$I$70,2,0),"")</f>
        <v>142</v>
      </c>
      <c r="F179" s="9">
        <f>IFERROR(VLOOKUP(C179,$H$4:$I$70,2,0),"")</f>
        <v>268</v>
      </c>
    </row>
    <row r="180" spans="2:6" x14ac:dyDescent="0.2">
      <c r="B180" s="13">
        <f t="shared" si="8"/>
        <v>177</v>
      </c>
      <c r="C180" s="8">
        <f t="shared" si="9"/>
        <v>46</v>
      </c>
      <c r="D180" s="8">
        <f t="shared" si="10"/>
        <v>65</v>
      </c>
      <c r="E180" s="8">
        <f>IFERROR(VLOOKUP(D180,$H$4:$I$70,2,0),"")</f>
        <v>142</v>
      </c>
      <c r="F180" s="9">
        <f>IFERROR(VLOOKUP(C180,$H$4:$I$70,2,0),"")</f>
        <v>262</v>
      </c>
    </row>
    <row r="181" spans="2:6" x14ac:dyDescent="0.2">
      <c r="B181" s="13">
        <f t="shared" si="8"/>
        <v>178</v>
      </c>
      <c r="C181" s="8">
        <f t="shared" si="9"/>
        <v>47</v>
      </c>
      <c r="D181" s="8">
        <f t="shared" si="10"/>
        <v>65</v>
      </c>
      <c r="E181" s="8">
        <f>IFERROR(VLOOKUP(D181,$H$4:$I$70,2,0),"")</f>
        <v>142</v>
      </c>
      <c r="F181" s="9">
        <f>IFERROR(VLOOKUP(C181,$H$4:$I$70,2,0),"")</f>
        <v>248</v>
      </c>
    </row>
    <row r="182" spans="2:6" x14ac:dyDescent="0.2">
      <c r="B182" s="13">
        <f t="shared" si="8"/>
        <v>179</v>
      </c>
      <c r="C182" s="8">
        <f t="shared" si="9"/>
        <v>48</v>
      </c>
      <c r="D182" s="8">
        <f t="shared" si="10"/>
        <v>65</v>
      </c>
      <c r="E182" s="8">
        <f>IFERROR(VLOOKUP(D182,$H$4:$I$70,2,0),"")</f>
        <v>142</v>
      </c>
      <c r="F182" s="9">
        <f>IFERROR(VLOOKUP(C182,$H$4:$I$70,2,0),"")</f>
        <v>246</v>
      </c>
    </row>
    <row r="183" spans="2:6" x14ac:dyDescent="0.2">
      <c r="B183" s="13">
        <f t="shared" si="8"/>
        <v>180</v>
      </c>
      <c r="C183" s="8">
        <f t="shared" si="9"/>
        <v>49</v>
      </c>
      <c r="D183" s="8">
        <f t="shared" si="10"/>
        <v>65</v>
      </c>
      <c r="E183" s="8">
        <f>IFERROR(VLOOKUP(D183,$H$4:$I$70,2,0),"")</f>
        <v>142</v>
      </c>
      <c r="F183" s="9">
        <f>IFERROR(VLOOKUP(C183,$H$4:$I$70,2,0),"")</f>
        <v>236</v>
      </c>
    </row>
    <row r="184" spans="2:6" x14ac:dyDescent="0.2">
      <c r="B184" s="13">
        <f t="shared" si="8"/>
        <v>181</v>
      </c>
      <c r="C184" s="8">
        <f t="shared" si="9"/>
        <v>50</v>
      </c>
      <c r="D184" s="8">
        <f t="shared" si="10"/>
        <v>65</v>
      </c>
      <c r="E184" s="8">
        <f>IFERROR(VLOOKUP(D184,$H$4:$I$70,2,0),"")</f>
        <v>142</v>
      </c>
      <c r="F184" s="9">
        <f>IFERROR(VLOOKUP(C184,$H$4:$I$70,2,0),"")</f>
        <v>231</v>
      </c>
    </row>
    <row r="185" spans="2:6" x14ac:dyDescent="0.2">
      <c r="B185" s="13">
        <f t="shared" si="8"/>
        <v>182</v>
      </c>
      <c r="C185" s="8">
        <f t="shared" si="9"/>
        <v>51</v>
      </c>
      <c r="D185" s="8">
        <f t="shared" si="10"/>
        <v>65</v>
      </c>
      <c r="E185" s="8">
        <f>IFERROR(VLOOKUP(D185,$H$4:$I$70,2,0),"")</f>
        <v>142</v>
      </c>
      <c r="F185" s="9">
        <f>IFERROR(VLOOKUP(C185,$H$4:$I$70,2,0),"")</f>
        <v>227</v>
      </c>
    </row>
    <row r="186" spans="2:6" x14ac:dyDescent="0.2">
      <c r="B186" s="13">
        <f t="shared" si="8"/>
        <v>183</v>
      </c>
      <c r="C186" s="8">
        <f t="shared" si="9"/>
        <v>52</v>
      </c>
      <c r="D186" s="8">
        <f t="shared" si="10"/>
        <v>65</v>
      </c>
      <c r="E186" s="8">
        <f>IFERROR(VLOOKUP(D186,$H$4:$I$70,2,0),"")</f>
        <v>142</v>
      </c>
      <c r="F186" s="9">
        <f>IFERROR(VLOOKUP(C186,$H$4:$I$70,2,0),"")</f>
        <v>224</v>
      </c>
    </row>
    <row r="187" spans="2:6" x14ac:dyDescent="0.2">
      <c r="B187" s="13">
        <f t="shared" si="8"/>
        <v>184</v>
      </c>
      <c r="C187" s="8">
        <f t="shared" si="9"/>
        <v>53</v>
      </c>
      <c r="D187" s="8">
        <f t="shared" si="10"/>
        <v>65</v>
      </c>
      <c r="E187" s="8">
        <f>IFERROR(VLOOKUP(D187,$H$4:$I$70,2,0),"")</f>
        <v>142</v>
      </c>
      <c r="F187" s="9">
        <f>IFERROR(VLOOKUP(C187,$H$4:$I$70,2,0),"")</f>
        <v>217</v>
      </c>
    </row>
    <row r="188" spans="2:6" x14ac:dyDescent="0.2">
      <c r="B188" s="13">
        <f t="shared" si="8"/>
        <v>185</v>
      </c>
      <c r="C188" s="8">
        <f t="shared" si="9"/>
        <v>54</v>
      </c>
      <c r="D188" s="8">
        <f t="shared" si="10"/>
        <v>65</v>
      </c>
      <c r="E188" s="8">
        <f>IFERROR(VLOOKUP(D188,$H$4:$I$70,2,0),"")</f>
        <v>142</v>
      </c>
      <c r="F188" s="9">
        <f>IFERROR(VLOOKUP(C188,$H$4:$I$70,2,0),"")</f>
        <v>213</v>
      </c>
    </row>
    <row r="189" spans="2:6" x14ac:dyDescent="0.2">
      <c r="B189" s="13">
        <f t="shared" si="8"/>
        <v>186</v>
      </c>
      <c r="C189" s="8">
        <f t="shared" si="9"/>
        <v>55</v>
      </c>
      <c r="D189" s="8">
        <f t="shared" si="10"/>
        <v>65</v>
      </c>
      <c r="E189" s="8">
        <f>IFERROR(VLOOKUP(D189,$H$4:$I$70,2,0),"")</f>
        <v>142</v>
      </c>
      <c r="F189" s="9">
        <f>IFERROR(VLOOKUP(C189,$H$4:$I$70,2,0),"")</f>
        <v>212</v>
      </c>
    </row>
    <row r="190" spans="2:6" x14ac:dyDescent="0.2">
      <c r="B190" s="13">
        <f t="shared" si="8"/>
        <v>187</v>
      </c>
      <c r="C190" s="8">
        <f t="shared" si="9"/>
        <v>56</v>
      </c>
      <c r="D190" s="8">
        <f t="shared" si="10"/>
        <v>65</v>
      </c>
      <c r="E190" s="8">
        <f>IFERROR(VLOOKUP(D190,$H$4:$I$70,2,0),"")</f>
        <v>142</v>
      </c>
      <c r="F190" s="9">
        <f>IFERROR(VLOOKUP(C190,$H$4:$I$70,2,0),"")</f>
        <v>211</v>
      </c>
    </row>
    <row r="191" spans="2:6" x14ac:dyDescent="0.2">
      <c r="B191" s="13">
        <f t="shared" si="8"/>
        <v>188</v>
      </c>
      <c r="C191" s="8">
        <f t="shared" si="9"/>
        <v>57</v>
      </c>
      <c r="D191" s="8">
        <f t="shared" si="10"/>
        <v>65</v>
      </c>
      <c r="E191" s="8">
        <f>IFERROR(VLOOKUP(D191,$H$4:$I$70,2,0),"")</f>
        <v>142</v>
      </c>
      <c r="F191" s="9">
        <f>IFERROR(VLOOKUP(C191,$H$4:$I$70,2,0),"")</f>
        <v>209</v>
      </c>
    </row>
    <row r="192" spans="2:6" x14ac:dyDescent="0.2">
      <c r="B192" s="13">
        <f t="shared" si="8"/>
        <v>189</v>
      </c>
      <c r="C192" s="8">
        <f t="shared" si="9"/>
        <v>58</v>
      </c>
      <c r="D192" s="8">
        <f t="shared" si="10"/>
        <v>65</v>
      </c>
      <c r="E192" s="8">
        <f>IFERROR(VLOOKUP(D192,$H$4:$I$70,2,0),"")</f>
        <v>142</v>
      </c>
      <c r="F192" s="9">
        <f>IFERROR(VLOOKUP(C192,$H$4:$I$70,2,0),"")</f>
        <v>208</v>
      </c>
    </row>
    <row r="193" spans="2:6" x14ac:dyDescent="0.2">
      <c r="B193" s="13">
        <f t="shared" si="8"/>
        <v>190</v>
      </c>
      <c r="C193" s="8">
        <f t="shared" si="9"/>
        <v>59</v>
      </c>
      <c r="D193" s="8">
        <f t="shared" si="10"/>
        <v>65</v>
      </c>
      <c r="E193" s="8">
        <f>IFERROR(VLOOKUP(D193,$H$4:$I$70,2,0),"")</f>
        <v>142</v>
      </c>
      <c r="F193" s="9">
        <f>IFERROR(VLOOKUP(C193,$H$4:$I$70,2,0),"")</f>
        <v>204</v>
      </c>
    </row>
    <row r="194" spans="2:6" x14ac:dyDescent="0.2">
      <c r="B194" s="13">
        <f t="shared" si="8"/>
        <v>191</v>
      </c>
      <c r="C194" s="8">
        <f t="shared" si="9"/>
        <v>60</v>
      </c>
      <c r="D194" s="8">
        <f t="shared" si="10"/>
        <v>65</v>
      </c>
      <c r="E194" s="8">
        <f>IFERROR(VLOOKUP(D194,$H$4:$I$70,2,0),"")</f>
        <v>142</v>
      </c>
      <c r="F194" s="9">
        <f>IFERROR(VLOOKUP(C194,$H$4:$I$70,2,0),"")</f>
        <v>200</v>
      </c>
    </row>
    <row r="195" spans="2:6" x14ac:dyDescent="0.2">
      <c r="B195" s="13">
        <f t="shared" si="8"/>
        <v>192</v>
      </c>
      <c r="C195" s="8">
        <f t="shared" si="9"/>
        <v>61</v>
      </c>
      <c r="D195" s="8">
        <f t="shared" si="10"/>
        <v>65</v>
      </c>
      <c r="E195" s="8">
        <f>IFERROR(VLOOKUP(D195,$H$4:$I$70,2,0),"")</f>
        <v>142</v>
      </c>
      <c r="F195" s="9">
        <f>IFERROR(VLOOKUP(C195,$H$4:$I$70,2,0),"")</f>
        <v>199</v>
      </c>
    </row>
    <row r="196" spans="2:6" x14ac:dyDescent="0.2">
      <c r="B196" s="13">
        <f t="shared" si="8"/>
        <v>193</v>
      </c>
      <c r="C196" s="8">
        <f t="shared" si="9"/>
        <v>62</v>
      </c>
      <c r="D196" s="8">
        <f t="shared" si="10"/>
        <v>65</v>
      </c>
      <c r="E196" s="8">
        <f>IFERROR(VLOOKUP(D196,$H$4:$I$70,2,0),"")</f>
        <v>142</v>
      </c>
      <c r="F196" s="9">
        <f>IFERROR(VLOOKUP(C196,$H$4:$I$70,2,0),"")</f>
        <v>193</v>
      </c>
    </row>
    <row r="197" spans="2:6" x14ac:dyDescent="0.2">
      <c r="B197" s="13">
        <f t="shared" ref="B197:B260" si="11">ROW()-3</f>
        <v>194</v>
      </c>
      <c r="C197" s="8">
        <f t="shared" si="9"/>
        <v>63</v>
      </c>
      <c r="D197" s="8">
        <f t="shared" si="10"/>
        <v>65</v>
      </c>
      <c r="E197" s="8">
        <f>IFERROR(VLOOKUP(D197,$H$4:$I$70,2,0),"")</f>
        <v>142</v>
      </c>
      <c r="F197" s="9">
        <f>IFERROR(VLOOKUP(C197,$H$4:$I$70,2,0),"")</f>
        <v>192</v>
      </c>
    </row>
    <row r="198" spans="2:6" x14ac:dyDescent="0.2">
      <c r="B198" s="13">
        <f t="shared" si="11"/>
        <v>195</v>
      </c>
      <c r="C198" s="8">
        <f t="shared" ref="C198:C261" si="12">IF((D197-C197)=1,1,C197+1)</f>
        <v>64</v>
      </c>
      <c r="D198" s="8">
        <f t="shared" ref="D198:D261" si="13">IF((D197-C197)=1,D197-1,D197)</f>
        <v>65</v>
      </c>
      <c r="E198" s="8">
        <f>IFERROR(VLOOKUP(D198,$H$4:$I$70,2,0),"")</f>
        <v>142</v>
      </c>
      <c r="F198" s="9">
        <f>IFERROR(VLOOKUP(C198,$H$4:$I$70,2,0),"")</f>
        <v>168</v>
      </c>
    </row>
    <row r="199" spans="2:6" x14ac:dyDescent="0.2">
      <c r="B199" s="13">
        <f t="shared" si="11"/>
        <v>196</v>
      </c>
      <c r="C199" s="8">
        <f t="shared" si="12"/>
        <v>1</v>
      </c>
      <c r="D199" s="8">
        <f t="shared" si="13"/>
        <v>64</v>
      </c>
      <c r="E199" s="8">
        <f>IFERROR(VLOOKUP(D199,$H$4:$I$70,2,0),"")</f>
        <v>168</v>
      </c>
      <c r="F199" s="9">
        <f>IFERROR(VLOOKUP(C199,$H$4:$I$70,2,0),"")</f>
        <v>1344</v>
      </c>
    </row>
    <row r="200" spans="2:6" x14ac:dyDescent="0.2">
      <c r="B200" s="13">
        <f t="shared" si="11"/>
        <v>197</v>
      </c>
      <c r="C200" s="8">
        <f t="shared" si="12"/>
        <v>2</v>
      </c>
      <c r="D200" s="8">
        <f t="shared" si="13"/>
        <v>64</v>
      </c>
      <c r="E200" s="8">
        <f>IFERROR(VLOOKUP(D200,$H$4:$I$70,2,0),"")</f>
        <v>168</v>
      </c>
      <c r="F200" s="9">
        <f>IFERROR(VLOOKUP(C200,$H$4:$I$70,2,0),"")</f>
        <v>1048</v>
      </c>
    </row>
    <row r="201" spans="2:6" x14ac:dyDescent="0.2">
      <c r="B201" s="13">
        <f t="shared" si="11"/>
        <v>198</v>
      </c>
      <c r="C201" s="8">
        <f t="shared" si="12"/>
        <v>3</v>
      </c>
      <c r="D201" s="8">
        <f t="shared" si="13"/>
        <v>64</v>
      </c>
      <c r="E201" s="8">
        <f>IFERROR(VLOOKUP(D201,$H$4:$I$70,2,0),"")</f>
        <v>168</v>
      </c>
      <c r="F201" s="9">
        <f>IFERROR(VLOOKUP(C201,$H$4:$I$70,2,0),"")</f>
        <v>1025</v>
      </c>
    </row>
    <row r="202" spans="2:6" x14ac:dyDescent="0.2">
      <c r="B202" s="13">
        <f t="shared" si="11"/>
        <v>199</v>
      </c>
      <c r="C202" s="8">
        <f t="shared" si="12"/>
        <v>4</v>
      </c>
      <c r="D202" s="8">
        <f t="shared" si="13"/>
        <v>64</v>
      </c>
      <c r="E202" s="8">
        <f>IFERROR(VLOOKUP(D202,$H$4:$I$70,2,0),"")</f>
        <v>168</v>
      </c>
      <c r="F202" s="9">
        <f>IFERROR(VLOOKUP(C202,$H$4:$I$70,2,0),"")</f>
        <v>805</v>
      </c>
    </row>
    <row r="203" spans="2:6" x14ac:dyDescent="0.2">
      <c r="B203" s="13">
        <f t="shared" si="11"/>
        <v>200</v>
      </c>
      <c r="C203" s="8">
        <f t="shared" si="12"/>
        <v>5</v>
      </c>
      <c r="D203" s="8">
        <f t="shared" si="13"/>
        <v>64</v>
      </c>
      <c r="E203" s="8">
        <f>IFERROR(VLOOKUP(D203,$H$4:$I$70,2,0),"")</f>
        <v>168</v>
      </c>
      <c r="F203" s="9">
        <f>IFERROR(VLOOKUP(C203,$H$4:$I$70,2,0),"")</f>
        <v>666</v>
      </c>
    </row>
    <row r="204" spans="2:6" x14ac:dyDescent="0.2">
      <c r="B204" s="13">
        <f t="shared" si="11"/>
        <v>201</v>
      </c>
      <c r="C204" s="8">
        <f t="shared" si="12"/>
        <v>6</v>
      </c>
      <c r="D204" s="8">
        <f t="shared" si="13"/>
        <v>64</v>
      </c>
      <c r="E204" s="8">
        <f>IFERROR(VLOOKUP(D204,$H$4:$I$70,2,0),"")</f>
        <v>168</v>
      </c>
      <c r="F204" s="9">
        <f>IFERROR(VLOOKUP(C204,$H$4:$I$70,2,0),"")</f>
        <v>655</v>
      </c>
    </row>
    <row r="205" spans="2:6" x14ac:dyDescent="0.2">
      <c r="B205" s="13">
        <f t="shared" si="11"/>
        <v>202</v>
      </c>
      <c r="C205" s="8">
        <f t="shared" si="12"/>
        <v>7</v>
      </c>
      <c r="D205" s="8">
        <f t="shared" si="13"/>
        <v>64</v>
      </c>
      <c r="E205" s="8">
        <f>IFERROR(VLOOKUP(D205,$H$4:$I$70,2,0),"")</f>
        <v>168</v>
      </c>
      <c r="F205" s="9">
        <f>IFERROR(VLOOKUP(C205,$H$4:$I$70,2,0),"")</f>
        <v>652</v>
      </c>
    </row>
    <row r="206" spans="2:6" x14ac:dyDescent="0.2">
      <c r="B206" s="13">
        <f t="shared" si="11"/>
        <v>203</v>
      </c>
      <c r="C206" s="8">
        <f t="shared" si="12"/>
        <v>8</v>
      </c>
      <c r="D206" s="8">
        <f t="shared" si="13"/>
        <v>64</v>
      </c>
      <c r="E206" s="8">
        <f>IFERROR(VLOOKUP(D206,$H$4:$I$70,2,0),"")</f>
        <v>168</v>
      </c>
      <c r="F206" s="9">
        <f>IFERROR(VLOOKUP(C206,$H$4:$I$70,2,0),"")</f>
        <v>633</v>
      </c>
    </row>
    <row r="207" spans="2:6" x14ac:dyDescent="0.2">
      <c r="B207" s="13">
        <f t="shared" si="11"/>
        <v>204</v>
      </c>
      <c r="C207" s="8">
        <f t="shared" si="12"/>
        <v>9</v>
      </c>
      <c r="D207" s="8">
        <f t="shared" si="13"/>
        <v>64</v>
      </c>
      <c r="E207" s="8">
        <f>IFERROR(VLOOKUP(D207,$H$4:$I$70,2,0),"")</f>
        <v>168</v>
      </c>
      <c r="F207" s="9">
        <f>IFERROR(VLOOKUP(C207,$H$4:$I$70,2,0),"")</f>
        <v>632</v>
      </c>
    </row>
    <row r="208" spans="2:6" x14ac:dyDescent="0.2">
      <c r="B208" s="13">
        <f t="shared" si="11"/>
        <v>205</v>
      </c>
      <c r="C208" s="8">
        <f t="shared" si="12"/>
        <v>10</v>
      </c>
      <c r="D208" s="8">
        <f t="shared" si="13"/>
        <v>64</v>
      </c>
      <c r="E208" s="8">
        <f>IFERROR(VLOOKUP(D208,$H$4:$I$70,2,0),"")</f>
        <v>168</v>
      </c>
      <c r="F208" s="9">
        <f>IFERROR(VLOOKUP(C208,$H$4:$I$70,2,0),"")</f>
        <v>625</v>
      </c>
    </row>
    <row r="209" spans="2:6" x14ac:dyDescent="0.2">
      <c r="B209" s="13">
        <f t="shared" si="11"/>
        <v>206</v>
      </c>
      <c r="C209" s="8">
        <f t="shared" si="12"/>
        <v>11</v>
      </c>
      <c r="D209" s="8">
        <f t="shared" si="13"/>
        <v>64</v>
      </c>
      <c r="E209" s="8">
        <f>IFERROR(VLOOKUP(D209,$H$4:$I$70,2,0),"")</f>
        <v>168</v>
      </c>
      <c r="F209" s="9">
        <f>IFERROR(VLOOKUP(C209,$H$4:$I$70,2,0),"")</f>
        <v>619</v>
      </c>
    </row>
    <row r="210" spans="2:6" x14ac:dyDescent="0.2">
      <c r="B210" s="13">
        <f t="shared" si="11"/>
        <v>207</v>
      </c>
      <c r="C210" s="8">
        <f t="shared" si="12"/>
        <v>12</v>
      </c>
      <c r="D210" s="8">
        <f t="shared" si="13"/>
        <v>64</v>
      </c>
      <c r="E210" s="8">
        <f>IFERROR(VLOOKUP(D210,$H$4:$I$70,2,0),"")</f>
        <v>168</v>
      </c>
      <c r="F210" s="9">
        <f>IFERROR(VLOOKUP(C210,$H$4:$I$70,2,0),"")</f>
        <v>610</v>
      </c>
    </row>
    <row r="211" spans="2:6" x14ac:dyDescent="0.2">
      <c r="B211" s="13">
        <f t="shared" si="11"/>
        <v>208</v>
      </c>
      <c r="C211" s="8">
        <f t="shared" si="12"/>
        <v>13</v>
      </c>
      <c r="D211" s="8">
        <f t="shared" si="13"/>
        <v>64</v>
      </c>
      <c r="E211" s="8">
        <f>IFERROR(VLOOKUP(D211,$H$4:$I$70,2,0),"")</f>
        <v>168</v>
      </c>
      <c r="F211" s="9">
        <f>IFERROR(VLOOKUP(C211,$H$4:$I$70,2,0),"")</f>
        <v>599</v>
      </c>
    </row>
    <row r="212" spans="2:6" x14ac:dyDescent="0.2">
      <c r="B212" s="13">
        <f t="shared" si="11"/>
        <v>209</v>
      </c>
      <c r="C212" s="8">
        <f t="shared" si="12"/>
        <v>14</v>
      </c>
      <c r="D212" s="8">
        <f t="shared" si="13"/>
        <v>64</v>
      </c>
      <c r="E212" s="8">
        <f>IFERROR(VLOOKUP(D212,$H$4:$I$70,2,0),"")</f>
        <v>168</v>
      </c>
      <c r="F212" s="9">
        <f>IFERROR(VLOOKUP(C212,$H$4:$I$70,2,0),"")</f>
        <v>559</v>
      </c>
    </row>
    <row r="213" spans="2:6" x14ac:dyDescent="0.2">
      <c r="B213" s="13">
        <f t="shared" si="11"/>
        <v>210</v>
      </c>
      <c r="C213" s="8">
        <f t="shared" si="12"/>
        <v>15</v>
      </c>
      <c r="D213" s="8">
        <f t="shared" si="13"/>
        <v>64</v>
      </c>
      <c r="E213" s="8">
        <f>IFERROR(VLOOKUP(D213,$H$4:$I$70,2,0),"")</f>
        <v>168</v>
      </c>
      <c r="F213" s="9">
        <f>IFERROR(VLOOKUP(C213,$H$4:$I$70,2,0),"")</f>
        <v>556</v>
      </c>
    </row>
    <row r="214" spans="2:6" x14ac:dyDescent="0.2">
      <c r="B214" s="13">
        <f t="shared" si="11"/>
        <v>211</v>
      </c>
      <c r="C214" s="8">
        <f t="shared" si="12"/>
        <v>16</v>
      </c>
      <c r="D214" s="8">
        <f t="shared" si="13"/>
        <v>64</v>
      </c>
      <c r="E214" s="8">
        <f>IFERROR(VLOOKUP(D214,$H$4:$I$70,2,0),"")</f>
        <v>168</v>
      </c>
      <c r="F214" s="9">
        <f>IFERROR(VLOOKUP(C214,$H$4:$I$70,2,0),"")</f>
        <v>540</v>
      </c>
    </row>
    <row r="215" spans="2:6" x14ac:dyDescent="0.2">
      <c r="B215" s="13">
        <f t="shared" si="11"/>
        <v>212</v>
      </c>
      <c r="C215" s="8">
        <f t="shared" si="12"/>
        <v>17</v>
      </c>
      <c r="D215" s="8">
        <f t="shared" si="13"/>
        <v>64</v>
      </c>
      <c r="E215" s="8">
        <f>IFERROR(VLOOKUP(D215,$H$4:$I$70,2,0),"")</f>
        <v>168</v>
      </c>
      <c r="F215" s="9">
        <f>IFERROR(VLOOKUP(C215,$H$4:$I$70,2,0),"")</f>
        <v>536</v>
      </c>
    </row>
    <row r="216" spans="2:6" x14ac:dyDescent="0.2">
      <c r="B216" s="13">
        <f t="shared" si="11"/>
        <v>213</v>
      </c>
      <c r="C216" s="8">
        <f t="shared" si="12"/>
        <v>18</v>
      </c>
      <c r="D216" s="8">
        <f t="shared" si="13"/>
        <v>64</v>
      </c>
      <c r="E216" s="8">
        <f>IFERROR(VLOOKUP(D216,$H$4:$I$70,2,0),"")</f>
        <v>168</v>
      </c>
      <c r="F216" s="9">
        <f>IFERROR(VLOOKUP(C216,$H$4:$I$70,2,0),"")</f>
        <v>527</v>
      </c>
    </row>
    <row r="217" spans="2:6" x14ac:dyDescent="0.2">
      <c r="B217" s="13">
        <f t="shared" si="11"/>
        <v>214</v>
      </c>
      <c r="C217" s="8">
        <f t="shared" si="12"/>
        <v>19</v>
      </c>
      <c r="D217" s="8">
        <f t="shared" si="13"/>
        <v>64</v>
      </c>
      <c r="E217" s="8">
        <f>IFERROR(VLOOKUP(D217,$H$4:$I$70,2,0),"")</f>
        <v>168</v>
      </c>
      <c r="F217" s="9">
        <f>IFERROR(VLOOKUP(C217,$H$4:$I$70,2,0),"")</f>
        <v>478</v>
      </c>
    </row>
    <row r="218" spans="2:6" x14ac:dyDescent="0.2">
      <c r="B218" s="13">
        <f t="shared" si="11"/>
        <v>215</v>
      </c>
      <c r="C218" s="8">
        <f t="shared" si="12"/>
        <v>20</v>
      </c>
      <c r="D218" s="8">
        <f t="shared" si="13"/>
        <v>64</v>
      </c>
      <c r="E218" s="8">
        <f>IFERROR(VLOOKUP(D218,$H$4:$I$70,2,0),"")</f>
        <v>168</v>
      </c>
      <c r="F218" s="9">
        <f>IFERROR(VLOOKUP(C218,$H$4:$I$70,2,0),"")</f>
        <v>474</v>
      </c>
    </row>
    <row r="219" spans="2:6" x14ac:dyDescent="0.2">
      <c r="B219" s="13">
        <f t="shared" si="11"/>
        <v>216</v>
      </c>
      <c r="C219" s="8">
        <f t="shared" si="12"/>
        <v>21</v>
      </c>
      <c r="D219" s="8">
        <f t="shared" si="13"/>
        <v>64</v>
      </c>
      <c r="E219" s="8">
        <f>IFERROR(VLOOKUP(D219,$H$4:$I$70,2,0),"")</f>
        <v>168</v>
      </c>
      <c r="F219" s="9">
        <f>IFERROR(VLOOKUP(C219,$H$4:$I$70,2,0),"")</f>
        <v>468</v>
      </c>
    </row>
    <row r="220" spans="2:6" x14ac:dyDescent="0.2">
      <c r="B220" s="13">
        <f t="shared" si="11"/>
        <v>217</v>
      </c>
      <c r="C220" s="8">
        <f t="shared" si="12"/>
        <v>22</v>
      </c>
      <c r="D220" s="8">
        <f t="shared" si="13"/>
        <v>64</v>
      </c>
      <c r="E220" s="8">
        <f>IFERROR(VLOOKUP(D220,$H$4:$I$70,2,0),"")</f>
        <v>168</v>
      </c>
      <c r="F220" s="9">
        <f>IFERROR(VLOOKUP(C220,$H$4:$I$70,2,0),"")</f>
        <v>457</v>
      </c>
    </row>
    <row r="221" spans="2:6" x14ac:dyDescent="0.2">
      <c r="B221" s="13">
        <f t="shared" si="11"/>
        <v>218</v>
      </c>
      <c r="C221" s="8">
        <f t="shared" si="12"/>
        <v>23</v>
      </c>
      <c r="D221" s="8">
        <f t="shared" si="13"/>
        <v>64</v>
      </c>
      <c r="E221" s="8">
        <f>IFERROR(VLOOKUP(D221,$H$4:$I$70,2,0),"")</f>
        <v>168</v>
      </c>
      <c r="F221" s="9">
        <f>IFERROR(VLOOKUP(C221,$H$4:$I$70,2,0),"")</f>
        <v>452</v>
      </c>
    </row>
    <row r="222" spans="2:6" x14ac:dyDescent="0.2">
      <c r="B222" s="13">
        <f t="shared" si="11"/>
        <v>219</v>
      </c>
      <c r="C222" s="8">
        <f t="shared" si="12"/>
        <v>24</v>
      </c>
      <c r="D222" s="8">
        <f t="shared" si="13"/>
        <v>64</v>
      </c>
      <c r="E222" s="8">
        <f>IFERROR(VLOOKUP(D222,$H$4:$I$70,2,0),"")</f>
        <v>168</v>
      </c>
      <c r="F222" s="9">
        <f>IFERROR(VLOOKUP(C222,$H$4:$I$70,2,0),"")</f>
        <v>442</v>
      </c>
    </row>
    <row r="223" spans="2:6" x14ac:dyDescent="0.2">
      <c r="B223" s="13">
        <f t="shared" si="11"/>
        <v>220</v>
      </c>
      <c r="C223" s="8">
        <f t="shared" si="12"/>
        <v>25</v>
      </c>
      <c r="D223" s="8">
        <f t="shared" si="13"/>
        <v>64</v>
      </c>
      <c r="E223" s="8">
        <f>IFERROR(VLOOKUP(D223,$H$4:$I$70,2,0),"")</f>
        <v>168</v>
      </c>
      <c r="F223" s="9">
        <f>IFERROR(VLOOKUP(C223,$H$4:$I$70,2,0),"")</f>
        <v>420</v>
      </c>
    </row>
    <row r="224" spans="2:6" x14ac:dyDescent="0.2">
      <c r="B224" s="13">
        <f t="shared" si="11"/>
        <v>221</v>
      </c>
      <c r="C224" s="8">
        <f t="shared" si="12"/>
        <v>26</v>
      </c>
      <c r="D224" s="8">
        <f t="shared" si="13"/>
        <v>64</v>
      </c>
      <c r="E224" s="8">
        <f>IFERROR(VLOOKUP(D224,$H$4:$I$70,2,0),"")</f>
        <v>168</v>
      </c>
      <c r="F224" s="9">
        <f>IFERROR(VLOOKUP(C224,$H$4:$I$70,2,0),"")</f>
        <v>410</v>
      </c>
    </row>
    <row r="225" spans="2:6" x14ac:dyDescent="0.2">
      <c r="B225" s="13">
        <f t="shared" si="11"/>
        <v>222</v>
      </c>
      <c r="C225" s="8">
        <f t="shared" si="12"/>
        <v>27</v>
      </c>
      <c r="D225" s="8">
        <f t="shared" si="13"/>
        <v>64</v>
      </c>
      <c r="E225" s="8">
        <f>IFERROR(VLOOKUP(D225,$H$4:$I$70,2,0),"")</f>
        <v>168</v>
      </c>
      <c r="F225" s="9">
        <f>IFERROR(VLOOKUP(C225,$H$4:$I$70,2,0),"")</f>
        <v>409</v>
      </c>
    </row>
    <row r="226" spans="2:6" x14ac:dyDescent="0.2">
      <c r="B226" s="13">
        <f t="shared" si="11"/>
        <v>223</v>
      </c>
      <c r="C226" s="8">
        <f t="shared" si="12"/>
        <v>28</v>
      </c>
      <c r="D226" s="8">
        <f t="shared" si="13"/>
        <v>64</v>
      </c>
      <c r="E226" s="8">
        <f>IFERROR(VLOOKUP(D226,$H$4:$I$70,2,0),"")</f>
        <v>168</v>
      </c>
      <c r="F226" s="9">
        <f>IFERROR(VLOOKUP(C226,$H$4:$I$70,2,0),"")</f>
        <v>408</v>
      </c>
    </row>
    <row r="227" spans="2:6" x14ac:dyDescent="0.2">
      <c r="B227" s="13">
        <f t="shared" si="11"/>
        <v>224</v>
      </c>
      <c r="C227" s="8">
        <f t="shared" si="12"/>
        <v>29</v>
      </c>
      <c r="D227" s="8">
        <f t="shared" si="13"/>
        <v>64</v>
      </c>
      <c r="E227" s="8">
        <f>IFERROR(VLOOKUP(D227,$H$4:$I$70,2,0),"")</f>
        <v>168</v>
      </c>
      <c r="F227" s="9">
        <f>IFERROR(VLOOKUP(C227,$H$4:$I$70,2,0),"")</f>
        <v>404</v>
      </c>
    </row>
    <row r="228" spans="2:6" x14ac:dyDescent="0.2">
      <c r="B228" s="13">
        <f t="shared" si="11"/>
        <v>225</v>
      </c>
      <c r="C228" s="8">
        <f t="shared" si="12"/>
        <v>30</v>
      </c>
      <c r="D228" s="8">
        <f t="shared" si="13"/>
        <v>64</v>
      </c>
      <c r="E228" s="8">
        <f>IFERROR(VLOOKUP(D228,$H$4:$I$70,2,0),"")</f>
        <v>168</v>
      </c>
      <c r="F228" s="9">
        <f>IFERROR(VLOOKUP(C228,$H$4:$I$70,2,0),"")</f>
        <v>399</v>
      </c>
    </row>
    <row r="229" spans="2:6" x14ac:dyDescent="0.2">
      <c r="B229" s="13">
        <f t="shared" si="11"/>
        <v>226</v>
      </c>
      <c r="C229" s="8">
        <f t="shared" si="12"/>
        <v>31</v>
      </c>
      <c r="D229" s="8">
        <f t="shared" si="13"/>
        <v>64</v>
      </c>
      <c r="E229" s="8">
        <f>IFERROR(VLOOKUP(D229,$H$4:$I$70,2,0),"")</f>
        <v>168</v>
      </c>
      <c r="F229" s="9">
        <f>IFERROR(VLOOKUP(C229,$H$4:$I$70,2,0),"")</f>
        <v>396</v>
      </c>
    </row>
    <row r="230" spans="2:6" x14ac:dyDescent="0.2">
      <c r="B230" s="13">
        <f t="shared" si="11"/>
        <v>227</v>
      </c>
      <c r="C230" s="8">
        <f t="shared" si="12"/>
        <v>32</v>
      </c>
      <c r="D230" s="8">
        <f t="shared" si="13"/>
        <v>64</v>
      </c>
      <c r="E230" s="8">
        <f>IFERROR(VLOOKUP(D230,$H$4:$I$70,2,0),"")</f>
        <v>168</v>
      </c>
      <c r="F230" s="9">
        <f>IFERROR(VLOOKUP(C230,$H$4:$I$70,2,0),"")</f>
        <v>384</v>
      </c>
    </row>
    <row r="231" spans="2:6" x14ac:dyDescent="0.2">
      <c r="B231" s="13">
        <f t="shared" si="11"/>
        <v>228</v>
      </c>
      <c r="C231" s="8">
        <f t="shared" si="12"/>
        <v>33</v>
      </c>
      <c r="D231" s="8">
        <f t="shared" si="13"/>
        <v>64</v>
      </c>
      <c r="E231" s="8">
        <f>IFERROR(VLOOKUP(D231,$H$4:$I$70,2,0),"")</f>
        <v>168</v>
      </c>
      <c r="F231" s="9">
        <f>IFERROR(VLOOKUP(C231,$H$4:$I$70,2,0),"")</f>
        <v>381</v>
      </c>
    </row>
    <row r="232" spans="2:6" x14ac:dyDescent="0.2">
      <c r="B232" s="13">
        <f t="shared" si="11"/>
        <v>229</v>
      </c>
      <c r="C232" s="8">
        <f t="shared" si="12"/>
        <v>34</v>
      </c>
      <c r="D232" s="8">
        <f t="shared" si="13"/>
        <v>64</v>
      </c>
      <c r="E232" s="8">
        <f>IFERROR(VLOOKUP(D232,$H$4:$I$70,2,0),"")</f>
        <v>168</v>
      </c>
      <c r="F232" s="9">
        <f>IFERROR(VLOOKUP(C232,$H$4:$I$70,2,0),"")</f>
        <v>376</v>
      </c>
    </row>
    <row r="233" spans="2:6" x14ac:dyDescent="0.2">
      <c r="B233" s="13">
        <f t="shared" si="11"/>
        <v>230</v>
      </c>
      <c r="C233" s="8">
        <f t="shared" si="12"/>
        <v>35</v>
      </c>
      <c r="D233" s="8">
        <f t="shared" si="13"/>
        <v>64</v>
      </c>
      <c r="E233" s="8">
        <f>IFERROR(VLOOKUP(D233,$H$4:$I$70,2,0),"")</f>
        <v>168</v>
      </c>
      <c r="F233" s="9">
        <f>IFERROR(VLOOKUP(C233,$H$4:$I$70,2,0),"")</f>
        <v>370</v>
      </c>
    </row>
    <row r="234" spans="2:6" x14ac:dyDescent="0.2">
      <c r="B234" s="13">
        <f t="shared" si="11"/>
        <v>231</v>
      </c>
      <c r="C234" s="8">
        <f t="shared" si="12"/>
        <v>36</v>
      </c>
      <c r="D234" s="8">
        <f t="shared" si="13"/>
        <v>64</v>
      </c>
      <c r="E234" s="8">
        <f>IFERROR(VLOOKUP(D234,$H$4:$I$70,2,0),"")</f>
        <v>168</v>
      </c>
      <c r="F234" s="9">
        <f>IFERROR(VLOOKUP(C234,$H$4:$I$70,2,0),"")</f>
        <v>362</v>
      </c>
    </row>
    <row r="235" spans="2:6" x14ac:dyDescent="0.2">
      <c r="B235" s="13">
        <f t="shared" si="11"/>
        <v>232</v>
      </c>
      <c r="C235" s="8">
        <f t="shared" si="12"/>
        <v>37</v>
      </c>
      <c r="D235" s="8">
        <f t="shared" si="13"/>
        <v>64</v>
      </c>
      <c r="E235" s="8">
        <f>IFERROR(VLOOKUP(D235,$H$4:$I$70,2,0),"")</f>
        <v>168</v>
      </c>
      <c r="F235" s="9">
        <f>IFERROR(VLOOKUP(C235,$H$4:$I$70,2,0),"")</f>
        <v>357</v>
      </c>
    </row>
    <row r="236" spans="2:6" x14ac:dyDescent="0.2">
      <c r="B236" s="13">
        <f t="shared" si="11"/>
        <v>233</v>
      </c>
      <c r="C236" s="8">
        <f t="shared" si="12"/>
        <v>38</v>
      </c>
      <c r="D236" s="8">
        <f t="shared" si="13"/>
        <v>64</v>
      </c>
      <c r="E236" s="8">
        <f>IFERROR(VLOOKUP(D236,$H$4:$I$70,2,0),"")</f>
        <v>168</v>
      </c>
      <c r="F236" s="9">
        <f>IFERROR(VLOOKUP(C236,$H$4:$I$70,2,0),"")</f>
        <v>351</v>
      </c>
    </row>
    <row r="237" spans="2:6" x14ac:dyDescent="0.2">
      <c r="B237" s="13">
        <f t="shared" si="11"/>
        <v>234</v>
      </c>
      <c r="C237" s="8">
        <f t="shared" si="12"/>
        <v>39</v>
      </c>
      <c r="D237" s="8">
        <f t="shared" si="13"/>
        <v>64</v>
      </c>
      <c r="E237" s="8">
        <f>IFERROR(VLOOKUP(D237,$H$4:$I$70,2,0),"")</f>
        <v>168</v>
      </c>
      <c r="F237" s="9">
        <f>IFERROR(VLOOKUP(C237,$H$4:$I$70,2,0),"")</f>
        <v>339</v>
      </c>
    </row>
    <row r="238" spans="2:6" x14ac:dyDescent="0.2">
      <c r="B238" s="13">
        <f t="shared" si="11"/>
        <v>235</v>
      </c>
      <c r="C238" s="8">
        <f t="shared" si="12"/>
        <v>40</v>
      </c>
      <c r="D238" s="8">
        <f t="shared" si="13"/>
        <v>64</v>
      </c>
      <c r="E238" s="8">
        <f>IFERROR(VLOOKUP(D238,$H$4:$I$70,2,0),"")</f>
        <v>168</v>
      </c>
      <c r="F238" s="9">
        <f>IFERROR(VLOOKUP(C238,$H$4:$I$70,2,0),"")</f>
        <v>304</v>
      </c>
    </row>
    <row r="239" spans="2:6" x14ac:dyDescent="0.2">
      <c r="B239" s="13">
        <f t="shared" si="11"/>
        <v>236</v>
      </c>
      <c r="C239" s="8">
        <f t="shared" si="12"/>
        <v>41</v>
      </c>
      <c r="D239" s="8">
        <f t="shared" si="13"/>
        <v>64</v>
      </c>
      <c r="E239" s="8">
        <f>IFERROR(VLOOKUP(D239,$H$4:$I$70,2,0),"")</f>
        <v>168</v>
      </c>
      <c r="F239" s="9">
        <f>IFERROR(VLOOKUP(C239,$H$4:$I$70,2,0),"")</f>
        <v>301</v>
      </c>
    </row>
    <row r="240" spans="2:6" x14ac:dyDescent="0.2">
      <c r="B240" s="13">
        <f t="shared" si="11"/>
        <v>237</v>
      </c>
      <c r="C240" s="8">
        <f t="shared" si="12"/>
        <v>42</v>
      </c>
      <c r="D240" s="8">
        <f t="shared" si="13"/>
        <v>64</v>
      </c>
      <c r="E240" s="8">
        <f>IFERROR(VLOOKUP(D240,$H$4:$I$70,2,0),"")</f>
        <v>168</v>
      </c>
      <c r="F240" s="9">
        <f>IFERROR(VLOOKUP(C240,$H$4:$I$70,2,0),"")</f>
        <v>300</v>
      </c>
    </row>
    <row r="241" spans="2:6" x14ac:dyDescent="0.2">
      <c r="B241" s="13">
        <f t="shared" si="11"/>
        <v>238</v>
      </c>
      <c r="C241" s="8">
        <f t="shared" si="12"/>
        <v>43</v>
      </c>
      <c r="D241" s="8">
        <f t="shared" si="13"/>
        <v>64</v>
      </c>
      <c r="E241" s="8">
        <f>IFERROR(VLOOKUP(D241,$H$4:$I$70,2,0),"")</f>
        <v>168</v>
      </c>
      <c r="F241" s="9">
        <f>IFERROR(VLOOKUP(C241,$H$4:$I$70,2,0),"")</f>
        <v>288</v>
      </c>
    </row>
    <row r="242" spans="2:6" x14ac:dyDescent="0.2">
      <c r="B242" s="13">
        <f t="shared" si="11"/>
        <v>239</v>
      </c>
      <c r="C242" s="8">
        <f t="shared" si="12"/>
        <v>44</v>
      </c>
      <c r="D242" s="8">
        <f t="shared" si="13"/>
        <v>64</v>
      </c>
      <c r="E242" s="8">
        <f>IFERROR(VLOOKUP(D242,$H$4:$I$70,2,0),"")</f>
        <v>168</v>
      </c>
      <c r="F242" s="9">
        <f>IFERROR(VLOOKUP(C242,$H$4:$I$70,2,0),"")</f>
        <v>273</v>
      </c>
    </row>
    <row r="243" spans="2:6" x14ac:dyDescent="0.2">
      <c r="B243" s="13">
        <f t="shared" si="11"/>
        <v>240</v>
      </c>
      <c r="C243" s="8">
        <f t="shared" si="12"/>
        <v>45</v>
      </c>
      <c r="D243" s="8">
        <f t="shared" si="13"/>
        <v>64</v>
      </c>
      <c r="E243" s="8">
        <f>IFERROR(VLOOKUP(D243,$H$4:$I$70,2,0),"")</f>
        <v>168</v>
      </c>
      <c r="F243" s="9">
        <f>IFERROR(VLOOKUP(C243,$H$4:$I$70,2,0),"")</f>
        <v>268</v>
      </c>
    </row>
    <row r="244" spans="2:6" x14ac:dyDescent="0.2">
      <c r="B244" s="13">
        <f t="shared" si="11"/>
        <v>241</v>
      </c>
      <c r="C244" s="8">
        <f t="shared" si="12"/>
        <v>46</v>
      </c>
      <c r="D244" s="8">
        <f t="shared" si="13"/>
        <v>64</v>
      </c>
      <c r="E244" s="8">
        <f>IFERROR(VLOOKUP(D244,$H$4:$I$70,2,0),"")</f>
        <v>168</v>
      </c>
      <c r="F244" s="9">
        <f>IFERROR(VLOOKUP(C244,$H$4:$I$70,2,0),"")</f>
        <v>262</v>
      </c>
    </row>
    <row r="245" spans="2:6" x14ac:dyDescent="0.2">
      <c r="B245" s="13">
        <f t="shared" si="11"/>
        <v>242</v>
      </c>
      <c r="C245" s="8">
        <f t="shared" si="12"/>
        <v>47</v>
      </c>
      <c r="D245" s="8">
        <f t="shared" si="13"/>
        <v>64</v>
      </c>
      <c r="E245" s="8">
        <f>IFERROR(VLOOKUP(D245,$H$4:$I$70,2,0),"")</f>
        <v>168</v>
      </c>
      <c r="F245" s="9">
        <f>IFERROR(VLOOKUP(C245,$H$4:$I$70,2,0),"")</f>
        <v>248</v>
      </c>
    </row>
    <row r="246" spans="2:6" x14ac:dyDescent="0.2">
      <c r="B246" s="13">
        <f t="shared" si="11"/>
        <v>243</v>
      </c>
      <c r="C246" s="8">
        <f t="shared" si="12"/>
        <v>48</v>
      </c>
      <c r="D246" s="8">
        <f t="shared" si="13"/>
        <v>64</v>
      </c>
      <c r="E246" s="8">
        <f>IFERROR(VLOOKUP(D246,$H$4:$I$70,2,0),"")</f>
        <v>168</v>
      </c>
      <c r="F246" s="9">
        <f>IFERROR(VLOOKUP(C246,$H$4:$I$70,2,0),"")</f>
        <v>246</v>
      </c>
    </row>
    <row r="247" spans="2:6" x14ac:dyDescent="0.2">
      <c r="B247" s="13">
        <f t="shared" si="11"/>
        <v>244</v>
      </c>
      <c r="C247" s="8">
        <f t="shared" si="12"/>
        <v>49</v>
      </c>
      <c r="D247" s="8">
        <f t="shared" si="13"/>
        <v>64</v>
      </c>
      <c r="E247" s="8">
        <f>IFERROR(VLOOKUP(D247,$H$4:$I$70,2,0),"")</f>
        <v>168</v>
      </c>
      <c r="F247" s="9">
        <f>IFERROR(VLOOKUP(C247,$H$4:$I$70,2,0),"")</f>
        <v>236</v>
      </c>
    </row>
    <row r="248" spans="2:6" x14ac:dyDescent="0.2">
      <c r="B248" s="13">
        <f t="shared" si="11"/>
        <v>245</v>
      </c>
      <c r="C248" s="8">
        <f t="shared" si="12"/>
        <v>50</v>
      </c>
      <c r="D248" s="8">
        <f t="shared" si="13"/>
        <v>64</v>
      </c>
      <c r="E248" s="8">
        <f>IFERROR(VLOOKUP(D248,$H$4:$I$70,2,0),"")</f>
        <v>168</v>
      </c>
      <c r="F248" s="9">
        <f>IFERROR(VLOOKUP(C248,$H$4:$I$70,2,0),"")</f>
        <v>231</v>
      </c>
    </row>
    <row r="249" spans="2:6" x14ac:dyDescent="0.2">
      <c r="B249" s="13">
        <f t="shared" si="11"/>
        <v>246</v>
      </c>
      <c r="C249" s="8">
        <f t="shared" si="12"/>
        <v>51</v>
      </c>
      <c r="D249" s="8">
        <f t="shared" si="13"/>
        <v>64</v>
      </c>
      <c r="E249" s="8">
        <f>IFERROR(VLOOKUP(D249,$H$4:$I$70,2,0),"")</f>
        <v>168</v>
      </c>
      <c r="F249" s="9">
        <f>IFERROR(VLOOKUP(C249,$H$4:$I$70,2,0),"")</f>
        <v>227</v>
      </c>
    </row>
    <row r="250" spans="2:6" x14ac:dyDescent="0.2">
      <c r="B250" s="13">
        <f t="shared" si="11"/>
        <v>247</v>
      </c>
      <c r="C250" s="8">
        <f t="shared" si="12"/>
        <v>52</v>
      </c>
      <c r="D250" s="8">
        <f t="shared" si="13"/>
        <v>64</v>
      </c>
      <c r="E250" s="8">
        <f>IFERROR(VLOOKUP(D250,$H$4:$I$70,2,0),"")</f>
        <v>168</v>
      </c>
      <c r="F250" s="9">
        <f>IFERROR(VLOOKUP(C250,$H$4:$I$70,2,0),"")</f>
        <v>224</v>
      </c>
    </row>
    <row r="251" spans="2:6" x14ac:dyDescent="0.2">
      <c r="B251" s="13">
        <f t="shared" si="11"/>
        <v>248</v>
      </c>
      <c r="C251" s="8">
        <f t="shared" si="12"/>
        <v>53</v>
      </c>
      <c r="D251" s="8">
        <f t="shared" si="13"/>
        <v>64</v>
      </c>
      <c r="E251" s="8">
        <f>IFERROR(VLOOKUP(D251,$H$4:$I$70,2,0),"")</f>
        <v>168</v>
      </c>
      <c r="F251" s="9">
        <f>IFERROR(VLOOKUP(C251,$H$4:$I$70,2,0),"")</f>
        <v>217</v>
      </c>
    </row>
    <row r="252" spans="2:6" x14ac:dyDescent="0.2">
      <c r="B252" s="13">
        <f t="shared" si="11"/>
        <v>249</v>
      </c>
      <c r="C252" s="8">
        <f t="shared" si="12"/>
        <v>54</v>
      </c>
      <c r="D252" s="8">
        <f t="shared" si="13"/>
        <v>64</v>
      </c>
      <c r="E252" s="8">
        <f>IFERROR(VLOOKUP(D252,$H$4:$I$70,2,0),"")</f>
        <v>168</v>
      </c>
      <c r="F252" s="9">
        <f>IFERROR(VLOOKUP(C252,$H$4:$I$70,2,0),"")</f>
        <v>213</v>
      </c>
    </row>
    <row r="253" spans="2:6" x14ac:dyDescent="0.2">
      <c r="B253" s="13">
        <f t="shared" si="11"/>
        <v>250</v>
      </c>
      <c r="C253" s="8">
        <f t="shared" si="12"/>
        <v>55</v>
      </c>
      <c r="D253" s="8">
        <f t="shared" si="13"/>
        <v>64</v>
      </c>
      <c r="E253" s="8">
        <f>IFERROR(VLOOKUP(D253,$H$4:$I$70,2,0),"")</f>
        <v>168</v>
      </c>
      <c r="F253" s="9">
        <f>IFERROR(VLOOKUP(C253,$H$4:$I$70,2,0),"")</f>
        <v>212</v>
      </c>
    </row>
    <row r="254" spans="2:6" x14ac:dyDescent="0.2">
      <c r="B254" s="13">
        <f t="shared" si="11"/>
        <v>251</v>
      </c>
      <c r="C254" s="8">
        <f t="shared" si="12"/>
        <v>56</v>
      </c>
      <c r="D254" s="8">
        <f t="shared" si="13"/>
        <v>64</v>
      </c>
      <c r="E254" s="8">
        <f>IFERROR(VLOOKUP(D254,$H$4:$I$70,2,0),"")</f>
        <v>168</v>
      </c>
      <c r="F254" s="9">
        <f>IFERROR(VLOOKUP(C254,$H$4:$I$70,2,0),"")</f>
        <v>211</v>
      </c>
    </row>
    <row r="255" spans="2:6" x14ac:dyDescent="0.2">
      <c r="B255" s="13">
        <f t="shared" si="11"/>
        <v>252</v>
      </c>
      <c r="C255" s="8">
        <f t="shared" si="12"/>
        <v>57</v>
      </c>
      <c r="D255" s="8">
        <f t="shared" si="13"/>
        <v>64</v>
      </c>
      <c r="E255" s="8">
        <f>IFERROR(VLOOKUP(D255,$H$4:$I$70,2,0),"")</f>
        <v>168</v>
      </c>
      <c r="F255" s="9">
        <f>IFERROR(VLOOKUP(C255,$H$4:$I$70,2,0),"")</f>
        <v>209</v>
      </c>
    </row>
    <row r="256" spans="2:6" x14ac:dyDescent="0.2">
      <c r="B256" s="13">
        <f t="shared" si="11"/>
        <v>253</v>
      </c>
      <c r="C256" s="8">
        <f t="shared" si="12"/>
        <v>58</v>
      </c>
      <c r="D256" s="8">
        <f t="shared" si="13"/>
        <v>64</v>
      </c>
      <c r="E256" s="8">
        <f>IFERROR(VLOOKUP(D256,$H$4:$I$70,2,0),"")</f>
        <v>168</v>
      </c>
      <c r="F256" s="9">
        <f>IFERROR(VLOOKUP(C256,$H$4:$I$70,2,0),"")</f>
        <v>208</v>
      </c>
    </row>
    <row r="257" spans="2:6" x14ac:dyDescent="0.2">
      <c r="B257" s="13">
        <f t="shared" si="11"/>
        <v>254</v>
      </c>
      <c r="C257" s="8">
        <f t="shared" si="12"/>
        <v>59</v>
      </c>
      <c r="D257" s="8">
        <f t="shared" si="13"/>
        <v>64</v>
      </c>
      <c r="E257" s="8">
        <f>IFERROR(VLOOKUP(D257,$H$4:$I$70,2,0),"")</f>
        <v>168</v>
      </c>
      <c r="F257" s="9">
        <f>IFERROR(VLOOKUP(C257,$H$4:$I$70,2,0),"")</f>
        <v>204</v>
      </c>
    </row>
    <row r="258" spans="2:6" x14ac:dyDescent="0.2">
      <c r="B258" s="13">
        <f t="shared" si="11"/>
        <v>255</v>
      </c>
      <c r="C258" s="8">
        <f t="shared" si="12"/>
        <v>60</v>
      </c>
      <c r="D258" s="8">
        <f t="shared" si="13"/>
        <v>64</v>
      </c>
      <c r="E258" s="8">
        <f>IFERROR(VLOOKUP(D258,$H$4:$I$70,2,0),"")</f>
        <v>168</v>
      </c>
      <c r="F258" s="9">
        <f>IFERROR(VLOOKUP(C258,$H$4:$I$70,2,0),"")</f>
        <v>200</v>
      </c>
    </row>
    <row r="259" spans="2:6" x14ac:dyDescent="0.2">
      <c r="B259" s="13">
        <f t="shared" si="11"/>
        <v>256</v>
      </c>
      <c r="C259" s="8">
        <f t="shared" si="12"/>
        <v>61</v>
      </c>
      <c r="D259" s="8">
        <f t="shared" si="13"/>
        <v>64</v>
      </c>
      <c r="E259" s="8">
        <f>IFERROR(VLOOKUP(D259,$H$4:$I$70,2,0),"")</f>
        <v>168</v>
      </c>
      <c r="F259" s="9">
        <f>IFERROR(VLOOKUP(C259,$H$4:$I$70,2,0),"")</f>
        <v>199</v>
      </c>
    </row>
    <row r="260" spans="2:6" x14ac:dyDescent="0.2">
      <c r="B260" s="13">
        <f t="shared" si="11"/>
        <v>257</v>
      </c>
      <c r="C260" s="8">
        <f t="shared" si="12"/>
        <v>62</v>
      </c>
      <c r="D260" s="8">
        <f t="shared" si="13"/>
        <v>64</v>
      </c>
      <c r="E260" s="8">
        <f>IFERROR(VLOOKUP(D260,$H$4:$I$70,2,0),"")</f>
        <v>168</v>
      </c>
      <c r="F260" s="9">
        <f>IFERROR(VLOOKUP(C260,$H$4:$I$70,2,0),"")</f>
        <v>193</v>
      </c>
    </row>
    <row r="261" spans="2:6" x14ac:dyDescent="0.2">
      <c r="B261" s="13">
        <f t="shared" ref="B261:B324" si="14">ROW()-3</f>
        <v>258</v>
      </c>
      <c r="C261" s="8">
        <f t="shared" si="12"/>
        <v>63</v>
      </c>
      <c r="D261" s="8">
        <f t="shared" si="13"/>
        <v>64</v>
      </c>
      <c r="E261" s="8">
        <f>IFERROR(VLOOKUP(D261,$H$4:$I$70,2,0),"")</f>
        <v>168</v>
      </c>
      <c r="F261" s="9">
        <f>IFERROR(VLOOKUP(C261,$H$4:$I$70,2,0),"")</f>
        <v>192</v>
      </c>
    </row>
    <row r="262" spans="2:6" x14ac:dyDescent="0.2">
      <c r="B262" s="13">
        <f t="shared" si="14"/>
        <v>259</v>
      </c>
      <c r="C262" s="8">
        <f t="shared" ref="C262:C325" si="15">IF((D261-C261)=1,1,C261+1)</f>
        <v>1</v>
      </c>
      <c r="D262" s="8">
        <f t="shared" ref="D262:D325" si="16">IF((D261-C261)=1,D261-1,D261)</f>
        <v>63</v>
      </c>
      <c r="E262" s="8">
        <f>IFERROR(VLOOKUP(D262,$H$4:$I$70,2,0),"")</f>
        <v>192</v>
      </c>
      <c r="F262" s="9">
        <f>IFERROR(VLOOKUP(C262,$H$4:$I$70,2,0),"")</f>
        <v>1344</v>
      </c>
    </row>
    <row r="263" spans="2:6" x14ac:dyDescent="0.2">
      <c r="B263" s="13">
        <f t="shared" si="14"/>
        <v>260</v>
      </c>
      <c r="C263" s="8">
        <f t="shared" si="15"/>
        <v>2</v>
      </c>
      <c r="D263" s="8">
        <f t="shared" si="16"/>
        <v>63</v>
      </c>
      <c r="E263" s="8">
        <f>IFERROR(VLOOKUP(D263,$H$4:$I$70,2,0),"")</f>
        <v>192</v>
      </c>
      <c r="F263" s="9">
        <f>IFERROR(VLOOKUP(C263,$H$4:$I$70,2,0),"")</f>
        <v>1048</v>
      </c>
    </row>
    <row r="264" spans="2:6" x14ac:dyDescent="0.2">
      <c r="B264" s="13">
        <f t="shared" si="14"/>
        <v>261</v>
      </c>
      <c r="C264" s="8">
        <f t="shared" si="15"/>
        <v>3</v>
      </c>
      <c r="D264" s="8">
        <f t="shared" si="16"/>
        <v>63</v>
      </c>
      <c r="E264" s="8">
        <f>IFERROR(VLOOKUP(D264,$H$4:$I$70,2,0),"")</f>
        <v>192</v>
      </c>
      <c r="F264" s="9">
        <f>IFERROR(VLOOKUP(C264,$H$4:$I$70,2,0),"")</f>
        <v>1025</v>
      </c>
    </row>
    <row r="265" spans="2:6" x14ac:dyDescent="0.2">
      <c r="B265" s="13">
        <f t="shared" si="14"/>
        <v>262</v>
      </c>
      <c r="C265" s="8">
        <f t="shared" si="15"/>
        <v>4</v>
      </c>
      <c r="D265" s="8">
        <f t="shared" si="16"/>
        <v>63</v>
      </c>
      <c r="E265" s="8">
        <f>IFERROR(VLOOKUP(D265,$H$4:$I$70,2,0),"")</f>
        <v>192</v>
      </c>
      <c r="F265" s="9">
        <f>IFERROR(VLOOKUP(C265,$H$4:$I$70,2,0),"")</f>
        <v>805</v>
      </c>
    </row>
    <row r="266" spans="2:6" x14ac:dyDescent="0.2">
      <c r="B266" s="13">
        <f t="shared" si="14"/>
        <v>263</v>
      </c>
      <c r="C266" s="8">
        <f t="shared" si="15"/>
        <v>5</v>
      </c>
      <c r="D266" s="8">
        <f t="shared" si="16"/>
        <v>63</v>
      </c>
      <c r="E266" s="8">
        <f>IFERROR(VLOOKUP(D266,$H$4:$I$70,2,0),"")</f>
        <v>192</v>
      </c>
      <c r="F266" s="9">
        <f>IFERROR(VLOOKUP(C266,$H$4:$I$70,2,0),"")</f>
        <v>666</v>
      </c>
    </row>
    <row r="267" spans="2:6" x14ac:dyDescent="0.2">
      <c r="B267" s="13">
        <f t="shared" si="14"/>
        <v>264</v>
      </c>
      <c r="C267" s="8">
        <f t="shared" si="15"/>
        <v>6</v>
      </c>
      <c r="D267" s="8">
        <f t="shared" si="16"/>
        <v>63</v>
      </c>
      <c r="E267" s="8">
        <f>IFERROR(VLOOKUP(D267,$H$4:$I$70,2,0),"")</f>
        <v>192</v>
      </c>
      <c r="F267" s="9">
        <f>IFERROR(VLOOKUP(C267,$H$4:$I$70,2,0),"")</f>
        <v>655</v>
      </c>
    </row>
    <row r="268" spans="2:6" x14ac:dyDescent="0.2">
      <c r="B268" s="13">
        <f t="shared" si="14"/>
        <v>265</v>
      </c>
      <c r="C268" s="8">
        <f t="shared" si="15"/>
        <v>7</v>
      </c>
      <c r="D268" s="8">
        <f t="shared" si="16"/>
        <v>63</v>
      </c>
      <c r="E268" s="8">
        <f>IFERROR(VLOOKUP(D268,$H$4:$I$70,2,0),"")</f>
        <v>192</v>
      </c>
      <c r="F268" s="9">
        <f>IFERROR(VLOOKUP(C268,$H$4:$I$70,2,0),"")</f>
        <v>652</v>
      </c>
    </row>
    <row r="269" spans="2:6" x14ac:dyDescent="0.2">
      <c r="B269" s="13">
        <f t="shared" si="14"/>
        <v>266</v>
      </c>
      <c r="C269" s="8">
        <f t="shared" si="15"/>
        <v>8</v>
      </c>
      <c r="D269" s="8">
        <f t="shared" si="16"/>
        <v>63</v>
      </c>
      <c r="E269" s="8">
        <f>IFERROR(VLOOKUP(D269,$H$4:$I$70,2,0),"")</f>
        <v>192</v>
      </c>
      <c r="F269" s="9">
        <f>IFERROR(VLOOKUP(C269,$H$4:$I$70,2,0),"")</f>
        <v>633</v>
      </c>
    </row>
    <row r="270" spans="2:6" x14ac:dyDescent="0.2">
      <c r="B270" s="13">
        <f t="shared" si="14"/>
        <v>267</v>
      </c>
      <c r="C270" s="8">
        <f t="shared" si="15"/>
        <v>9</v>
      </c>
      <c r="D270" s="8">
        <f t="shared" si="16"/>
        <v>63</v>
      </c>
      <c r="E270" s="8">
        <f>IFERROR(VLOOKUP(D270,$H$4:$I$70,2,0),"")</f>
        <v>192</v>
      </c>
      <c r="F270" s="9">
        <f>IFERROR(VLOOKUP(C270,$H$4:$I$70,2,0),"")</f>
        <v>632</v>
      </c>
    </row>
    <row r="271" spans="2:6" x14ac:dyDescent="0.2">
      <c r="B271" s="13">
        <f t="shared" si="14"/>
        <v>268</v>
      </c>
      <c r="C271" s="8">
        <f t="shared" si="15"/>
        <v>10</v>
      </c>
      <c r="D271" s="8">
        <f t="shared" si="16"/>
        <v>63</v>
      </c>
      <c r="E271" s="8">
        <f>IFERROR(VLOOKUP(D271,$H$4:$I$70,2,0),"")</f>
        <v>192</v>
      </c>
      <c r="F271" s="9">
        <f>IFERROR(VLOOKUP(C271,$H$4:$I$70,2,0),"")</f>
        <v>625</v>
      </c>
    </row>
    <row r="272" spans="2:6" x14ac:dyDescent="0.2">
      <c r="B272" s="13">
        <f t="shared" si="14"/>
        <v>269</v>
      </c>
      <c r="C272" s="8">
        <f t="shared" si="15"/>
        <v>11</v>
      </c>
      <c r="D272" s="8">
        <f t="shared" si="16"/>
        <v>63</v>
      </c>
      <c r="E272" s="8">
        <f>IFERROR(VLOOKUP(D272,$H$4:$I$70,2,0),"")</f>
        <v>192</v>
      </c>
      <c r="F272" s="9">
        <f>IFERROR(VLOOKUP(C272,$H$4:$I$70,2,0),"")</f>
        <v>619</v>
      </c>
    </row>
    <row r="273" spans="2:6" x14ac:dyDescent="0.2">
      <c r="B273" s="13">
        <f t="shared" si="14"/>
        <v>270</v>
      </c>
      <c r="C273" s="8">
        <f t="shared" si="15"/>
        <v>12</v>
      </c>
      <c r="D273" s="8">
        <f t="shared" si="16"/>
        <v>63</v>
      </c>
      <c r="E273" s="8">
        <f>IFERROR(VLOOKUP(D273,$H$4:$I$70,2,0),"")</f>
        <v>192</v>
      </c>
      <c r="F273" s="9">
        <f>IFERROR(VLOOKUP(C273,$H$4:$I$70,2,0),"")</f>
        <v>610</v>
      </c>
    </row>
    <row r="274" spans="2:6" x14ac:dyDescent="0.2">
      <c r="B274" s="13">
        <f t="shared" si="14"/>
        <v>271</v>
      </c>
      <c r="C274" s="8">
        <f t="shared" si="15"/>
        <v>13</v>
      </c>
      <c r="D274" s="8">
        <f t="shared" si="16"/>
        <v>63</v>
      </c>
      <c r="E274" s="8">
        <f>IFERROR(VLOOKUP(D274,$H$4:$I$70,2,0),"")</f>
        <v>192</v>
      </c>
      <c r="F274" s="9">
        <f>IFERROR(VLOOKUP(C274,$H$4:$I$70,2,0),"")</f>
        <v>599</v>
      </c>
    </row>
    <row r="275" spans="2:6" x14ac:dyDescent="0.2">
      <c r="B275" s="13">
        <f t="shared" si="14"/>
        <v>272</v>
      </c>
      <c r="C275" s="8">
        <f t="shared" si="15"/>
        <v>14</v>
      </c>
      <c r="D275" s="8">
        <f t="shared" si="16"/>
        <v>63</v>
      </c>
      <c r="E275" s="8">
        <f>IFERROR(VLOOKUP(D275,$H$4:$I$70,2,0),"")</f>
        <v>192</v>
      </c>
      <c r="F275" s="9">
        <f>IFERROR(VLOOKUP(C275,$H$4:$I$70,2,0),"")</f>
        <v>559</v>
      </c>
    </row>
    <row r="276" spans="2:6" x14ac:dyDescent="0.2">
      <c r="B276" s="13">
        <f t="shared" si="14"/>
        <v>273</v>
      </c>
      <c r="C276" s="8">
        <f t="shared" si="15"/>
        <v>15</v>
      </c>
      <c r="D276" s="8">
        <f t="shared" si="16"/>
        <v>63</v>
      </c>
      <c r="E276" s="8">
        <f>IFERROR(VLOOKUP(D276,$H$4:$I$70,2,0),"")</f>
        <v>192</v>
      </c>
      <c r="F276" s="9">
        <f>IFERROR(VLOOKUP(C276,$H$4:$I$70,2,0),"")</f>
        <v>556</v>
      </c>
    </row>
    <row r="277" spans="2:6" x14ac:dyDescent="0.2">
      <c r="B277" s="13">
        <f t="shared" si="14"/>
        <v>274</v>
      </c>
      <c r="C277" s="8">
        <f t="shared" si="15"/>
        <v>16</v>
      </c>
      <c r="D277" s="8">
        <f t="shared" si="16"/>
        <v>63</v>
      </c>
      <c r="E277" s="8">
        <f>IFERROR(VLOOKUP(D277,$H$4:$I$70,2,0),"")</f>
        <v>192</v>
      </c>
      <c r="F277" s="9">
        <f>IFERROR(VLOOKUP(C277,$H$4:$I$70,2,0),"")</f>
        <v>540</v>
      </c>
    </row>
    <row r="278" spans="2:6" x14ac:dyDescent="0.2">
      <c r="B278" s="13">
        <f t="shared" si="14"/>
        <v>275</v>
      </c>
      <c r="C278" s="8">
        <f t="shared" si="15"/>
        <v>17</v>
      </c>
      <c r="D278" s="8">
        <f t="shared" si="16"/>
        <v>63</v>
      </c>
      <c r="E278" s="8">
        <f>IFERROR(VLOOKUP(D278,$H$4:$I$70,2,0),"")</f>
        <v>192</v>
      </c>
      <c r="F278" s="9">
        <f>IFERROR(VLOOKUP(C278,$H$4:$I$70,2,0),"")</f>
        <v>536</v>
      </c>
    </row>
    <row r="279" spans="2:6" x14ac:dyDescent="0.2">
      <c r="B279" s="13">
        <f t="shared" si="14"/>
        <v>276</v>
      </c>
      <c r="C279" s="8">
        <f t="shared" si="15"/>
        <v>18</v>
      </c>
      <c r="D279" s="8">
        <f t="shared" si="16"/>
        <v>63</v>
      </c>
      <c r="E279" s="8">
        <f>IFERROR(VLOOKUP(D279,$H$4:$I$70,2,0),"")</f>
        <v>192</v>
      </c>
      <c r="F279" s="9">
        <f>IFERROR(VLOOKUP(C279,$H$4:$I$70,2,0),"")</f>
        <v>527</v>
      </c>
    </row>
    <row r="280" spans="2:6" x14ac:dyDescent="0.2">
      <c r="B280" s="13">
        <f t="shared" si="14"/>
        <v>277</v>
      </c>
      <c r="C280" s="8">
        <f t="shared" si="15"/>
        <v>19</v>
      </c>
      <c r="D280" s="8">
        <f t="shared" si="16"/>
        <v>63</v>
      </c>
      <c r="E280" s="8">
        <f>IFERROR(VLOOKUP(D280,$H$4:$I$70,2,0),"")</f>
        <v>192</v>
      </c>
      <c r="F280" s="9">
        <f>IFERROR(VLOOKUP(C280,$H$4:$I$70,2,0),"")</f>
        <v>478</v>
      </c>
    </row>
    <row r="281" spans="2:6" x14ac:dyDescent="0.2">
      <c r="B281" s="13">
        <f t="shared" si="14"/>
        <v>278</v>
      </c>
      <c r="C281" s="8">
        <f t="shared" si="15"/>
        <v>20</v>
      </c>
      <c r="D281" s="8">
        <f t="shared" si="16"/>
        <v>63</v>
      </c>
      <c r="E281" s="8">
        <f>IFERROR(VLOOKUP(D281,$H$4:$I$70,2,0),"")</f>
        <v>192</v>
      </c>
      <c r="F281" s="9">
        <f>IFERROR(VLOOKUP(C281,$H$4:$I$70,2,0),"")</f>
        <v>474</v>
      </c>
    </row>
    <row r="282" spans="2:6" x14ac:dyDescent="0.2">
      <c r="B282" s="13">
        <f t="shared" si="14"/>
        <v>279</v>
      </c>
      <c r="C282" s="8">
        <f t="shared" si="15"/>
        <v>21</v>
      </c>
      <c r="D282" s="8">
        <f t="shared" si="16"/>
        <v>63</v>
      </c>
      <c r="E282" s="8">
        <f>IFERROR(VLOOKUP(D282,$H$4:$I$70,2,0),"")</f>
        <v>192</v>
      </c>
      <c r="F282" s="9">
        <f>IFERROR(VLOOKUP(C282,$H$4:$I$70,2,0),"")</f>
        <v>468</v>
      </c>
    </row>
    <row r="283" spans="2:6" x14ac:dyDescent="0.2">
      <c r="B283" s="13">
        <f t="shared" si="14"/>
        <v>280</v>
      </c>
      <c r="C283" s="8">
        <f t="shared" si="15"/>
        <v>22</v>
      </c>
      <c r="D283" s="8">
        <f t="shared" si="16"/>
        <v>63</v>
      </c>
      <c r="E283" s="8">
        <f>IFERROR(VLOOKUP(D283,$H$4:$I$70,2,0),"")</f>
        <v>192</v>
      </c>
      <c r="F283" s="9">
        <f>IFERROR(VLOOKUP(C283,$H$4:$I$70,2,0),"")</f>
        <v>457</v>
      </c>
    </row>
    <row r="284" spans="2:6" x14ac:dyDescent="0.2">
      <c r="B284" s="13">
        <f t="shared" si="14"/>
        <v>281</v>
      </c>
      <c r="C284" s="8">
        <f t="shared" si="15"/>
        <v>23</v>
      </c>
      <c r="D284" s="8">
        <f t="shared" si="16"/>
        <v>63</v>
      </c>
      <c r="E284" s="8">
        <f>IFERROR(VLOOKUP(D284,$H$4:$I$70,2,0),"")</f>
        <v>192</v>
      </c>
      <c r="F284" s="9">
        <f>IFERROR(VLOOKUP(C284,$H$4:$I$70,2,0),"")</f>
        <v>452</v>
      </c>
    </row>
    <row r="285" spans="2:6" x14ac:dyDescent="0.2">
      <c r="B285" s="13">
        <f t="shared" si="14"/>
        <v>282</v>
      </c>
      <c r="C285" s="8">
        <f t="shared" si="15"/>
        <v>24</v>
      </c>
      <c r="D285" s="8">
        <f t="shared" si="16"/>
        <v>63</v>
      </c>
      <c r="E285" s="8">
        <f>IFERROR(VLOOKUP(D285,$H$4:$I$70,2,0),"")</f>
        <v>192</v>
      </c>
      <c r="F285" s="9">
        <f>IFERROR(VLOOKUP(C285,$H$4:$I$70,2,0),"")</f>
        <v>442</v>
      </c>
    </row>
    <row r="286" spans="2:6" x14ac:dyDescent="0.2">
      <c r="B286" s="13">
        <f t="shared" si="14"/>
        <v>283</v>
      </c>
      <c r="C286" s="8">
        <f t="shared" si="15"/>
        <v>25</v>
      </c>
      <c r="D286" s="8">
        <f t="shared" si="16"/>
        <v>63</v>
      </c>
      <c r="E286" s="8">
        <f>IFERROR(VLOOKUP(D286,$H$4:$I$70,2,0),"")</f>
        <v>192</v>
      </c>
      <c r="F286" s="9">
        <f>IFERROR(VLOOKUP(C286,$H$4:$I$70,2,0),"")</f>
        <v>420</v>
      </c>
    </row>
    <row r="287" spans="2:6" x14ac:dyDescent="0.2">
      <c r="B287" s="13">
        <f t="shared" si="14"/>
        <v>284</v>
      </c>
      <c r="C287" s="8">
        <f t="shared" si="15"/>
        <v>26</v>
      </c>
      <c r="D287" s="8">
        <f t="shared" si="16"/>
        <v>63</v>
      </c>
      <c r="E287" s="8">
        <f>IFERROR(VLOOKUP(D287,$H$4:$I$70,2,0),"")</f>
        <v>192</v>
      </c>
      <c r="F287" s="9">
        <f>IFERROR(VLOOKUP(C287,$H$4:$I$70,2,0),"")</f>
        <v>410</v>
      </c>
    </row>
    <row r="288" spans="2:6" x14ac:dyDescent="0.2">
      <c r="B288" s="13">
        <f t="shared" si="14"/>
        <v>285</v>
      </c>
      <c r="C288" s="8">
        <f t="shared" si="15"/>
        <v>27</v>
      </c>
      <c r="D288" s="8">
        <f t="shared" si="16"/>
        <v>63</v>
      </c>
      <c r="E288" s="8">
        <f>IFERROR(VLOOKUP(D288,$H$4:$I$70,2,0),"")</f>
        <v>192</v>
      </c>
      <c r="F288" s="9">
        <f>IFERROR(VLOOKUP(C288,$H$4:$I$70,2,0),"")</f>
        <v>409</v>
      </c>
    </row>
    <row r="289" spans="2:6" x14ac:dyDescent="0.2">
      <c r="B289" s="13">
        <f t="shared" si="14"/>
        <v>286</v>
      </c>
      <c r="C289" s="8">
        <f t="shared" si="15"/>
        <v>28</v>
      </c>
      <c r="D289" s="8">
        <f t="shared" si="16"/>
        <v>63</v>
      </c>
      <c r="E289" s="8">
        <f>IFERROR(VLOOKUP(D289,$H$4:$I$70,2,0),"")</f>
        <v>192</v>
      </c>
      <c r="F289" s="9">
        <f>IFERROR(VLOOKUP(C289,$H$4:$I$70,2,0),"")</f>
        <v>408</v>
      </c>
    </row>
    <row r="290" spans="2:6" x14ac:dyDescent="0.2">
      <c r="B290" s="13">
        <f t="shared" si="14"/>
        <v>287</v>
      </c>
      <c r="C290" s="8">
        <f t="shared" si="15"/>
        <v>29</v>
      </c>
      <c r="D290" s="8">
        <f t="shared" si="16"/>
        <v>63</v>
      </c>
      <c r="E290" s="8">
        <f>IFERROR(VLOOKUP(D290,$H$4:$I$70,2,0),"")</f>
        <v>192</v>
      </c>
      <c r="F290" s="9">
        <f>IFERROR(VLOOKUP(C290,$H$4:$I$70,2,0),"")</f>
        <v>404</v>
      </c>
    </row>
    <row r="291" spans="2:6" x14ac:dyDescent="0.2">
      <c r="B291" s="13">
        <f t="shared" si="14"/>
        <v>288</v>
      </c>
      <c r="C291" s="8">
        <f t="shared" si="15"/>
        <v>30</v>
      </c>
      <c r="D291" s="8">
        <f t="shared" si="16"/>
        <v>63</v>
      </c>
      <c r="E291" s="8">
        <f>IFERROR(VLOOKUP(D291,$H$4:$I$70,2,0),"")</f>
        <v>192</v>
      </c>
      <c r="F291" s="9">
        <f>IFERROR(VLOOKUP(C291,$H$4:$I$70,2,0),"")</f>
        <v>399</v>
      </c>
    </row>
    <row r="292" spans="2:6" x14ac:dyDescent="0.2">
      <c r="B292" s="13">
        <f t="shared" si="14"/>
        <v>289</v>
      </c>
      <c r="C292" s="8">
        <f t="shared" si="15"/>
        <v>31</v>
      </c>
      <c r="D292" s="8">
        <f t="shared" si="16"/>
        <v>63</v>
      </c>
      <c r="E292" s="8">
        <f>IFERROR(VLOOKUP(D292,$H$4:$I$70,2,0),"")</f>
        <v>192</v>
      </c>
      <c r="F292" s="9">
        <f>IFERROR(VLOOKUP(C292,$H$4:$I$70,2,0),"")</f>
        <v>396</v>
      </c>
    </row>
    <row r="293" spans="2:6" x14ac:dyDescent="0.2">
      <c r="B293" s="13">
        <f t="shared" si="14"/>
        <v>290</v>
      </c>
      <c r="C293" s="8">
        <f t="shared" si="15"/>
        <v>32</v>
      </c>
      <c r="D293" s="8">
        <f t="shared" si="16"/>
        <v>63</v>
      </c>
      <c r="E293" s="8">
        <f>IFERROR(VLOOKUP(D293,$H$4:$I$70,2,0),"")</f>
        <v>192</v>
      </c>
      <c r="F293" s="9">
        <f>IFERROR(VLOOKUP(C293,$H$4:$I$70,2,0),"")</f>
        <v>384</v>
      </c>
    </row>
    <row r="294" spans="2:6" x14ac:dyDescent="0.2">
      <c r="B294" s="13">
        <f t="shared" si="14"/>
        <v>291</v>
      </c>
      <c r="C294" s="8">
        <f t="shared" si="15"/>
        <v>33</v>
      </c>
      <c r="D294" s="8">
        <f t="shared" si="16"/>
        <v>63</v>
      </c>
      <c r="E294" s="8">
        <f>IFERROR(VLOOKUP(D294,$H$4:$I$70,2,0),"")</f>
        <v>192</v>
      </c>
      <c r="F294" s="9">
        <f>IFERROR(VLOOKUP(C294,$H$4:$I$70,2,0),"")</f>
        <v>381</v>
      </c>
    </row>
    <row r="295" spans="2:6" x14ac:dyDescent="0.2">
      <c r="B295" s="13">
        <f t="shared" si="14"/>
        <v>292</v>
      </c>
      <c r="C295" s="8">
        <f t="shared" si="15"/>
        <v>34</v>
      </c>
      <c r="D295" s="8">
        <f t="shared" si="16"/>
        <v>63</v>
      </c>
      <c r="E295" s="8">
        <f>IFERROR(VLOOKUP(D295,$H$4:$I$70,2,0),"")</f>
        <v>192</v>
      </c>
      <c r="F295" s="9">
        <f>IFERROR(VLOOKUP(C295,$H$4:$I$70,2,0),"")</f>
        <v>376</v>
      </c>
    </row>
    <row r="296" spans="2:6" x14ac:dyDescent="0.2">
      <c r="B296" s="13">
        <f t="shared" si="14"/>
        <v>293</v>
      </c>
      <c r="C296" s="8">
        <f t="shared" si="15"/>
        <v>35</v>
      </c>
      <c r="D296" s="8">
        <f t="shared" si="16"/>
        <v>63</v>
      </c>
      <c r="E296" s="8">
        <f>IFERROR(VLOOKUP(D296,$H$4:$I$70,2,0),"")</f>
        <v>192</v>
      </c>
      <c r="F296" s="9">
        <f>IFERROR(VLOOKUP(C296,$H$4:$I$70,2,0),"")</f>
        <v>370</v>
      </c>
    </row>
    <row r="297" spans="2:6" x14ac:dyDescent="0.2">
      <c r="B297" s="13">
        <f t="shared" si="14"/>
        <v>294</v>
      </c>
      <c r="C297" s="8">
        <f t="shared" si="15"/>
        <v>36</v>
      </c>
      <c r="D297" s="8">
        <f t="shared" si="16"/>
        <v>63</v>
      </c>
      <c r="E297" s="8">
        <f>IFERROR(VLOOKUP(D297,$H$4:$I$70,2,0),"")</f>
        <v>192</v>
      </c>
      <c r="F297" s="9">
        <f>IFERROR(VLOOKUP(C297,$H$4:$I$70,2,0),"")</f>
        <v>362</v>
      </c>
    </row>
    <row r="298" spans="2:6" x14ac:dyDescent="0.2">
      <c r="B298" s="13">
        <f t="shared" si="14"/>
        <v>295</v>
      </c>
      <c r="C298" s="8">
        <f t="shared" si="15"/>
        <v>37</v>
      </c>
      <c r="D298" s="8">
        <f t="shared" si="16"/>
        <v>63</v>
      </c>
      <c r="E298" s="8">
        <f>IFERROR(VLOOKUP(D298,$H$4:$I$70,2,0),"")</f>
        <v>192</v>
      </c>
      <c r="F298" s="9">
        <f>IFERROR(VLOOKUP(C298,$H$4:$I$70,2,0),"")</f>
        <v>357</v>
      </c>
    </row>
    <row r="299" spans="2:6" x14ac:dyDescent="0.2">
      <c r="B299" s="13">
        <f t="shared" si="14"/>
        <v>296</v>
      </c>
      <c r="C299" s="8">
        <f t="shared" si="15"/>
        <v>38</v>
      </c>
      <c r="D299" s="8">
        <f t="shared" si="16"/>
        <v>63</v>
      </c>
      <c r="E299" s="8">
        <f>IFERROR(VLOOKUP(D299,$H$4:$I$70,2,0),"")</f>
        <v>192</v>
      </c>
      <c r="F299" s="9">
        <f>IFERROR(VLOOKUP(C299,$H$4:$I$70,2,0),"")</f>
        <v>351</v>
      </c>
    </row>
    <row r="300" spans="2:6" x14ac:dyDescent="0.2">
      <c r="B300" s="13">
        <f t="shared" si="14"/>
        <v>297</v>
      </c>
      <c r="C300" s="8">
        <f t="shared" si="15"/>
        <v>39</v>
      </c>
      <c r="D300" s="8">
        <f t="shared" si="16"/>
        <v>63</v>
      </c>
      <c r="E300" s="8">
        <f>IFERROR(VLOOKUP(D300,$H$4:$I$70,2,0),"")</f>
        <v>192</v>
      </c>
      <c r="F300" s="9">
        <f>IFERROR(VLOOKUP(C300,$H$4:$I$70,2,0),"")</f>
        <v>339</v>
      </c>
    </row>
    <row r="301" spans="2:6" x14ac:dyDescent="0.2">
      <c r="B301" s="13">
        <f t="shared" si="14"/>
        <v>298</v>
      </c>
      <c r="C301" s="8">
        <f t="shared" si="15"/>
        <v>40</v>
      </c>
      <c r="D301" s="8">
        <f t="shared" si="16"/>
        <v>63</v>
      </c>
      <c r="E301" s="8">
        <f>IFERROR(VLOOKUP(D301,$H$4:$I$70,2,0),"")</f>
        <v>192</v>
      </c>
      <c r="F301" s="9">
        <f>IFERROR(VLOOKUP(C301,$H$4:$I$70,2,0),"")</f>
        <v>304</v>
      </c>
    </row>
    <row r="302" spans="2:6" x14ac:dyDescent="0.2">
      <c r="B302" s="13">
        <f t="shared" si="14"/>
        <v>299</v>
      </c>
      <c r="C302" s="8">
        <f t="shared" si="15"/>
        <v>41</v>
      </c>
      <c r="D302" s="8">
        <f t="shared" si="16"/>
        <v>63</v>
      </c>
      <c r="E302" s="8">
        <f>IFERROR(VLOOKUP(D302,$H$4:$I$70,2,0),"")</f>
        <v>192</v>
      </c>
      <c r="F302" s="9">
        <f>IFERROR(VLOOKUP(C302,$H$4:$I$70,2,0),"")</f>
        <v>301</v>
      </c>
    </row>
    <row r="303" spans="2:6" x14ac:dyDescent="0.2">
      <c r="B303" s="13">
        <f t="shared" si="14"/>
        <v>300</v>
      </c>
      <c r="C303" s="8">
        <f t="shared" si="15"/>
        <v>42</v>
      </c>
      <c r="D303" s="8">
        <f t="shared" si="16"/>
        <v>63</v>
      </c>
      <c r="E303" s="8">
        <f>IFERROR(VLOOKUP(D303,$H$4:$I$70,2,0),"")</f>
        <v>192</v>
      </c>
      <c r="F303" s="9">
        <f>IFERROR(VLOOKUP(C303,$H$4:$I$70,2,0),"")</f>
        <v>300</v>
      </c>
    </row>
    <row r="304" spans="2:6" x14ac:dyDescent="0.2">
      <c r="B304" s="13">
        <f t="shared" si="14"/>
        <v>301</v>
      </c>
      <c r="C304" s="8">
        <f t="shared" si="15"/>
        <v>43</v>
      </c>
      <c r="D304" s="8">
        <f t="shared" si="16"/>
        <v>63</v>
      </c>
      <c r="E304" s="8">
        <f>IFERROR(VLOOKUP(D304,$H$4:$I$70,2,0),"")</f>
        <v>192</v>
      </c>
      <c r="F304" s="9">
        <f>IFERROR(VLOOKUP(C304,$H$4:$I$70,2,0),"")</f>
        <v>288</v>
      </c>
    </row>
    <row r="305" spans="2:6" x14ac:dyDescent="0.2">
      <c r="B305" s="13">
        <f t="shared" si="14"/>
        <v>302</v>
      </c>
      <c r="C305" s="8">
        <f t="shared" si="15"/>
        <v>44</v>
      </c>
      <c r="D305" s="8">
        <f t="shared" si="16"/>
        <v>63</v>
      </c>
      <c r="E305" s="8">
        <f>IFERROR(VLOOKUP(D305,$H$4:$I$70,2,0),"")</f>
        <v>192</v>
      </c>
      <c r="F305" s="9">
        <f>IFERROR(VLOOKUP(C305,$H$4:$I$70,2,0),"")</f>
        <v>273</v>
      </c>
    </row>
    <row r="306" spans="2:6" x14ac:dyDescent="0.2">
      <c r="B306" s="13">
        <f t="shared" si="14"/>
        <v>303</v>
      </c>
      <c r="C306" s="8">
        <f t="shared" si="15"/>
        <v>45</v>
      </c>
      <c r="D306" s="8">
        <f t="shared" si="16"/>
        <v>63</v>
      </c>
      <c r="E306" s="8">
        <f>IFERROR(VLOOKUP(D306,$H$4:$I$70,2,0),"")</f>
        <v>192</v>
      </c>
      <c r="F306" s="9">
        <f>IFERROR(VLOOKUP(C306,$H$4:$I$70,2,0),"")</f>
        <v>268</v>
      </c>
    </row>
    <row r="307" spans="2:6" x14ac:dyDescent="0.2">
      <c r="B307" s="13">
        <f t="shared" si="14"/>
        <v>304</v>
      </c>
      <c r="C307" s="8">
        <f t="shared" si="15"/>
        <v>46</v>
      </c>
      <c r="D307" s="8">
        <f t="shared" si="16"/>
        <v>63</v>
      </c>
      <c r="E307" s="8">
        <f>IFERROR(VLOOKUP(D307,$H$4:$I$70,2,0),"")</f>
        <v>192</v>
      </c>
      <c r="F307" s="9">
        <f>IFERROR(VLOOKUP(C307,$H$4:$I$70,2,0),"")</f>
        <v>262</v>
      </c>
    </row>
    <row r="308" spans="2:6" x14ac:dyDescent="0.2">
      <c r="B308" s="13">
        <f t="shared" si="14"/>
        <v>305</v>
      </c>
      <c r="C308" s="8">
        <f t="shared" si="15"/>
        <v>47</v>
      </c>
      <c r="D308" s="8">
        <f t="shared" si="16"/>
        <v>63</v>
      </c>
      <c r="E308" s="8">
        <f>IFERROR(VLOOKUP(D308,$H$4:$I$70,2,0),"")</f>
        <v>192</v>
      </c>
      <c r="F308" s="9">
        <f>IFERROR(VLOOKUP(C308,$H$4:$I$70,2,0),"")</f>
        <v>248</v>
      </c>
    </row>
    <row r="309" spans="2:6" x14ac:dyDescent="0.2">
      <c r="B309" s="13">
        <f t="shared" si="14"/>
        <v>306</v>
      </c>
      <c r="C309" s="8">
        <f t="shared" si="15"/>
        <v>48</v>
      </c>
      <c r="D309" s="8">
        <f t="shared" si="16"/>
        <v>63</v>
      </c>
      <c r="E309" s="8">
        <f>IFERROR(VLOOKUP(D309,$H$4:$I$70,2,0),"")</f>
        <v>192</v>
      </c>
      <c r="F309" s="9">
        <f>IFERROR(VLOOKUP(C309,$H$4:$I$70,2,0),"")</f>
        <v>246</v>
      </c>
    </row>
    <row r="310" spans="2:6" x14ac:dyDescent="0.2">
      <c r="B310" s="13">
        <f t="shared" si="14"/>
        <v>307</v>
      </c>
      <c r="C310" s="8">
        <f t="shared" si="15"/>
        <v>49</v>
      </c>
      <c r="D310" s="8">
        <f t="shared" si="16"/>
        <v>63</v>
      </c>
      <c r="E310" s="8">
        <f>IFERROR(VLOOKUP(D310,$H$4:$I$70,2,0),"")</f>
        <v>192</v>
      </c>
      <c r="F310" s="9">
        <f>IFERROR(VLOOKUP(C310,$H$4:$I$70,2,0),"")</f>
        <v>236</v>
      </c>
    </row>
    <row r="311" spans="2:6" x14ac:dyDescent="0.2">
      <c r="B311" s="13">
        <f t="shared" si="14"/>
        <v>308</v>
      </c>
      <c r="C311" s="8">
        <f t="shared" si="15"/>
        <v>50</v>
      </c>
      <c r="D311" s="8">
        <f t="shared" si="16"/>
        <v>63</v>
      </c>
      <c r="E311" s="8">
        <f>IFERROR(VLOOKUP(D311,$H$4:$I$70,2,0),"")</f>
        <v>192</v>
      </c>
      <c r="F311" s="9">
        <f>IFERROR(VLOOKUP(C311,$H$4:$I$70,2,0),"")</f>
        <v>231</v>
      </c>
    </row>
    <row r="312" spans="2:6" x14ac:dyDescent="0.2">
      <c r="B312" s="13">
        <f t="shared" si="14"/>
        <v>309</v>
      </c>
      <c r="C312" s="8">
        <f t="shared" si="15"/>
        <v>51</v>
      </c>
      <c r="D312" s="8">
        <f t="shared" si="16"/>
        <v>63</v>
      </c>
      <c r="E312" s="8">
        <f>IFERROR(VLOOKUP(D312,$H$4:$I$70,2,0),"")</f>
        <v>192</v>
      </c>
      <c r="F312" s="9">
        <f>IFERROR(VLOOKUP(C312,$H$4:$I$70,2,0),"")</f>
        <v>227</v>
      </c>
    </row>
    <row r="313" spans="2:6" x14ac:dyDescent="0.2">
      <c r="B313" s="13">
        <f t="shared" si="14"/>
        <v>310</v>
      </c>
      <c r="C313" s="8">
        <f t="shared" si="15"/>
        <v>52</v>
      </c>
      <c r="D313" s="8">
        <f t="shared" si="16"/>
        <v>63</v>
      </c>
      <c r="E313" s="8">
        <f>IFERROR(VLOOKUP(D313,$H$4:$I$70,2,0),"")</f>
        <v>192</v>
      </c>
      <c r="F313" s="9">
        <f>IFERROR(VLOOKUP(C313,$H$4:$I$70,2,0),"")</f>
        <v>224</v>
      </c>
    </row>
    <row r="314" spans="2:6" x14ac:dyDescent="0.2">
      <c r="B314" s="13">
        <f t="shared" si="14"/>
        <v>311</v>
      </c>
      <c r="C314" s="8">
        <f t="shared" si="15"/>
        <v>53</v>
      </c>
      <c r="D314" s="8">
        <f t="shared" si="16"/>
        <v>63</v>
      </c>
      <c r="E314" s="8">
        <f>IFERROR(VLOOKUP(D314,$H$4:$I$70,2,0),"")</f>
        <v>192</v>
      </c>
      <c r="F314" s="9">
        <f>IFERROR(VLOOKUP(C314,$H$4:$I$70,2,0),"")</f>
        <v>217</v>
      </c>
    </row>
    <row r="315" spans="2:6" x14ac:dyDescent="0.2">
      <c r="B315" s="13">
        <f t="shared" si="14"/>
        <v>312</v>
      </c>
      <c r="C315" s="8">
        <f t="shared" si="15"/>
        <v>54</v>
      </c>
      <c r="D315" s="8">
        <f t="shared" si="16"/>
        <v>63</v>
      </c>
      <c r="E315" s="8">
        <f>IFERROR(VLOOKUP(D315,$H$4:$I$70,2,0),"")</f>
        <v>192</v>
      </c>
      <c r="F315" s="9">
        <f>IFERROR(VLOOKUP(C315,$H$4:$I$70,2,0),"")</f>
        <v>213</v>
      </c>
    </row>
    <row r="316" spans="2:6" x14ac:dyDescent="0.2">
      <c r="B316" s="13">
        <f t="shared" si="14"/>
        <v>313</v>
      </c>
      <c r="C316" s="8">
        <f t="shared" si="15"/>
        <v>55</v>
      </c>
      <c r="D316" s="8">
        <f t="shared" si="16"/>
        <v>63</v>
      </c>
      <c r="E316" s="8">
        <f>IFERROR(VLOOKUP(D316,$H$4:$I$70,2,0),"")</f>
        <v>192</v>
      </c>
      <c r="F316" s="9">
        <f>IFERROR(VLOOKUP(C316,$H$4:$I$70,2,0),"")</f>
        <v>212</v>
      </c>
    </row>
    <row r="317" spans="2:6" x14ac:dyDescent="0.2">
      <c r="B317" s="13">
        <f t="shared" si="14"/>
        <v>314</v>
      </c>
      <c r="C317" s="8">
        <f t="shared" si="15"/>
        <v>56</v>
      </c>
      <c r="D317" s="8">
        <f t="shared" si="16"/>
        <v>63</v>
      </c>
      <c r="E317" s="8">
        <f>IFERROR(VLOOKUP(D317,$H$4:$I$70,2,0),"")</f>
        <v>192</v>
      </c>
      <c r="F317" s="9">
        <f>IFERROR(VLOOKUP(C317,$H$4:$I$70,2,0),"")</f>
        <v>211</v>
      </c>
    </row>
    <row r="318" spans="2:6" x14ac:dyDescent="0.2">
      <c r="B318" s="13">
        <f t="shared" si="14"/>
        <v>315</v>
      </c>
      <c r="C318" s="8">
        <f t="shared" si="15"/>
        <v>57</v>
      </c>
      <c r="D318" s="8">
        <f t="shared" si="16"/>
        <v>63</v>
      </c>
      <c r="E318" s="8">
        <f>IFERROR(VLOOKUP(D318,$H$4:$I$70,2,0),"")</f>
        <v>192</v>
      </c>
      <c r="F318" s="9">
        <f>IFERROR(VLOOKUP(C318,$H$4:$I$70,2,0),"")</f>
        <v>209</v>
      </c>
    </row>
    <row r="319" spans="2:6" x14ac:dyDescent="0.2">
      <c r="B319" s="13">
        <f t="shared" si="14"/>
        <v>316</v>
      </c>
      <c r="C319" s="8">
        <f t="shared" si="15"/>
        <v>58</v>
      </c>
      <c r="D319" s="8">
        <f t="shared" si="16"/>
        <v>63</v>
      </c>
      <c r="E319" s="8">
        <f>IFERROR(VLOOKUP(D319,$H$4:$I$70,2,0),"")</f>
        <v>192</v>
      </c>
      <c r="F319" s="9">
        <f>IFERROR(VLOOKUP(C319,$H$4:$I$70,2,0),"")</f>
        <v>208</v>
      </c>
    </row>
    <row r="320" spans="2:6" x14ac:dyDescent="0.2">
      <c r="B320" s="13">
        <f t="shared" si="14"/>
        <v>317</v>
      </c>
      <c r="C320" s="8">
        <f t="shared" si="15"/>
        <v>59</v>
      </c>
      <c r="D320" s="8">
        <f t="shared" si="16"/>
        <v>63</v>
      </c>
      <c r="E320" s="8">
        <f>IFERROR(VLOOKUP(D320,$H$4:$I$70,2,0),"")</f>
        <v>192</v>
      </c>
      <c r="F320" s="9">
        <f>IFERROR(VLOOKUP(C320,$H$4:$I$70,2,0),"")</f>
        <v>204</v>
      </c>
    </row>
    <row r="321" spans="2:6" x14ac:dyDescent="0.2">
      <c r="B321" s="13">
        <f t="shared" si="14"/>
        <v>318</v>
      </c>
      <c r="C321" s="8">
        <f t="shared" si="15"/>
        <v>60</v>
      </c>
      <c r="D321" s="8">
        <f t="shared" si="16"/>
        <v>63</v>
      </c>
      <c r="E321" s="8">
        <f>IFERROR(VLOOKUP(D321,$H$4:$I$70,2,0),"")</f>
        <v>192</v>
      </c>
      <c r="F321" s="9">
        <f>IFERROR(VLOOKUP(C321,$H$4:$I$70,2,0),"")</f>
        <v>200</v>
      </c>
    </row>
    <row r="322" spans="2:6" x14ac:dyDescent="0.2">
      <c r="B322" s="13">
        <f t="shared" si="14"/>
        <v>319</v>
      </c>
      <c r="C322" s="8">
        <f t="shared" si="15"/>
        <v>61</v>
      </c>
      <c r="D322" s="8">
        <f t="shared" si="16"/>
        <v>63</v>
      </c>
      <c r="E322" s="8">
        <f>IFERROR(VLOOKUP(D322,$H$4:$I$70,2,0),"")</f>
        <v>192</v>
      </c>
      <c r="F322" s="9">
        <f>IFERROR(VLOOKUP(C322,$H$4:$I$70,2,0),"")</f>
        <v>199</v>
      </c>
    </row>
    <row r="323" spans="2:6" x14ac:dyDescent="0.2">
      <c r="B323" s="13">
        <f t="shared" si="14"/>
        <v>320</v>
      </c>
      <c r="C323" s="8">
        <f t="shared" si="15"/>
        <v>62</v>
      </c>
      <c r="D323" s="8">
        <f t="shared" si="16"/>
        <v>63</v>
      </c>
      <c r="E323" s="8">
        <f>IFERROR(VLOOKUP(D323,$H$4:$I$70,2,0),"")</f>
        <v>192</v>
      </c>
      <c r="F323" s="9">
        <f>IFERROR(VLOOKUP(C323,$H$4:$I$70,2,0),"")</f>
        <v>193</v>
      </c>
    </row>
    <row r="324" spans="2:6" x14ac:dyDescent="0.2">
      <c r="B324" s="13">
        <f t="shared" si="14"/>
        <v>321</v>
      </c>
      <c r="C324" s="8">
        <f t="shared" si="15"/>
        <v>1</v>
      </c>
      <c r="D324" s="8">
        <f t="shared" si="16"/>
        <v>62</v>
      </c>
      <c r="E324" s="8">
        <f>IFERROR(VLOOKUP(D324,$H$4:$I$70,2,0),"")</f>
        <v>193</v>
      </c>
      <c r="F324" s="9">
        <f>IFERROR(VLOOKUP(C324,$H$4:$I$70,2,0),"")</f>
        <v>1344</v>
      </c>
    </row>
    <row r="325" spans="2:6" x14ac:dyDescent="0.2">
      <c r="B325" s="13">
        <f t="shared" ref="B325:B388" si="17">ROW()-3</f>
        <v>322</v>
      </c>
      <c r="C325" s="8">
        <f t="shared" si="15"/>
        <v>2</v>
      </c>
      <c r="D325" s="8">
        <f t="shared" si="16"/>
        <v>62</v>
      </c>
      <c r="E325" s="8">
        <f>IFERROR(VLOOKUP(D325,$H$4:$I$70,2,0),"")</f>
        <v>193</v>
      </c>
      <c r="F325" s="9">
        <f>IFERROR(VLOOKUP(C325,$H$4:$I$70,2,0),"")</f>
        <v>1048</v>
      </c>
    </row>
    <row r="326" spans="2:6" x14ac:dyDescent="0.2">
      <c r="B326" s="13">
        <f t="shared" si="17"/>
        <v>323</v>
      </c>
      <c r="C326" s="8">
        <f t="shared" ref="C326:C389" si="18">IF((D325-C325)=1,1,C325+1)</f>
        <v>3</v>
      </c>
      <c r="D326" s="8">
        <f t="shared" ref="D326:D389" si="19">IF((D325-C325)=1,D325-1,D325)</f>
        <v>62</v>
      </c>
      <c r="E326" s="8">
        <f>IFERROR(VLOOKUP(D326,$H$4:$I$70,2,0),"")</f>
        <v>193</v>
      </c>
      <c r="F326" s="9">
        <f>IFERROR(VLOOKUP(C326,$H$4:$I$70,2,0),"")</f>
        <v>1025</v>
      </c>
    </row>
    <row r="327" spans="2:6" x14ac:dyDescent="0.2">
      <c r="B327" s="13">
        <f t="shared" si="17"/>
        <v>324</v>
      </c>
      <c r="C327" s="8">
        <f t="shared" si="18"/>
        <v>4</v>
      </c>
      <c r="D327" s="8">
        <f t="shared" si="19"/>
        <v>62</v>
      </c>
      <c r="E327" s="8">
        <f>IFERROR(VLOOKUP(D327,$H$4:$I$70,2,0),"")</f>
        <v>193</v>
      </c>
      <c r="F327" s="9">
        <f>IFERROR(VLOOKUP(C327,$H$4:$I$70,2,0),"")</f>
        <v>805</v>
      </c>
    </row>
    <row r="328" spans="2:6" x14ac:dyDescent="0.2">
      <c r="B328" s="13">
        <f t="shared" si="17"/>
        <v>325</v>
      </c>
      <c r="C328" s="8">
        <f t="shared" si="18"/>
        <v>5</v>
      </c>
      <c r="D328" s="8">
        <f t="shared" si="19"/>
        <v>62</v>
      </c>
      <c r="E328" s="8">
        <f>IFERROR(VLOOKUP(D328,$H$4:$I$70,2,0),"")</f>
        <v>193</v>
      </c>
      <c r="F328" s="9">
        <f>IFERROR(VLOOKUP(C328,$H$4:$I$70,2,0),"")</f>
        <v>666</v>
      </c>
    </row>
    <row r="329" spans="2:6" x14ac:dyDescent="0.2">
      <c r="B329" s="13">
        <f t="shared" si="17"/>
        <v>326</v>
      </c>
      <c r="C329" s="8">
        <f t="shared" si="18"/>
        <v>6</v>
      </c>
      <c r="D329" s="8">
        <f t="shared" si="19"/>
        <v>62</v>
      </c>
      <c r="E329" s="8">
        <f>IFERROR(VLOOKUP(D329,$H$4:$I$70,2,0),"")</f>
        <v>193</v>
      </c>
      <c r="F329" s="9">
        <f>IFERROR(VLOOKUP(C329,$H$4:$I$70,2,0),"")</f>
        <v>655</v>
      </c>
    </row>
    <row r="330" spans="2:6" x14ac:dyDescent="0.2">
      <c r="B330" s="13">
        <f t="shared" si="17"/>
        <v>327</v>
      </c>
      <c r="C330" s="8">
        <f t="shared" si="18"/>
        <v>7</v>
      </c>
      <c r="D330" s="8">
        <f t="shared" si="19"/>
        <v>62</v>
      </c>
      <c r="E330" s="8">
        <f>IFERROR(VLOOKUP(D330,$H$4:$I$70,2,0),"")</f>
        <v>193</v>
      </c>
      <c r="F330" s="9">
        <f>IFERROR(VLOOKUP(C330,$H$4:$I$70,2,0),"")</f>
        <v>652</v>
      </c>
    </row>
    <row r="331" spans="2:6" x14ac:dyDescent="0.2">
      <c r="B331" s="13">
        <f t="shared" si="17"/>
        <v>328</v>
      </c>
      <c r="C331" s="8">
        <f t="shared" si="18"/>
        <v>8</v>
      </c>
      <c r="D331" s="8">
        <f t="shared" si="19"/>
        <v>62</v>
      </c>
      <c r="E331" s="8">
        <f>IFERROR(VLOOKUP(D331,$H$4:$I$70,2,0),"")</f>
        <v>193</v>
      </c>
      <c r="F331" s="9">
        <f>IFERROR(VLOOKUP(C331,$H$4:$I$70,2,0),"")</f>
        <v>633</v>
      </c>
    </row>
    <row r="332" spans="2:6" x14ac:dyDescent="0.2">
      <c r="B332" s="13">
        <f t="shared" si="17"/>
        <v>329</v>
      </c>
      <c r="C332" s="8">
        <f t="shared" si="18"/>
        <v>9</v>
      </c>
      <c r="D332" s="8">
        <f t="shared" si="19"/>
        <v>62</v>
      </c>
      <c r="E332" s="8">
        <f>IFERROR(VLOOKUP(D332,$H$4:$I$70,2,0),"")</f>
        <v>193</v>
      </c>
      <c r="F332" s="9">
        <f>IFERROR(VLOOKUP(C332,$H$4:$I$70,2,0),"")</f>
        <v>632</v>
      </c>
    </row>
    <row r="333" spans="2:6" x14ac:dyDescent="0.2">
      <c r="B333" s="13">
        <f t="shared" si="17"/>
        <v>330</v>
      </c>
      <c r="C333" s="8">
        <f t="shared" si="18"/>
        <v>10</v>
      </c>
      <c r="D333" s="8">
        <f t="shared" si="19"/>
        <v>62</v>
      </c>
      <c r="E333" s="8">
        <f>IFERROR(VLOOKUP(D333,$H$4:$I$70,2,0),"")</f>
        <v>193</v>
      </c>
      <c r="F333" s="9">
        <f>IFERROR(VLOOKUP(C333,$H$4:$I$70,2,0),"")</f>
        <v>625</v>
      </c>
    </row>
    <row r="334" spans="2:6" x14ac:dyDescent="0.2">
      <c r="B334" s="13">
        <f t="shared" si="17"/>
        <v>331</v>
      </c>
      <c r="C334" s="8">
        <f t="shared" si="18"/>
        <v>11</v>
      </c>
      <c r="D334" s="8">
        <f t="shared" si="19"/>
        <v>62</v>
      </c>
      <c r="E334" s="8">
        <f>IFERROR(VLOOKUP(D334,$H$4:$I$70,2,0),"")</f>
        <v>193</v>
      </c>
      <c r="F334" s="9">
        <f>IFERROR(VLOOKUP(C334,$H$4:$I$70,2,0),"")</f>
        <v>619</v>
      </c>
    </row>
    <row r="335" spans="2:6" x14ac:dyDescent="0.2">
      <c r="B335" s="13">
        <f t="shared" si="17"/>
        <v>332</v>
      </c>
      <c r="C335" s="8">
        <f t="shared" si="18"/>
        <v>12</v>
      </c>
      <c r="D335" s="8">
        <f t="shared" si="19"/>
        <v>62</v>
      </c>
      <c r="E335" s="8">
        <f>IFERROR(VLOOKUP(D335,$H$4:$I$70,2,0),"")</f>
        <v>193</v>
      </c>
      <c r="F335" s="9">
        <f>IFERROR(VLOOKUP(C335,$H$4:$I$70,2,0),"")</f>
        <v>610</v>
      </c>
    </row>
    <row r="336" spans="2:6" x14ac:dyDescent="0.2">
      <c r="B336" s="13">
        <f t="shared" si="17"/>
        <v>333</v>
      </c>
      <c r="C336" s="8">
        <f t="shared" si="18"/>
        <v>13</v>
      </c>
      <c r="D336" s="8">
        <f t="shared" si="19"/>
        <v>62</v>
      </c>
      <c r="E336" s="8">
        <f>IFERROR(VLOOKUP(D336,$H$4:$I$70,2,0),"")</f>
        <v>193</v>
      </c>
      <c r="F336" s="9">
        <f>IFERROR(VLOOKUP(C336,$H$4:$I$70,2,0),"")</f>
        <v>599</v>
      </c>
    </row>
    <row r="337" spans="2:6" x14ac:dyDescent="0.2">
      <c r="B337" s="13">
        <f t="shared" si="17"/>
        <v>334</v>
      </c>
      <c r="C337" s="8">
        <f t="shared" si="18"/>
        <v>14</v>
      </c>
      <c r="D337" s="8">
        <f t="shared" si="19"/>
        <v>62</v>
      </c>
      <c r="E337" s="8">
        <f>IFERROR(VLOOKUP(D337,$H$4:$I$70,2,0),"")</f>
        <v>193</v>
      </c>
      <c r="F337" s="9">
        <f>IFERROR(VLOOKUP(C337,$H$4:$I$70,2,0),"")</f>
        <v>559</v>
      </c>
    </row>
    <row r="338" spans="2:6" x14ac:dyDescent="0.2">
      <c r="B338" s="13">
        <f t="shared" si="17"/>
        <v>335</v>
      </c>
      <c r="C338" s="8">
        <f t="shared" si="18"/>
        <v>15</v>
      </c>
      <c r="D338" s="8">
        <f t="shared" si="19"/>
        <v>62</v>
      </c>
      <c r="E338" s="8">
        <f>IFERROR(VLOOKUP(D338,$H$4:$I$70,2,0),"")</f>
        <v>193</v>
      </c>
      <c r="F338" s="9">
        <f>IFERROR(VLOOKUP(C338,$H$4:$I$70,2,0),"")</f>
        <v>556</v>
      </c>
    </row>
    <row r="339" spans="2:6" x14ac:dyDescent="0.2">
      <c r="B339" s="13">
        <f t="shared" si="17"/>
        <v>336</v>
      </c>
      <c r="C339" s="8">
        <f t="shared" si="18"/>
        <v>16</v>
      </c>
      <c r="D339" s="8">
        <f t="shared" si="19"/>
        <v>62</v>
      </c>
      <c r="E339" s="8">
        <f>IFERROR(VLOOKUP(D339,$H$4:$I$70,2,0),"")</f>
        <v>193</v>
      </c>
      <c r="F339" s="9">
        <f>IFERROR(VLOOKUP(C339,$H$4:$I$70,2,0),"")</f>
        <v>540</v>
      </c>
    </row>
    <row r="340" spans="2:6" x14ac:dyDescent="0.2">
      <c r="B340" s="13">
        <f t="shared" si="17"/>
        <v>337</v>
      </c>
      <c r="C340" s="8">
        <f t="shared" si="18"/>
        <v>17</v>
      </c>
      <c r="D340" s="8">
        <f t="shared" si="19"/>
        <v>62</v>
      </c>
      <c r="E340" s="8">
        <f>IFERROR(VLOOKUP(D340,$H$4:$I$70,2,0),"")</f>
        <v>193</v>
      </c>
      <c r="F340" s="9">
        <f>IFERROR(VLOOKUP(C340,$H$4:$I$70,2,0),"")</f>
        <v>536</v>
      </c>
    </row>
    <row r="341" spans="2:6" x14ac:dyDescent="0.2">
      <c r="B341" s="13">
        <f t="shared" si="17"/>
        <v>338</v>
      </c>
      <c r="C341" s="8">
        <f t="shared" si="18"/>
        <v>18</v>
      </c>
      <c r="D341" s="8">
        <f t="shared" si="19"/>
        <v>62</v>
      </c>
      <c r="E341" s="8">
        <f>IFERROR(VLOOKUP(D341,$H$4:$I$70,2,0),"")</f>
        <v>193</v>
      </c>
      <c r="F341" s="9">
        <f>IFERROR(VLOOKUP(C341,$H$4:$I$70,2,0),"")</f>
        <v>527</v>
      </c>
    </row>
    <row r="342" spans="2:6" x14ac:dyDescent="0.2">
      <c r="B342" s="13">
        <f t="shared" si="17"/>
        <v>339</v>
      </c>
      <c r="C342" s="8">
        <f t="shared" si="18"/>
        <v>19</v>
      </c>
      <c r="D342" s="8">
        <f t="shared" si="19"/>
        <v>62</v>
      </c>
      <c r="E342" s="8">
        <f>IFERROR(VLOOKUP(D342,$H$4:$I$70,2,0),"")</f>
        <v>193</v>
      </c>
      <c r="F342" s="9">
        <f>IFERROR(VLOOKUP(C342,$H$4:$I$70,2,0),"")</f>
        <v>478</v>
      </c>
    </row>
    <row r="343" spans="2:6" x14ac:dyDescent="0.2">
      <c r="B343" s="13">
        <f t="shared" si="17"/>
        <v>340</v>
      </c>
      <c r="C343" s="8">
        <f t="shared" si="18"/>
        <v>20</v>
      </c>
      <c r="D343" s="8">
        <f t="shared" si="19"/>
        <v>62</v>
      </c>
      <c r="E343" s="8">
        <f>IFERROR(VLOOKUP(D343,$H$4:$I$70,2,0),"")</f>
        <v>193</v>
      </c>
      <c r="F343" s="9">
        <f>IFERROR(VLOOKUP(C343,$H$4:$I$70,2,0),"")</f>
        <v>474</v>
      </c>
    </row>
    <row r="344" spans="2:6" x14ac:dyDescent="0.2">
      <c r="B344" s="13">
        <f t="shared" si="17"/>
        <v>341</v>
      </c>
      <c r="C344" s="8">
        <f t="shared" si="18"/>
        <v>21</v>
      </c>
      <c r="D344" s="8">
        <f t="shared" si="19"/>
        <v>62</v>
      </c>
      <c r="E344" s="8">
        <f>IFERROR(VLOOKUP(D344,$H$4:$I$70,2,0),"")</f>
        <v>193</v>
      </c>
      <c r="F344" s="9">
        <f>IFERROR(VLOOKUP(C344,$H$4:$I$70,2,0),"")</f>
        <v>468</v>
      </c>
    </row>
    <row r="345" spans="2:6" x14ac:dyDescent="0.2">
      <c r="B345" s="13">
        <f t="shared" si="17"/>
        <v>342</v>
      </c>
      <c r="C345" s="8">
        <f t="shared" si="18"/>
        <v>22</v>
      </c>
      <c r="D345" s="8">
        <f t="shared" si="19"/>
        <v>62</v>
      </c>
      <c r="E345" s="8">
        <f>IFERROR(VLOOKUP(D345,$H$4:$I$70,2,0),"")</f>
        <v>193</v>
      </c>
      <c r="F345" s="9">
        <f>IFERROR(VLOOKUP(C345,$H$4:$I$70,2,0),"")</f>
        <v>457</v>
      </c>
    </row>
    <row r="346" spans="2:6" x14ac:dyDescent="0.2">
      <c r="B346" s="13">
        <f t="shared" si="17"/>
        <v>343</v>
      </c>
      <c r="C346" s="8">
        <f t="shared" si="18"/>
        <v>23</v>
      </c>
      <c r="D346" s="8">
        <f t="shared" si="19"/>
        <v>62</v>
      </c>
      <c r="E346" s="8">
        <f>IFERROR(VLOOKUP(D346,$H$4:$I$70,2,0),"")</f>
        <v>193</v>
      </c>
      <c r="F346" s="9">
        <f>IFERROR(VLOOKUP(C346,$H$4:$I$70,2,0),"")</f>
        <v>452</v>
      </c>
    </row>
    <row r="347" spans="2:6" x14ac:dyDescent="0.2">
      <c r="B347" s="13">
        <f t="shared" si="17"/>
        <v>344</v>
      </c>
      <c r="C347" s="8">
        <f t="shared" si="18"/>
        <v>24</v>
      </c>
      <c r="D347" s="8">
        <f t="shared" si="19"/>
        <v>62</v>
      </c>
      <c r="E347" s="8">
        <f>IFERROR(VLOOKUP(D347,$H$4:$I$70,2,0),"")</f>
        <v>193</v>
      </c>
      <c r="F347" s="9">
        <f>IFERROR(VLOOKUP(C347,$H$4:$I$70,2,0),"")</f>
        <v>442</v>
      </c>
    </row>
    <row r="348" spans="2:6" x14ac:dyDescent="0.2">
      <c r="B348" s="13">
        <f t="shared" si="17"/>
        <v>345</v>
      </c>
      <c r="C348" s="8">
        <f t="shared" si="18"/>
        <v>25</v>
      </c>
      <c r="D348" s="8">
        <f t="shared" si="19"/>
        <v>62</v>
      </c>
      <c r="E348" s="8">
        <f>IFERROR(VLOOKUP(D348,$H$4:$I$70,2,0),"")</f>
        <v>193</v>
      </c>
      <c r="F348" s="9">
        <f>IFERROR(VLOOKUP(C348,$H$4:$I$70,2,0),"")</f>
        <v>420</v>
      </c>
    </row>
    <row r="349" spans="2:6" x14ac:dyDescent="0.2">
      <c r="B349" s="13">
        <f t="shared" si="17"/>
        <v>346</v>
      </c>
      <c r="C349" s="8">
        <f t="shared" si="18"/>
        <v>26</v>
      </c>
      <c r="D349" s="8">
        <f t="shared" si="19"/>
        <v>62</v>
      </c>
      <c r="E349" s="8">
        <f>IFERROR(VLOOKUP(D349,$H$4:$I$70,2,0),"")</f>
        <v>193</v>
      </c>
      <c r="F349" s="9">
        <f>IFERROR(VLOOKUP(C349,$H$4:$I$70,2,0),"")</f>
        <v>410</v>
      </c>
    </row>
    <row r="350" spans="2:6" x14ac:dyDescent="0.2">
      <c r="B350" s="13">
        <f t="shared" si="17"/>
        <v>347</v>
      </c>
      <c r="C350" s="8">
        <f t="shared" si="18"/>
        <v>27</v>
      </c>
      <c r="D350" s="8">
        <f t="shared" si="19"/>
        <v>62</v>
      </c>
      <c r="E350" s="8">
        <f>IFERROR(VLOOKUP(D350,$H$4:$I$70,2,0),"")</f>
        <v>193</v>
      </c>
      <c r="F350" s="9">
        <f>IFERROR(VLOOKUP(C350,$H$4:$I$70,2,0),"")</f>
        <v>409</v>
      </c>
    </row>
    <row r="351" spans="2:6" x14ac:dyDescent="0.2">
      <c r="B351" s="13">
        <f t="shared" si="17"/>
        <v>348</v>
      </c>
      <c r="C351" s="8">
        <f t="shared" si="18"/>
        <v>28</v>
      </c>
      <c r="D351" s="8">
        <f t="shared" si="19"/>
        <v>62</v>
      </c>
      <c r="E351" s="8">
        <f>IFERROR(VLOOKUP(D351,$H$4:$I$70,2,0),"")</f>
        <v>193</v>
      </c>
      <c r="F351" s="9">
        <f>IFERROR(VLOOKUP(C351,$H$4:$I$70,2,0),"")</f>
        <v>408</v>
      </c>
    </row>
    <row r="352" spans="2:6" x14ac:dyDescent="0.2">
      <c r="B352" s="13">
        <f t="shared" si="17"/>
        <v>349</v>
      </c>
      <c r="C352" s="8">
        <f t="shared" si="18"/>
        <v>29</v>
      </c>
      <c r="D352" s="8">
        <f t="shared" si="19"/>
        <v>62</v>
      </c>
      <c r="E352" s="8">
        <f>IFERROR(VLOOKUP(D352,$H$4:$I$70,2,0),"")</f>
        <v>193</v>
      </c>
      <c r="F352" s="9">
        <f>IFERROR(VLOOKUP(C352,$H$4:$I$70,2,0),"")</f>
        <v>404</v>
      </c>
    </row>
    <row r="353" spans="2:6" x14ac:dyDescent="0.2">
      <c r="B353" s="13">
        <f t="shared" si="17"/>
        <v>350</v>
      </c>
      <c r="C353" s="8">
        <f t="shared" si="18"/>
        <v>30</v>
      </c>
      <c r="D353" s="8">
        <f t="shared" si="19"/>
        <v>62</v>
      </c>
      <c r="E353" s="8">
        <f>IFERROR(VLOOKUP(D353,$H$4:$I$70,2,0),"")</f>
        <v>193</v>
      </c>
      <c r="F353" s="9">
        <f>IFERROR(VLOOKUP(C353,$H$4:$I$70,2,0),"")</f>
        <v>399</v>
      </c>
    </row>
    <row r="354" spans="2:6" x14ac:dyDescent="0.2">
      <c r="B354" s="13">
        <f t="shared" si="17"/>
        <v>351</v>
      </c>
      <c r="C354" s="8">
        <f t="shared" si="18"/>
        <v>31</v>
      </c>
      <c r="D354" s="8">
        <f t="shared" si="19"/>
        <v>62</v>
      </c>
      <c r="E354" s="8">
        <f>IFERROR(VLOOKUP(D354,$H$4:$I$70,2,0),"")</f>
        <v>193</v>
      </c>
      <c r="F354" s="9">
        <f>IFERROR(VLOOKUP(C354,$H$4:$I$70,2,0),"")</f>
        <v>396</v>
      </c>
    </row>
    <row r="355" spans="2:6" x14ac:dyDescent="0.2">
      <c r="B355" s="13">
        <f t="shared" si="17"/>
        <v>352</v>
      </c>
      <c r="C355" s="8">
        <f t="shared" si="18"/>
        <v>32</v>
      </c>
      <c r="D355" s="8">
        <f t="shared" si="19"/>
        <v>62</v>
      </c>
      <c r="E355" s="8">
        <f>IFERROR(VLOOKUP(D355,$H$4:$I$70,2,0),"")</f>
        <v>193</v>
      </c>
      <c r="F355" s="9">
        <f>IFERROR(VLOOKUP(C355,$H$4:$I$70,2,0),"")</f>
        <v>384</v>
      </c>
    </row>
    <row r="356" spans="2:6" x14ac:dyDescent="0.2">
      <c r="B356" s="13">
        <f t="shared" si="17"/>
        <v>353</v>
      </c>
      <c r="C356" s="8">
        <f t="shared" si="18"/>
        <v>33</v>
      </c>
      <c r="D356" s="8">
        <f t="shared" si="19"/>
        <v>62</v>
      </c>
      <c r="E356" s="8">
        <f>IFERROR(VLOOKUP(D356,$H$4:$I$70,2,0),"")</f>
        <v>193</v>
      </c>
      <c r="F356" s="9">
        <f>IFERROR(VLOOKUP(C356,$H$4:$I$70,2,0),"")</f>
        <v>381</v>
      </c>
    </row>
    <row r="357" spans="2:6" x14ac:dyDescent="0.2">
      <c r="B357" s="13">
        <f t="shared" si="17"/>
        <v>354</v>
      </c>
      <c r="C357" s="8">
        <f t="shared" si="18"/>
        <v>34</v>
      </c>
      <c r="D357" s="8">
        <f t="shared" si="19"/>
        <v>62</v>
      </c>
      <c r="E357" s="8">
        <f>IFERROR(VLOOKUP(D357,$H$4:$I$70,2,0),"")</f>
        <v>193</v>
      </c>
      <c r="F357" s="9">
        <f>IFERROR(VLOOKUP(C357,$H$4:$I$70,2,0),"")</f>
        <v>376</v>
      </c>
    </row>
    <row r="358" spans="2:6" x14ac:dyDescent="0.2">
      <c r="B358" s="13">
        <f t="shared" si="17"/>
        <v>355</v>
      </c>
      <c r="C358" s="8">
        <f t="shared" si="18"/>
        <v>35</v>
      </c>
      <c r="D358" s="8">
        <f t="shared" si="19"/>
        <v>62</v>
      </c>
      <c r="E358" s="8">
        <f>IFERROR(VLOOKUP(D358,$H$4:$I$70,2,0),"")</f>
        <v>193</v>
      </c>
      <c r="F358" s="9">
        <f>IFERROR(VLOOKUP(C358,$H$4:$I$70,2,0),"")</f>
        <v>370</v>
      </c>
    </row>
    <row r="359" spans="2:6" x14ac:dyDescent="0.2">
      <c r="B359" s="13">
        <f t="shared" si="17"/>
        <v>356</v>
      </c>
      <c r="C359" s="8">
        <f t="shared" si="18"/>
        <v>36</v>
      </c>
      <c r="D359" s="8">
        <f t="shared" si="19"/>
        <v>62</v>
      </c>
      <c r="E359" s="8">
        <f>IFERROR(VLOOKUP(D359,$H$4:$I$70,2,0),"")</f>
        <v>193</v>
      </c>
      <c r="F359" s="9">
        <f>IFERROR(VLOOKUP(C359,$H$4:$I$70,2,0),"")</f>
        <v>362</v>
      </c>
    </row>
    <row r="360" spans="2:6" x14ac:dyDescent="0.2">
      <c r="B360" s="13">
        <f t="shared" si="17"/>
        <v>357</v>
      </c>
      <c r="C360" s="8">
        <f t="shared" si="18"/>
        <v>37</v>
      </c>
      <c r="D360" s="8">
        <f t="shared" si="19"/>
        <v>62</v>
      </c>
      <c r="E360" s="8">
        <f>IFERROR(VLOOKUP(D360,$H$4:$I$70,2,0),"")</f>
        <v>193</v>
      </c>
      <c r="F360" s="9">
        <f>IFERROR(VLOOKUP(C360,$H$4:$I$70,2,0),"")</f>
        <v>357</v>
      </c>
    </row>
    <row r="361" spans="2:6" x14ac:dyDescent="0.2">
      <c r="B361" s="13">
        <f t="shared" si="17"/>
        <v>358</v>
      </c>
      <c r="C361" s="8">
        <f t="shared" si="18"/>
        <v>38</v>
      </c>
      <c r="D361" s="8">
        <f t="shared" si="19"/>
        <v>62</v>
      </c>
      <c r="E361" s="8">
        <f>IFERROR(VLOOKUP(D361,$H$4:$I$70,2,0),"")</f>
        <v>193</v>
      </c>
      <c r="F361" s="9">
        <f>IFERROR(VLOOKUP(C361,$H$4:$I$70,2,0),"")</f>
        <v>351</v>
      </c>
    </row>
    <row r="362" spans="2:6" x14ac:dyDescent="0.2">
      <c r="B362" s="13">
        <f t="shared" si="17"/>
        <v>359</v>
      </c>
      <c r="C362" s="8">
        <f t="shared" si="18"/>
        <v>39</v>
      </c>
      <c r="D362" s="8">
        <f t="shared" si="19"/>
        <v>62</v>
      </c>
      <c r="E362" s="8">
        <f>IFERROR(VLOOKUP(D362,$H$4:$I$70,2,0),"")</f>
        <v>193</v>
      </c>
      <c r="F362" s="9">
        <f>IFERROR(VLOOKUP(C362,$H$4:$I$70,2,0),"")</f>
        <v>339</v>
      </c>
    </row>
    <row r="363" spans="2:6" x14ac:dyDescent="0.2">
      <c r="B363" s="13">
        <f t="shared" si="17"/>
        <v>360</v>
      </c>
      <c r="C363" s="8">
        <f t="shared" si="18"/>
        <v>40</v>
      </c>
      <c r="D363" s="8">
        <f t="shared" si="19"/>
        <v>62</v>
      </c>
      <c r="E363" s="8">
        <f>IFERROR(VLOOKUP(D363,$H$4:$I$70,2,0),"")</f>
        <v>193</v>
      </c>
      <c r="F363" s="9">
        <f>IFERROR(VLOOKUP(C363,$H$4:$I$70,2,0),"")</f>
        <v>304</v>
      </c>
    </row>
    <row r="364" spans="2:6" x14ac:dyDescent="0.2">
      <c r="B364" s="13">
        <f t="shared" si="17"/>
        <v>361</v>
      </c>
      <c r="C364" s="8">
        <f t="shared" si="18"/>
        <v>41</v>
      </c>
      <c r="D364" s="8">
        <f t="shared" si="19"/>
        <v>62</v>
      </c>
      <c r="E364" s="8">
        <f>IFERROR(VLOOKUP(D364,$H$4:$I$70,2,0),"")</f>
        <v>193</v>
      </c>
      <c r="F364" s="9">
        <f>IFERROR(VLOOKUP(C364,$H$4:$I$70,2,0),"")</f>
        <v>301</v>
      </c>
    </row>
    <row r="365" spans="2:6" x14ac:dyDescent="0.2">
      <c r="B365" s="13">
        <f t="shared" si="17"/>
        <v>362</v>
      </c>
      <c r="C365" s="8">
        <f t="shared" si="18"/>
        <v>42</v>
      </c>
      <c r="D365" s="8">
        <f t="shared" si="19"/>
        <v>62</v>
      </c>
      <c r="E365" s="8">
        <f>IFERROR(VLOOKUP(D365,$H$4:$I$70,2,0),"")</f>
        <v>193</v>
      </c>
      <c r="F365" s="9">
        <f>IFERROR(VLOOKUP(C365,$H$4:$I$70,2,0),"")</f>
        <v>300</v>
      </c>
    </row>
    <row r="366" spans="2:6" x14ac:dyDescent="0.2">
      <c r="B366" s="13">
        <f t="shared" si="17"/>
        <v>363</v>
      </c>
      <c r="C366" s="8">
        <f t="shared" si="18"/>
        <v>43</v>
      </c>
      <c r="D366" s="8">
        <f t="shared" si="19"/>
        <v>62</v>
      </c>
      <c r="E366" s="8">
        <f>IFERROR(VLOOKUP(D366,$H$4:$I$70,2,0),"")</f>
        <v>193</v>
      </c>
      <c r="F366" s="9">
        <f>IFERROR(VLOOKUP(C366,$H$4:$I$70,2,0),"")</f>
        <v>288</v>
      </c>
    </row>
    <row r="367" spans="2:6" x14ac:dyDescent="0.2">
      <c r="B367" s="13">
        <f t="shared" si="17"/>
        <v>364</v>
      </c>
      <c r="C367" s="8">
        <f t="shared" si="18"/>
        <v>44</v>
      </c>
      <c r="D367" s="8">
        <f t="shared" si="19"/>
        <v>62</v>
      </c>
      <c r="E367" s="8">
        <f>IFERROR(VLOOKUP(D367,$H$4:$I$70,2,0),"")</f>
        <v>193</v>
      </c>
      <c r="F367" s="9">
        <f>IFERROR(VLOOKUP(C367,$H$4:$I$70,2,0),"")</f>
        <v>273</v>
      </c>
    </row>
    <row r="368" spans="2:6" x14ac:dyDescent="0.2">
      <c r="B368" s="13">
        <f t="shared" si="17"/>
        <v>365</v>
      </c>
      <c r="C368" s="8">
        <f t="shared" si="18"/>
        <v>45</v>
      </c>
      <c r="D368" s="8">
        <f t="shared" si="19"/>
        <v>62</v>
      </c>
      <c r="E368" s="8">
        <f>IFERROR(VLOOKUP(D368,$H$4:$I$70,2,0),"")</f>
        <v>193</v>
      </c>
      <c r="F368" s="9">
        <f>IFERROR(VLOOKUP(C368,$H$4:$I$70,2,0),"")</f>
        <v>268</v>
      </c>
    </row>
    <row r="369" spans="2:6" x14ac:dyDescent="0.2">
      <c r="B369" s="13">
        <f t="shared" si="17"/>
        <v>366</v>
      </c>
      <c r="C369" s="8">
        <f t="shared" si="18"/>
        <v>46</v>
      </c>
      <c r="D369" s="8">
        <f t="shared" si="19"/>
        <v>62</v>
      </c>
      <c r="E369" s="8">
        <f>IFERROR(VLOOKUP(D369,$H$4:$I$70,2,0),"")</f>
        <v>193</v>
      </c>
      <c r="F369" s="9">
        <f>IFERROR(VLOOKUP(C369,$H$4:$I$70,2,0),"")</f>
        <v>262</v>
      </c>
    </row>
    <row r="370" spans="2:6" x14ac:dyDescent="0.2">
      <c r="B370" s="13">
        <f t="shared" si="17"/>
        <v>367</v>
      </c>
      <c r="C370" s="8">
        <f t="shared" si="18"/>
        <v>47</v>
      </c>
      <c r="D370" s="8">
        <f t="shared" si="19"/>
        <v>62</v>
      </c>
      <c r="E370" s="8">
        <f>IFERROR(VLOOKUP(D370,$H$4:$I$70,2,0),"")</f>
        <v>193</v>
      </c>
      <c r="F370" s="9">
        <f>IFERROR(VLOOKUP(C370,$H$4:$I$70,2,0),"")</f>
        <v>248</v>
      </c>
    </row>
    <row r="371" spans="2:6" x14ac:dyDescent="0.2">
      <c r="B371" s="13">
        <f t="shared" si="17"/>
        <v>368</v>
      </c>
      <c r="C371" s="8">
        <f t="shared" si="18"/>
        <v>48</v>
      </c>
      <c r="D371" s="8">
        <f t="shared" si="19"/>
        <v>62</v>
      </c>
      <c r="E371" s="8">
        <f>IFERROR(VLOOKUP(D371,$H$4:$I$70,2,0),"")</f>
        <v>193</v>
      </c>
      <c r="F371" s="9">
        <f>IFERROR(VLOOKUP(C371,$H$4:$I$70,2,0),"")</f>
        <v>246</v>
      </c>
    </row>
    <row r="372" spans="2:6" x14ac:dyDescent="0.2">
      <c r="B372" s="13">
        <f t="shared" si="17"/>
        <v>369</v>
      </c>
      <c r="C372" s="8">
        <f t="shared" si="18"/>
        <v>49</v>
      </c>
      <c r="D372" s="8">
        <f t="shared" si="19"/>
        <v>62</v>
      </c>
      <c r="E372" s="8">
        <f>IFERROR(VLOOKUP(D372,$H$4:$I$70,2,0),"")</f>
        <v>193</v>
      </c>
      <c r="F372" s="9">
        <f>IFERROR(VLOOKUP(C372,$H$4:$I$70,2,0),"")</f>
        <v>236</v>
      </c>
    </row>
    <row r="373" spans="2:6" x14ac:dyDescent="0.2">
      <c r="B373" s="13">
        <f t="shared" si="17"/>
        <v>370</v>
      </c>
      <c r="C373" s="8">
        <f t="shared" si="18"/>
        <v>50</v>
      </c>
      <c r="D373" s="8">
        <f t="shared" si="19"/>
        <v>62</v>
      </c>
      <c r="E373" s="8">
        <f>IFERROR(VLOOKUP(D373,$H$4:$I$70,2,0),"")</f>
        <v>193</v>
      </c>
      <c r="F373" s="9">
        <f>IFERROR(VLOOKUP(C373,$H$4:$I$70,2,0),"")</f>
        <v>231</v>
      </c>
    </row>
    <row r="374" spans="2:6" x14ac:dyDescent="0.2">
      <c r="B374" s="13">
        <f t="shared" si="17"/>
        <v>371</v>
      </c>
      <c r="C374" s="8">
        <f t="shared" si="18"/>
        <v>51</v>
      </c>
      <c r="D374" s="8">
        <f t="shared" si="19"/>
        <v>62</v>
      </c>
      <c r="E374" s="8">
        <f>IFERROR(VLOOKUP(D374,$H$4:$I$70,2,0),"")</f>
        <v>193</v>
      </c>
      <c r="F374" s="9">
        <f>IFERROR(VLOOKUP(C374,$H$4:$I$70,2,0),"")</f>
        <v>227</v>
      </c>
    </row>
    <row r="375" spans="2:6" x14ac:dyDescent="0.2">
      <c r="B375" s="13">
        <f t="shared" si="17"/>
        <v>372</v>
      </c>
      <c r="C375" s="8">
        <f t="shared" si="18"/>
        <v>52</v>
      </c>
      <c r="D375" s="8">
        <f t="shared" si="19"/>
        <v>62</v>
      </c>
      <c r="E375" s="8">
        <f>IFERROR(VLOOKUP(D375,$H$4:$I$70,2,0),"")</f>
        <v>193</v>
      </c>
      <c r="F375" s="9">
        <f>IFERROR(VLOOKUP(C375,$H$4:$I$70,2,0),"")</f>
        <v>224</v>
      </c>
    </row>
    <row r="376" spans="2:6" x14ac:dyDescent="0.2">
      <c r="B376" s="13">
        <f t="shared" si="17"/>
        <v>373</v>
      </c>
      <c r="C376" s="8">
        <f t="shared" si="18"/>
        <v>53</v>
      </c>
      <c r="D376" s="8">
        <f t="shared" si="19"/>
        <v>62</v>
      </c>
      <c r="E376" s="8">
        <f>IFERROR(VLOOKUP(D376,$H$4:$I$70,2,0),"")</f>
        <v>193</v>
      </c>
      <c r="F376" s="9">
        <f>IFERROR(VLOOKUP(C376,$H$4:$I$70,2,0),"")</f>
        <v>217</v>
      </c>
    </row>
    <row r="377" spans="2:6" x14ac:dyDescent="0.2">
      <c r="B377" s="13">
        <f t="shared" si="17"/>
        <v>374</v>
      </c>
      <c r="C377" s="8">
        <f t="shared" si="18"/>
        <v>54</v>
      </c>
      <c r="D377" s="8">
        <f t="shared" si="19"/>
        <v>62</v>
      </c>
      <c r="E377" s="8">
        <f>IFERROR(VLOOKUP(D377,$H$4:$I$70,2,0),"")</f>
        <v>193</v>
      </c>
      <c r="F377" s="9">
        <f>IFERROR(VLOOKUP(C377,$H$4:$I$70,2,0),"")</f>
        <v>213</v>
      </c>
    </row>
    <row r="378" spans="2:6" x14ac:dyDescent="0.2">
      <c r="B378" s="13">
        <f t="shared" si="17"/>
        <v>375</v>
      </c>
      <c r="C378" s="8">
        <f t="shared" si="18"/>
        <v>55</v>
      </c>
      <c r="D378" s="8">
        <f t="shared" si="19"/>
        <v>62</v>
      </c>
      <c r="E378" s="8">
        <f>IFERROR(VLOOKUP(D378,$H$4:$I$70,2,0),"")</f>
        <v>193</v>
      </c>
      <c r="F378" s="9">
        <f>IFERROR(VLOOKUP(C378,$H$4:$I$70,2,0),"")</f>
        <v>212</v>
      </c>
    </row>
    <row r="379" spans="2:6" x14ac:dyDescent="0.2">
      <c r="B379" s="13">
        <f t="shared" si="17"/>
        <v>376</v>
      </c>
      <c r="C379" s="8">
        <f t="shared" si="18"/>
        <v>56</v>
      </c>
      <c r="D379" s="8">
        <f t="shared" si="19"/>
        <v>62</v>
      </c>
      <c r="E379" s="8">
        <f>IFERROR(VLOOKUP(D379,$H$4:$I$70,2,0),"")</f>
        <v>193</v>
      </c>
      <c r="F379" s="9">
        <f>IFERROR(VLOOKUP(C379,$H$4:$I$70,2,0),"")</f>
        <v>211</v>
      </c>
    </row>
    <row r="380" spans="2:6" x14ac:dyDescent="0.2">
      <c r="B380" s="13">
        <f t="shared" si="17"/>
        <v>377</v>
      </c>
      <c r="C380" s="8">
        <f t="shared" si="18"/>
        <v>57</v>
      </c>
      <c r="D380" s="8">
        <f t="shared" si="19"/>
        <v>62</v>
      </c>
      <c r="E380" s="8">
        <f>IFERROR(VLOOKUP(D380,$H$4:$I$70,2,0),"")</f>
        <v>193</v>
      </c>
      <c r="F380" s="9">
        <f>IFERROR(VLOOKUP(C380,$H$4:$I$70,2,0),"")</f>
        <v>209</v>
      </c>
    </row>
    <row r="381" spans="2:6" x14ac:dyDescent="0.2">
      <c r="B381" s="13">
        <f t="shared" si="17"/>
        <v>378</v>
      </c>
      <c r="C381" s="8">
        <f t="shared" si="18"/>
        <v>58</v>
      </c>
      <c r="D381" s="8">
        <f t="shared" si="19"/>
        <v>62</v>
      </c>
      <c r="E381" s="8">
        <f>IFERROR(VLOOKUP(D381,$H$4:$I$70,2,0),"")</f>
        <v>193</v>
      </c>
      <c r="F381" s="9">
        <f>IFERROR(VLOOKUP(C381,$H$4:$I$70,2,0),"")</f>
        <v>208</v>
      </c>
    </row>
    <row r="382" spans="2:6" x14ac:dyDescent="0.2">
      <c r="B382" s="13">
        <f t="shared" si="17"/>
        <v>379</v>
      </c>
      <c r="C382" s="8">
        <f t="shared" si="18"/>
        <v>59</v>
      </c>
      <c r="D382" s="8">
        <f t="shared" si="19"/>
        <v>62</v>
      </c>
      <c r="E382" s="8">
        <f>IFERROR(VLOOKUP(D382,$H$4:$I$70,2,0),"")</f>
        <v>193</v>
      </c>
      <c r="F382" s="9">
        <f>IFERROR(VLOOKUP(C382,$H$4:$I$70,2,0),"")</f>
        <v>204</v>
      </c>
    </row>
    <row r="383" spans="2:6" x14ac:dyDescent="0.2">
      <c r="B383" s="13">
        <f t="shared" si="17"/>
        <v>380</v>
      </c>
      <c r="C383" s="8">
        <f t="shared" si="18"/>
        <v>60</v>
      </c>
      <c r="D383" s="8">
        <f t="shared" si="19"/>
        <v>62</v>
      </c>
      <c r="E383" s="8">
        <f>IFERROR(VLOOKUP(D383,$H$4:$I$70,2,0),"")</f>
        <v>193</v>
      </c>
      <c r="F383" s="9">
        <f>IFERROR(VLOOKUP(C383,$H$4:$I$70,2,0),"")</f>
        <v>200</v>
      </c>
    </row>
    <row r="384" spans="2:6" x14ac:dyDescent="0.2">
      <c r="B384" s="13">
        <f t="shared" si="17"/>
        <v>381</v>
      </c>
      <c r="C384" s="8">
        <f t="shared" si="18"/>
        <v>61</v>
      </c>
      <c r="D384" s="8">
        <f t="shared" si="19"/>
        <v>62</v>
      </c>
      <c r="E384" s="8">
        <f>IFERROR(VLOOKUP(D384,$H$4:$I$70,2,0),"")</f>
        <v>193</v>
      </c>
      <c r="F384" s="9">
        <f>IFERROR(VLOOKUP(C384,$H$4:$I$70,2,0),"")</f>
        <v>199</v>
      </c>
    </row>
    <row r="385" spans="2:6" x14ac:dyDescent="0.2">
      <c r="B385" s="13">
        <f t="shared" si="17"/>
        <v>382</v>
      </c>
      <c r="C385" s="8">
        <f t="shared" si="18"/>
        <v>1</v>
      </c>
      <c r="D385" s="8">
        <f t="shared" si="19"/>
        <v>61</v>
      </c>
      <c r="E385" s="8">
        <f>IFERROR(VLOOKUP(D385,$H$4:$I$70,2,0),"")</f>
        <v>199</v>
      </c>
      <c r="F385" s="9">
        <f>IFERROR(VLOOKUP(C385,$H$4:$I$70,2,0),"")</f>
        <v>1344</v>
      </c>
    </row>
    <row r="386" spans="2:6" x14ac:dyDescent="0.2">
      <c r="B386" s="13">
        <f t="shared" si="17"/>
        <v>383</v>
      </c>
      <c r="C386" s="8">
        <f t="shared" si="18"/>
        <v>2</v>
      </c>
      <c r="D386" s="8">
        <f t="shared" si="19"/>
        <v>61</v>
      </c>
      <c r="E386" s="8">
        <f>IFERROR(VLOOKUP(D386,$H$4:$I$70,2,0),"")</f>
        <v>199</v>
      </c>
      <c r="F386" s="9">
        <f>IFERROR(VLOOKUP(C386,$H$4:$I$70,2,0),"")</f>
        <v>1048</v>
      </c>
    </row>
    <row r="387" spans="2:6" x14ac:dyDescent="0.2">
      <c r="B387" s="13">
        <f t="shared" si="17"/>
        <v>384</v>
      </c>
      <c r="C387" s="8">
        <f t="shared" si="18"/>
        <v>3</v>
      </c>
      <c r="D387" s="8">
        <f t="shared" si="19"/>
        <v>61</v>
      </c>
      <c r="E387" s="8">
        <f>IFERROR(VLOOKUP(D387,$H$4:$I$70,2,0),"")</f>
        <v>199</v>
      </c>
      <c r="F387" s="9">
        <f>IFERROR(VLOOKUP(C387,$H$4:$I$70,2,0),"")</f>
        <v>1025</v>
      </c>
    </row>
    <row r="388" spans="2:6" x14ac:dyDescent="0.2">
      <c r="B388" s="13">
        <f t="shared" si="17"/>
        <v>385</v>
      </c>
      <c r="C388" s="8">
        <f t="shared" si="18"/>
        <v>4</v>
      </c>
      <c r="D388" s="8">
        <f t="shared" si="19"/>
        <v>61</v>
      </c>
      <c r="E388" s="8">
        <f>IFERROR(VLOOKUP(D388,$H$4:$I$70,2,0),"")</f>
        <v>199</v>
      </c>
      <c r="F388" s="9">
        <f>IFERROR(VLOOKUP(C388,$H$4:$I$70,2,0),"")</f>
        <v>805</v>
      </c>
    </row>
    <row r="389" spans="2:6" x14ac:dyDescent="0.2">
      <c r="B389" s="13">
        <f t="shared" ref="B389:B452" si="20">ROW()-3</f>
        <v>386</v>
      </c>
      <c r="C389" s="8">
        <f t="shared" si="18"/>
        <v>5</v>
      </c>
      <c r="D389" s="8">
        <f t="shared" si="19"/>
        <v>61</v>
      </c>
      <c r="E389" s="8">
        <f>IFERROR(VLOOKUP(D389,$H$4:$I$70,2,0),"")</f>
        <v>199</v>
      </c>
      <c r="F389" s="9">
        <f>IFERROR(VLOOKUP(C389,$H$4:$I$70,2,0),"")</f>
        <v>666</v>
      </c>
    </row>
    <row r="390" spans="2:6" x14ac:dyDescent="0.2">
      <c r="B390" s="13">
        <f t="shared" si="20"/>
        <v>387</v>
      </c>
      <c r="C390" s="8">
        <f t="shared" ref="C390:C453" si="21">IF((D389-C389)=1,1,C389+1)</f>
        <v>6</v>
      </c>
      <c r="D390" s="8">
        <f t="shared" ref="D390:D453" si="22">IF((D389-C389)=1,D389-1,D389)</f>
        <v>61</v>
      </c>
      <c r="E390" s="8">
        <f>IFERROR(VLOOKUP(D390,$H$4:$I$70,2,0),"")</f>
        <v>199</v>
      </c>
      <c r="F390" s="9">
        <f>IFERROR(VLOOKUP(C390,$H$4:$I$70,2,0),"")</f>
        <v>655</v>
      </c>
    </row>
    <row r="391" spans="2:6" x14ac:dyDescent="0.2">
      <c r="B391" s="13">
        <f t="shared" si="20"/>
        <v>388</v>
      </c>
      <c r="C391" s="8">
        <f t="shared" si="21"/>
        <v>7</v>
      </c>
      <c r="D391" s="8">
        <f t="shared" si="22"/>
        <v>61</v>
      </c>
      <c r="E391" s="8">
        <f>IFERROR(VLOOKUP(D391,$H$4:$I$70,2,0),"")</f>
        <v>199</v>
      </c>
      <c r="F391" s="9">
        <f>IFERROR(VLOOKUP(C391,$H$4:$I$70,2,0),"")</f>
        <v>652</v>
      </c>
    </row>
    <row r="392" spans="2:6" x14ac:dyDescent="0.2">
      <c r="B392" s="13">
        <f t="shared" si="20"/>
        <v>389</v>
      </c>
      <c r="C392" s="8">
        <f t="shared" si="21"/>
        <v>8</v>
      </c>
      <c r="D392" s="8">
        <f t="shared" si="22"/>
        <v>61</v>
      </c>
      <c r="E392" s="8">
        <f>IFERROR(VLOOKUP(D392,$H$4:$I$70,2,0),"")</f>
        <v>199</v>
      </c>
      <c r="F392" s="9">
        <f>IFERROR(VLOOKUP(C392,$H$4:$I$70,2,0),"")</f>
        <v>633</v>
      </c>
    </row>
    <row r="393" spans="2:6" x14ac:dyDescent="0.2">
      <c r="B393" s="13">
        <f t="shared" si="20"/>
        <v>390</v>
      </c>
      <c r="C393" s="8">
        <f t="shared" si="21"/>
        <v>9</v>
      </c>
      <c r="D393" s="8">
        <f t="shared" si="22"/>
        <v>61</v>
      </c>
      <c r="E393" s="8">
        <f>IFERROR(VLOOKUP(D393,$H$4:$I$70,2,0),"")</f>
        <v>199</v>
      </c>
      <c r="F393" s="9">
        <f>IFERROR(VLOOKUP(C393,$H$4:$I$70,2,0),"")</f>
        <v>632</v>
      </c>
    </row>
    <row r="394" spans="2:6" x14ac:dyDescent="0.2">
      <c r="B394" s="13">
        <f t="shared" si="20"/>
        <v>391</v>
      </c>
      <c r="C394" s="8">
        <f t="shared" si="21"/>
        <v>10</v>
      </c>
      <c r="D394" s="8">
        <f t="shared" si="22"/>
        <v>61</v>
      </c>
      <c r="E394" s="8">
        <f>IFERROR(VLOOKUP(D394,$H$4:$I$70,2,0),"")</f>
        <v>199</v>
      </c>
      <c r="F394" s="9">
        <f>IFERROR(VLOOKUP(C394,$H$4:$I$70,2,0),"")</f>
        <v>625</v>
      </c>
    </row>
    <row r="395" spans="2:6" x14ac:dyDescent="0.2">
      <c r="B395" s="13">
        <f t="shared" si="20"/>
        <v>392</v>
      </c>
      <c r="C395" s="8">
        <f t="shared" si="21"/>
        <v>11</v>
      </c>
      <c r="D395" s="8">
        <f t="shared" si="22"/>
        <v>61</v>
      </c>
      <c r="E395" s="8">
        <f>IFERROR(VLOOKUP(D395,$H$4:$I$70,2,0),"")</f>
        <v>199</v>
      </c>
      <c r="F395" s="9">
        <f>IFERROR(VLOOKUP(C395,$H$4:$I$70,2,0),"")</f>
        <v>619</v>
      </c>
    </row>
    <row r="396" spans="2:6" x14ac:dyDescent="0.2">
      <c r="B396" s="13">
        <f t="shared" si="20"/>
        <v>393</v>
      </c>
      <c r="C396" s="8">
        <f t="shared" si="21"/>
        <v>12</v>
      </c>
      <c r="D396" s="8">
        <f t="shared" si="22"/>
        <v>61</v>
      </c>
      <c r="E396" s="8">
        <f>IFERROR(VLOOKUP(D396,$H$4:$I$70,2,0),"")</f>
        <v>199</v>
      </c>
      <c r="F396" s="9">
        <f>IFERROR(VLOOKUP(C396,$H$4:$I$70,2,0),"")</f>
        <v>610</v>
      </c>
    </row>
    <row r="397" spans="2:6" x14ac:dyDescent="0.2">
      <c r="B397" s="13">
        <f t="shared" si="20"/>
        <v>394</v>
      </c>
      <c r="C397" s="8">
        <f t="shared" si="21"/>
        <v>13</v>
      </c>
      <c r="D397" s="8">
        <f t="shared" si="22"/>
        <v>61</v>
      </c>
      <c r="E397" s="8">
        <f>IFERROR(VLOOKUP(D397,$H$4:$I$70,2,0),"")</f>
        <v>199</v>
      </c>
      <c r="F397" s="9">
        <f>IFERROR(VLOOKUP(C397,$H$4:$I$70,2,0),"")</f>
        <v>599</v>
      </c>
    </row>
    <row r="398" spans="2:6" x14ac:dyDescent="0.2">
      <c r="B398" s="13">
        <f t="shared" si="20"/>
        <v>395</v>
      </c>
      <c r="C398" s="8">
        <f t="shared" si="21"/>
        <v>14</v>
      </c>
      <c r="D398" s="8">
        <f t="shared" si="22"/>
        <v>61</v>
      </c>
      <c r="E398" s="8">
        <f>IFERROR(VLOOKUP(D398,$H$4:$I$70,2,0),"")</f>
        <v>199</v>
      </c>
      <c r="F398" s="9">
        <f>IFERROR(VLOOKUP(C398,$H$4:$I$70,2,0),"")</f>
        <v>559</v>
      </c>
    </row>
    <row r="399" spans="2:6" x14ac:dyDescent="0.2">
      <c r="B399" s="13">
        <f t="shared" si="20"/>
        <v>396</v>
      </c>
      <c r="C399" s="8">
        <f t="shared" si="21"/>
        <v>15</v>
      </c>
      <c r="D399" s="8">
        <f t="shared" si="22"/>
        <v>61</v>
      </c>
      <c r="E399" s="8">
        <f>IFERROR(VLOOKUP(D399,$H$4:$I$70,2,0),"")</f>
        <v>199</v>
      </c>
      <c r="F399" s="9">
        <f>IFERROR(VLOOKUP(C399,$H$4:$I$70,2,0),"")</f>
        <v>556</v>
      </c>
    </row>
    <row r="400" spans="2:6" x14ac:dyDescent="0.2">
      <c r="B400" s="13">
        <f t="shared" si="20"/>
        <v>397</v>
      </c>
      <c r="C400" s="8">
        <f t="shared" si="21"/>
        <v>16</v>
      </c>
      <c r="D400" s="8">
        <f t="shared" si="22"/>
        <v>61</v>
      </c>
      <c r="E400" s="8">
        <f>IFERROR(VLOOKUP(D400,$H$4:$I$70,2,0),"")</f>
        <v>199</v>
      </c>
      <c r="F400" s="9">
        <f>IFERROR(VLOOKUP(C400,$H$4:$I$70,2,0),"")</f>
        <v>540</v>
      </c>
    </row>
    <row r="401" spans="2:6" x14ac:dyDescent="0.2">
      <c r="B401" s="13">
        <f t="shared" si="20"/>
        <v>398</v>
      </c>
      <c r="C401" s="8">
        <f t="shared" si="21"/>
        <v>17</v>
      </c>
      <c r="D401" s="8">
        <f t="shared" si="22"/>
        <v>61</v>
      </c>
      <c r="E401" s="8">
        <f>IFERROR(VLOOKUP(D401,$H$4:$I$70,2,0),"")</f>
        <v>199</v>
      </c>
      <c r="F401" s="9">
        <f>IFERROR(VLOOKUP(C401,$H$4:$I$70,2,0),"")</f>
        <v>536</v>
      </c>
    </row>
    <row r="402" spans="2:6" x14ac:dyDescent="0.2">
      <c r="B402" s="13">
        <f t="shared" si="20"/>
        <v>399</v>
      </c>
      <c r="C402" s="8">
        <f t="shared" si="21"/>
        <v>18</v>
      </c>
      <c r="D402" s="8">
        <f t="shared" si="22"/>
        <v>61</v>
      </c>
      <c r="E402" s="8">
        <f>IFERROR(VLOOKUP(D402,$H$4:$I$70,2,0),"")</f>
        <v>199</v>
      </c>
      <c r="F402" s="9">
        <f>IFERROR(VLOOKUP(C402,$H$4:$I$70,2,0),"")</f>
        <v>527</v>
      </c>
    </row>
    <row r="403" spans="2:6" x14ac:dyDescent="0.2">
      <c r="B403" s="13">
        <f t="shared" si="20"/>
        <v>400</v>
      </c>
      <c r="C403" s="8">
        <f t="shared" si="21"/>
        <v>19</v>
      </c>
      <c r="D403" s="8">
        <f t="shared" si="22"/>
        <v>61</v>
      </c>
      <c r="E403" s="8">
        <f>IFERROR(VLOOKUP(D403,$H$4:$I$70,2,0),"")</f>
        <v>199</v>
      </c>
      <c r="F403" s="9">
        <f>IFERROR(VLOOKUP(C403,$H$4:$I$70,2,0),"")</f>
        <v>478</v>
      </c>
    </row>
    <row r="404" spans="2:6" x14ac:dyDescent="0.2">
      <c r="B404" s="13">
        <f t="shared" si="20"/>
        <v>401</v>
      </c>
      <c r="C404" s="8">
        <f t="shared" si="21"/>
        <v>20</v>
      </c>
      <c r="D404" s="8">
        <f t="shared" si="22"/>
        <v>61</v>
      </c>
      <c r="E404" s="8">
        <f>IFERROR(VLOOKUP(D404,$H$4:$I$70,2,0),"")</f>
        <v>199</v>
      </c>
      <c r="F404" s="9">
        <f>IFERROR(VLOOKUP(C404,$H$4:$I$70,2,0),"")</f>
        <v>474</v>
      </c>
    </row>
    <row r="405" spans="2:6" x14ac:dyDescent="0.2">
      <c r="B405" s="13">
        <f t="shared" si="20"/>
        <v>402</v>
      </c>
      <c r="C405" s="8">
        <f t="shared" si="21"/>
        <v>21</v>
      </c>
      <c r="D405" s="8">
        <f t="shared" si="22"/>
        <v>61</v>
      </c>
      <c r="E405" s="8">
        <f>IFERROR(VLOOKUP(D405,$H$4:$I$70,2,0),"")</f>
        <v>199</v>
      </c>
      <c r="F405" s="9">
        <f>IFERROR(VLOOKUP(C405,$H$4:$I$70,2,0),"")</f>
        <v>468</v>
      </c>
    </row>
    <row r="406" spans="2:6" x14ac:dyDescent="0.2">
      <c r="B406" s="13">
        <f t="shared" si="20"/>
        <v>403</v>
      </c>
      <c r="C406" s="8">
        <f t="shared" si="21"/>
        <v>22</v>
      </c>
      <c r="D406" s="8">
        <f t="shared" si="22"/>
        <v>61</v>
      </c>
      <c r="E406" s="8">
        <f>IFERROR(VLOOKUP(D406,$H$4:$I$70,2,0),"")</f>
        <v>199</v>
      </c>
      <c r="F406" s="9">
        <f>IFERROR(VLOOKUP(C406,$H$4:$I$70,2,0),"")</f>
        <v>457</v>
      </c>
    </row>
    <row r="407" spans="2:6" x14ac:dyDescent="0.2">
      <c r="B407" s="13">
        <f t="shared" si="20"/>
        <v>404</v>
      </c>
      <c r="C407" s="8">
        <f t="shared" si="21"/>
        <v>23</v>
      </c>
      <c r="D407" s="8">
        <f t="shared" si="22"/>
        <v>61</v>
      </c>
      <c r="E407" s="8">
        <f>IFERROR(VLOOKUP(D407,$H$4:$I$70,2,0),"")</f>
        <v>199</v>
      </c>
      <c r="F407" s="9">
        <f>IFERROR(VLOOKUP(C407,$H$4:$I$70,2,0),"")</f>
        <v>452</v>
      </c>
    </row>
    <row r="408" spans="2:6" x14ac:dyDescent="0.2">
      <c r="B408" s="13">
        <f t="shared" si="20"/>
        <v>405</v>
      </c>
      <c r="C408" s="8">
        <f t="shared" si="21"/>
        <v>24</v>
      </c>
      <c r="D408" s="8">
        <f t="shared" si="22"/>
        <v>61</v>
      </c>
      <c r="E408" s="8">
        <f>IFERROR(VLOOKUP(D408,$H$4:$I$70,2,0),"")</f>
        <v>199</v>
      </c>
      <c r="F408" s="9">
        <f>IFERROR(VLOOKUP(C408,$H$4:$I$70,2,0),"")</f>
        <v>442</v>
      </c>
    </row>
    <row r="409" spans="2:6" x14ac:dyDescent="0.2">
      <c r="B409" s="13">
        <f t="shared" si="20"/>
        <v>406</v>
      </c>
      <c r="C409" s="8">
        <f t="shared" si="21"/>
        <v>25</v>
      </c>
      <c r="D409" s="8">
        <f t="shared" si="22"/>
        <v>61</v>
      </c>
      <c r="E409" s="8">
        <f>IFERROR(VLOOKUP(D409,$H$4:$I$70,2,0),"")</f>
        <v>199</v>
      </c>
      <c r="F409" s="9">
        <f>IFERROR(VLOOKUP(C409,$H$4:$I$70,2,0),"")</f>
        <v>420</v>
      </c>
    </row>
    <row r="410" spans="2:6" x14ac:dyDescent="0.2">
      <c r="B410" s="13">
        <f t="shared" si="20"/>
        <v>407</v>
      </c>
      <c r="C410" s="8">
        <f t="shared" si="21"/>
        <v>26</v>
      </c>
      <c r="D410" s="8">
        <f t="shared" si="22"/>
        <v>61</v>
      </c>
      <c r="E410" s="8">
        <f>IFERROR(VLOOKUP(D410,$H$4:$I$70,2,0),"")</f>
        <v>199</v>
      </c>
      <c r="F410" s="9">
        <f>IFERROR(VLOOKUP(C410,$H$4:$I$70,2,0),"")</f>
        <v>410</v>
      </c>
    </row>
    <row r="411" spans="2:6" x14ac:dyDescent="0.2">
      <c r="B411" s="13">
        <f t="shared" si="20"/>
        <v>408</v>
      </c>
      <c r="C411" s="8">
        <f t="shared" si="21"/>
        <v>27</v>
      </c>
      <c r="D411" s="8">
        <f t="shared" si="22"/>
        <v>61</v>
      </c>
      <c r="E411" s="8">
        <f>IFERROR(VLOOKUP(D411,$H$4:$I$70,2,0),"")</f>
        <v>199</v>
      </c>
      <c r="F411" s="9">
        <f>IFERROR(VLOOKUP(C411,$H$4:$I$70,2,0),"")</f>
        <v>409</v>
      </c>
    </row>
    <row r="412" spans="2:6" x14ac:dyDescent="0.2">
      <c r="B412" s="13">
        <f t="shared" si="20"/>
        <v>409</v>
      </c>
      <c r="C412" s="8">
        <f t="shared" si="21"/>
        <v>28</v>
      </c>
      <c r="D412" s="8">
        <f t="shared" si="22"/>
        <v>61</v>
      </c>
      <c r="E412" s="8">
        <f>IFERROR(VLOOKUP(D412,$H$4:$I$70,2,0),"")</f>
        <v>199</v>
      </c>
      <c r="F412" s="9">
        <f>IFERROR(VLOOKUP(C412,$H$4:$I$70,2,0),"")</f>
        <v>408</v>
      </c>
    </row>
    <row r="413" spans="2:6" x14ac:dyDescent="0.2">
      <c r="B413" s="13">
        <f t="shared" si="20"/>
        <v>410</v>
      </c>
      <c r="C413" s="8">
        <f t="shared" si="21"/>
        <v>29</v>
      </c>
      <c r="D413" s="8">
        <f t="shared" si="22"/>
        <v>61</v>
      </c>
      <c r="E413" s="8">
        <f>IFERROR(VLOOKUP(D413,$H$4:$I$70,2,0),"")</f>
        <v>199</v>
      </c>
      <c r="F413" s="9">
        <f>IFERROR(VLOOKUP(C413,$H$4:$I$70,2,0),"")</f>
        <v>404</v>
      </c>
    </row>
    <row r="414" spans="2:6" x14ac:dyDescent="0.2">
      <c r="B414" s="13">
        <f t="shared" si="20"/>
        <v>411</v>
      </c>
      <c r="C414" s="8">
        <f t="shared" si="21"/>
        <v>30</v>
      </c>
      <c r="D414" s="8">
        <f t="shared" si="22"/>
        <v>61</v>
      </c>
      <c r="E414" s="8">
        <f>IFERROR(VLOOKUP(D414,$H$4:$I$70,2,0),"")</f>
        <v>199</v>
      </c>
      <c r="F414" s="9">
        <f>IFERROR(VLOOKUP(C414,$H$4:$I$70,2,0),"")</f>
        <v>399</v>
      </c>
    </row>
    <row r="415" spans="2:6" x14ac:dyDescent="0.2">
      <c r="B415" s="13">
        <f t="shared" si="20"/>
        <v>412</v>
      </c>
      <c r="C415" s="8">
        <f t="shared" si="21"/>
        <v>31</v>
      </c>
      <c r="D415" s="8">
        <f t="shared" si="22"/>
        <v>61</v>
      </c>
      <c r="E415" s="8">
        <f>IFERROR(VLOOKUP(D415,$H$4:$I$70,2,0),"")</f>
        <v>199</v>
      </c>
      <c r="F415" s="9">
        <f>IFERROR(VLOOKUP(C415,$H$4:$I$70,2,0),"")</f>
        <v>396</v>
      </c>
    </row>
    <row r="416" spans="2:6" x14ac:dyDescent="0.2">
      <c r="B416" s="13">
        <f t="shared" si="20"/>
        <v>413</v>
      </c>
      <c r="C416" s="8">
        <f t="shared" si="21"/>
        <v>32</v>
      </c>
      <c r="D416" s="8">
        <f t="shared" si="22"/>
        <v>61</v>
      </c>
      <c r="E416" s="8">
        <f>IFERROR(VLOOKUP(D416,$H$4:$I$70,2,0),"")</f>
        <v>199</v>
      </c>
      <c r="F416" s="9">
        <f>IFERROR(VLOOKUP(C416,$H$4:$I$70,2,0),"")</f>
        <v>384</v>
      </c>
    </row>
    <row r="417" spans="2:6" x14ac:dyDescent="0.2">
      <c r="B417" s="13">
        <f t="shared" si="20"/>
        <v>414</v>
      </c>
      <c r="C417" s="8">
        <f t="shared" si="21"/>
        <v>33</v>
      </c>
      <c r="D417" s="8">
        <f t="shared" si="22"/>
        <v>61</v>
      </c>
      <c r="E417" s="8">
        <f>IFERROR(VLOOKUP(D417,$H$4:$I$70,2,0),"")</f>
        <v>199</v>
      </c>
      <c r="F417" s="9">
        <f>IFERROR(VLOOKUP(C417,$H$4:$I$70,2,0),"")</f>
        <v>381</v>
      </c>
    </row>
    <row r="418" spans="2:6" x14ac:dyDescent="0.2">
      <c r="B418" s="13">
        <f t="shared" si="20"/>
        <v>415</v>
      </c>
      <c r="C418" s="8">
        <f t="shared" si="21"/>
        <v>34</v>
      </c>
      <c r="D418" s="8">
        <f t="shared" si="22"/>
        <v>61</v>
      </c>
      <c r="E418" s="8">
        <f>IFERROR(VLOOKUP(D418,$H$4:$I$70,2,0),"")</f>
        <v>199</v>
      </c>
      <c r="F418" s="9">
        <f>IFERROR(VLOOKUP(C418,$H$4:$I$70,2,0),"")</f>
        <v>376</v>
      </c>
    </row>
    <row r="419" spans="2:6" x14ac:dyDescent="0.2">
      <c r="B419" s="13">
        <f t="shared" si="20"/>
        <v>416</v>
      </c>
      <c r="C419" s="8">
        <f t="shared" si="21"/>
        <v>35</v>
      </c>
      <c r="D419" s="8">
        <f t="shared" si="22"/>
        <v>61</v>
      </c>
      <c r="E419" s="8">
        <f>IFERROR(VLOOKUP(D419,$H$4:$I$70,2,0),"")</f>
        <v>199</v>
      </c>
      <c r="F419" s="9">
        <f>IFERROR(VLOOKUP(C419,$H$4:$I$70,2,0),"")</f>
        <v>370</v>
      </c>
    </row>
    <row r="420" spans="2:6" x14ac:dyDescent="0.2">
      <c r="B420" s="13">
        <f t="shared" si="20"/>
        <v>417</v>
      </c>
      <c r="C420" s="8">
        <f t="shared" si="21"/>
        <v>36</v>
      </c>
      <c r="D420" s="8">
        <f t="shared" si="22"/>
        <v>61</v>
      </c>
      <c r="E420" s="8">
        <f>IFERROR(VLOOKUP(D420,$H$4:$I$70,2,0),"")</f>
        <v>199</v>
      </c>
      <c r="F420" s="9">
        <f>IFERROR(VLOOKUP(C420,$H$4:$I$70,2,0),"")</f>
        <v>362</v>
      </c>
    </row>
    <row r="421" spans="2:6" x14ac:dyDescent="0.2">
      <c r="B421" s="13">
        <f t="shared" si="20"/>
        <v>418</v>
      </c>
      <c r="C421" s="8">
        <f t="shared" si="21"/>
        <v>37</v>
      </c>
      <c r="D421" s="8">
        <f t="shared" si="22"/>
        <v>61</v>
      </c>
      <c r="E421" s="8">
        <f>IFERROR(VLOOKUP(D421,$H$4:$I$70,2,0),"")</f>
        <v>199</v>
      </c>
      <c r="F421" s="9">
        <f>IFERROR(VLOOKUP(C421,$H$4:$I$70,2,0),"")</f>
        <v>357</v>
      </c>
    </row>
    <row r="422" spans="2:6" x14ac:dyDescent="0.2">
      <c r="B422" s="13">
        <f t="shared" si="20"/>
        <v>419</v>
      </c>
      <c r="C422" s="8">
        <f t="shared" si="21"/>
        <v>38</v>
      </c>
      <c r="D422" s="8">
        <f t="shared" si="22"/>
        <v>61</v>
      </c>
      <c r="E422" s="8">
        <f>IFERROR(VLOOKUP(D422,$H$4:$I$70,2,0),"")</f>
        <v>199</v>
      </c>
      <c r="F422" s="9">
        <f>IFERROR(VLOOKUP(C422,$H$4:$I$70,2,0),"")</f>
        <v>351</v>
      </c>
    </row>
    <row r="423" spans="2:6" x14ac:dyDescent="0.2">
      <c r="B423" s="13">
        <f t="shared" si="20"/>
        <v>420</v>
      </c>
      <c r="C423" s="8">
        <f t="shared" si="21"/>
        <v>39</v>
      </c>
      <c r="D423" s="8">
        <f t="shared" si="22"/>
        <v>61</v>
      </c>
      <c r="E423" s="8">
        <f>IFERROR(VLOOKUP(D423,$H$4:$I$70,2,0),"")</f>
        <v>199</v>
      </c>
      <c r="F423" s="9">
        <f>IFERROR(VLOOKUP(C423,$H$4:$I$70,2,0),"")</f>
        <v>339</v>
      </c>
    </row>
    <row r="424" spans="2:6" x14ac:dyDescent="0.2">
      <c r="B424" s="13">
        <f t="shared" si="20"/>
        <v>421</v>
      </c>
      <c r="C424" s="8">
        <f t="shared" si="21"/>
        <v>40</v>
      </c>
      <c r="D424" s="8">
        <f t="shared" si="22"/>
        <v>61</v>
      </c>
      <c r="E424" s="8">
        <f>IFERROR(VLOOKUP(D424,$H$4:$I$70,2,0),"")</f>
        <v>199</v>
      </c>
      <c r="F424" s="9">
        <f>IFERROR(VLOOKUP(C424,$H$4:$I$70,2,0),"")</f>
        <v>304</v>
      </c>
    </row>
    <row r="425" spans="2:6" x14ac:dyDescent="0.2">
      <c r="B425" s="13">
        <f t="shared" si="20"/>
        <v>422</v>
      </c>
      <c r="C425" s="8">
        <f t="shared" si="21"/>
        <v>41</v>
      </c>
      <c r="D425" s="8">
        <f t="shared" si="22"/>
        <v>61</v>
      </c>
      <c r="E425" s="8">
        <f>IFERROR(VLOOKUP(D425,$H$4:$I$70,2,0),"")</f>
        <v>199</v>
      </c>
      <c r="F425" s="9">
        <f>IFERROR(VLOOKUP(C425,$H$4:$I$70,2,0),"")</f>
        <v>301</v>
      </c>
    </row>
    <row r="426" spans="2:6" x14ac:dyDescent="0.2">
      <c r="B426" s="13">
        <f t="shared" si="20"/>
        <v>423</v>
      </c>
      <c r="C426" s="8">
        <f t="shared" si="21"/>
        <v>42</v>
      </c>
      <c r="D426" s="8">
        <f t="shared" si="22"/>
        <v>61</v>
      </c>
      <c r="E426" s="8">
        <f>IFERROR(VLOOKUP(D426,$H$4:$I$70,2,0),"")</f>
        <v>199</v>
      </c>
      <c r="F426" s="9">
        <f>IFERROR(VLOOKUP(C426,$H$4:$I$70,2,0),"")</f>
        <v>300</v>
      </c>
    </row>
    <row r="427" spans="2:6" x14ac:dyDescent="0.2">
      <c r="B427" s="13">
        <f t="shared" si="20"/>
        <v>424</v>
      </c>
      <c r="C427" s="8">
        <f t="shared" si="21"/>
        <v>43</v>
      </c>
      <c r="D427" s="8">
        <f t="shared" si="22"/>
        <v>61</v>
      </c>
      <c r="E427" s="8">
        <f>IFERROR(VLOOKUP(D427,$H$4:$I$70,2,0),"")</f>
        <v>199</v>
      </c>
      <c r="F427" s="9">
        <f>IFERROR(VLOOKUP(C427,$H$4:$I$70,2,0),"")</f>
        <v>288</v>
      </c>
    </row>
    <row r="428" spans="2:6" x14ac:dyDescent="0.2">
      <c r="B428" s="13">
        <f t="shared" si="20"/>
        <v>425</v>
      </c>
      <c r="C428" s="8">
        <f t="shared" si="21"/>
        <v>44</v>
      </c>
      <c r="D428" s="8">
        <f t="shared" si="22"/>
        <v>61</v>
      </c>
      <c r="E428" s="8">
        <f>IFERROR(VLOOKUP(D428,$H$4:$I$70,2,0),"")</f>
        <v>199</v>
      </c>
      <c r="F428" s="9">
        <f>IFERROR(VLOOKUP(C428,$H$4:$I$70,2,0),"")</f>
        <v>273</v>
      </c>
    </row>
    <row r="429" spans="2:6" x14ac:dyDescent="0.2">
      <c r="B429" s="13">
        <f t="shared" si="20"/>
        <v>426</v>
      </c>
      <c r="C429" s="8">
        <f t="shared" si="21"/>
        <v>45</v>
      </c>
      <c r="D429" s="8">
        <f t="shared" si="22"/>
        <v>61</v>
      </c>
      <c r="E429" s="8">
        <f>IFERROR(VLOOKUP(D429,$H$4:$I$70,2,0),"")</f>
        <v>199</v>
      </c>
      <c r="F429" s="9">
        <f>IFERROR(VLOOKUP(C429,$H$4:$I$70,2,0),"")</f>
        <v>268</v>
      </c>
    </row>
    <row r="430" spans="2:6" x14ac:dyDescent="0.2">
      <c r="B430" s="13">
        <f t="shared" si="20"/>
        <v>427</v>
      </c>
      <c r="C430" s="8">
        <f t="shared" si="21"/>
        <v>46</v>
      </c>
      <c r="D430" s="8">
        <f t="shared" si="22"/>
        <v>61</v>
      </c>
      <c r="E430" s="8">
        <f>IFERROR(VLOOKUP(D430,$H$4:$I$70,2,0),"")</f>
        <v>199</v>
      </c>
      <c r="F430" s="9">
        <f>IFERROR(VLOOKUP(C430,$H$4:$I$70,2,0),"")</f>
        <v>262</v>
      </c>
    </row>
    <row r="431" spans="2:6" x14ac:dyDescent="0.2">
      <c r="B431" s="13">
        <f t="shared" si="20"/>
        <v>428</v>
      </c>
      <c r="C431" s="8">
        <f t="shared" si="21"/>
        <v>47</v>
      </c>
      <c r="D431" s="8">
        <f t="shared" si="22"/>
        <v>61</v>
      </c>
      <c r="E431" s="8">
        <f>IFERROR(VLOOKUP(D431,$H$4:$I$70,2,0),"")</f>
        <v>199</v>
      </c>
      <c r="F431" s="9">
        <f>IFERROR(VLOOKUP(C431,$H$4:$I$70,2,0),"")</f>
        <v>248</v>
      </c>
    </row>
    <row r="432" spans="2:6" x14ac:dyDescent="0.2">
      <c r="B432" s="13">
        <f t="shared" si="20"/>
        <v>429</v>
      </c>
      <c r="C432" s="8">
        <f t="shared" si="21"/>
        <v>48</v>
      </c>
      <c r="D432" s="8">
        <f t="shared" si="22"/>
        <v>61</v>
      </c>
      <c r="E432" s="8">
        <f>IFERROR(VLOOKUP(D432,$H$4:$I$70,2,0),"")</f>
        <v>199</v>
      </c>
      <c r="F432" s="9">
        <f>IFERROR(VLOOKUP(C432,$H$4:$I$70,2,0),"")</f>
        <v>246</v>
      </c>
    </row>
    <row r="433" spans="2:6" x14ac:dyDescent="0.2">
      <c r="B433" s="13">
        <f t="shared" si="20"/>
        <v>430</v>
      </c>
      <c r="C433" s="8">
        <f t="shared" si="21"/>
        <v>49</v>
      </c>
      <c r="D433" s="8">
        <f t="shared" si="22"/>
        <v>61</v>
      </c>
      <c r="E433" s="8">
        <f>IFERROR(VLOOKUP(D433,$H$4:$I$70,2,0),"")</f>
        <v>199</v>
      </c>
      <c r="F433" s="9">
        <f>IFERROR(VLOOKUP(C433,$H$4:$I$70,2,0),"")</f>
        <v>236</v>
      </c>
    </row>
    <row r="434" spans="2:6" x14ac:dyDescent="0.2">
      <c r="B434" s="13">
        <f t="shared" si="20"/>
        <v>431</v>
      </c>
      <c r="C434" s="8">
        <f t="shared" si="21"/>
        <v>50</v>
      </c>
      <c r="D434" s="8">
        <f t="shared" si="22"/>
        <v>61</v>
      </c>
      <c r="E434" s="8">
        <f>IFERROR(VLOOKUP(D434,$H$4:$I$70,2,0),"")</f>
        <v>199</v>
      </c>
      <c r="F434" s="9">
        <f>IFERROR(VLOOKUP(C434,$H$4:$I$70,2,0),"")</f>
        <v>231</v>
      </c>
    </row>
    <row r="435" spans="2:6" x14ac:dyDescent="0.2">
      <c r="B435" s="13">
        <f t="shared" si="20"/>
        <v>432</v>
      </c>
      <c r="C435" s="8">
        <f t="shared" si="21"/>
        <v>51</v>
      </c>
      <c r="D435" s="8">
        <f t="shared" si="22"/>
        <v>61</v>
      </c>
      <c r="E435" s="8">
        <f>IFERROR(VLOOKUP(D435,$H$4:$I$70,2,0),"")</f>
        <v>199</v>
      </c>
      <c r="F435" s="9">
        <f>IFERROR(VLOOKUP(C435,$H$4:$I$70,2,0),"")</f>
        <v>227</v>
      </c>
    </row>
    <row r="436" spans="2:6" x14ac:dyDescent="0.2">
      <c r="B436" s="13">
        <f t="shared" si="20"/>
        <v>433</v>
      </c>
      <c r="C436" s="8">
        <f t="shared" si="21"/>
        <v>52</v>
      </c>
      <c r="D436" s="8">
        <f t="shared" si="22"/>
        <v>61</v>
      </c>
      <c r="E436" s="8">
        <f>IFERROR(VLOOKUP(D436,$H$4:$I$70,2,0),"")</f>
        <v>199</v>
      </c>
      <c r="F436" s="9">
        <f>IFERROR(VLOOKUP(C436,$H$4:$I$70,2,0),"")</f>
        <v>224</v>
      </c>
    </row>
    <row r="437" spans="2:6" x14ac:dyDescent="0.2">
      <c r="B437" s="13">
        <f t="shared" si="20"/>
        <v>434</v>
      </c>
      <c r="C437" s="8">
        <f t="shared" si="21"/>
        <v>53</v>
      </c>
      <c r="D437" s="8">
        <f t="shared" si="22"/>
        <v>61</v>
      </c>
      <c r="E437" s="8">
        <f>IFERROR(VLOOKUP(D437,$H$4:$I$70,2,0),"")</f>
        <v>199</v>
      </c>
      <c r="F437" s="9">
        <f>IFERROR(VLOOKUP(C437,$H$4:$I$70,2,0),"")</f>
        <v>217</v>
      </c>
    </row>
    <row r="438" spans="2:6" x14ac:dyDescent="0.2">
      <c r="B438" s="13">
        <f t="shared" si="20"/>
        <v>435</v>
      </c>
      <c r="C438" s="8">
        <f t="shared" si="21"/>
        <v>54</v>
      </c>
      <c r="D438" s="8">
        <f t="shared" si="22"/>
        <v>61</v>
      </c>
      <c r="E438" s="8">
        <f>IFERROR(VLOOKUP(D438,$H$4:$I$70,2,0),"")</f>
        <v>199</v>
      </c>
      <c r="F438" s="9">
        <f>IFERROR(VLOOKUP(C438,$H$4:$I$70,2,0),"")</f>
        <v>213</v>
      </c>
    </row>
    <row r="439" spans="2:6" x14ac:dyDescent="0.2">
      <c r="B439" s="13">
        <f t="shared" si="20"/>
        <v>436</v>
      </c>
      <c r="C439" s="8">
        <f t="shared" si="21"/>
        <v>55</v>
      </c>
      <c r="D439" s="8">
        <f t="shared" si="22"/>
        <v>61</v>
      </c>
      <c r="E439" s="8">
        <f>IFERROR(VLOOKUP(D439,$H$4:$I$70,2,0),"")</f>
        <v>199</v>
      </c>
      <c r="F439" s="9">
        <f>IFERROR(VLOOKUP(C439,$H$4:$I$70,2,0),"")</f>
        <v>212</v>
      </c>
    </row>
    <row r="440" spans="2:6" x14ac:dyDescent="0.2">
      <c r="B440" s="13">
        <f t="shared" si="20"/>
        <v>437</v>
      </c>
      <c r="C440" s="8">
        <f t="shared" si="21"/>
        <v>56</v>
      </c>
      <c r="D440" s="8">
        <f t="shared" si="22"/>
        <v>61</v>
      </c>
      <c r="E440" s="8">
        <f>IFERROR(VLOOKUP(D440,$H$4:$I$70,2,0),"")</f>
        <v>199</v>
      </c>
      <c r="F440" s="9">
        <f>IFERROR(VLOOKUP(C440,$H$4:$I$70,2,0),"")</f>
        <v>211</v>
      </c>
    </row>
    <row r="441" spans="2:6" x14ac:dyDescent="0.2">
      <c r="B441" s="13">
        <f t="shared" si="20"/>
        <v>438</v>
      </c>
      <c r="C441" s="8">
        <f t="shared" si="21"/>
        <v>57</v>
      </c>
      <c r="D441" s="8">
        <f t="shared" si="22"/>
        <v>61</v>
      </c>
      <c r="E441" s="8">
        <f>IFERROR(VLOOKUP(D441,$H$4:$I$70,2,0),"")</f>
        <v>199</v>
      </c>
      <c r="F441" s="9">
        <f>IFERROR(VLOOKUP(C441,$H$4:$I$70,2,0),"")</f>
        <v>209</v>
      </c>
    </row>
    <row r="442" spans="2:6" x14ac:dyDescent="0.2">
      <c r="B442" s="13">
        <f t="shared" si="20"/>
        <v>439</v>
      </c>
      <c r="C442" s="8">
        <f t="shared" si="21"/>
        <v>58</v>
      </c>
      <c r="D442" s="8">
        <f t="shared" si="22"/>
        <v>61</v>
      </c>
      <c r="E442" s="8">
        <f>IFERROR(VLOOKUP(D442,$H$4:$I$70,2,0),"")</f>
        <v>199</v>
      </c>
      <c r="F442" s="9">
        <f>IFERROR(VLOOKUP(C442,$H$4:$I$70,2,0),"")</f>
        <v>208</v>
      </c>
    </row>
    <row r="443" spans="2:6" x14ac:dyDescent="0.2">
      <c r="B443" s="13">
        <f t="shared" si="20"/>
        <v>440</v>
      </c>
      <c r="C443" s="8">
        <f t="shared" si="21"/>
        <v>59</v>
      </c>
      <c r="D443" s="8">
        <f t="shared" si="22"/>
        <v>61</v>
      </c>
      <c r="E443" s="8">
        <f>IFERROR(VLOOKUP(D443,$H$4:$I$70,2,0),"")</f>
        <v>199</v>
      </c>
      <c r="F443" s="9">
        <f>IFERROR(VLOOKUP(C443,$H$4:$I$70,2,0),"")</f>
        <v>204</v>
      </c>
    </row>
    <row r="444" spans="2:6" x14ac:dyDescent="0.2">
      <c r="B444" s="13">
        <f t="shared" si="20"/>
        <v>441</v>
      </c>
      <c r="C444" s="8">
        <f t="shared" si="21"/>
        <v>60</v>
      </c>
      <c r="D444" s="8">
        <f t="shared" si="22"/>
        <v>61</v>
      </c>
      <c r="E444" s="8">
        <f>IFERROR(VLOOKUP(D444,$H$4:$I$70,2,0),"")</f>
        <v>199</v>
      </c>
      <c r="F444" s="9">
        <f>IFERROR(VLOOKUP(C444,$H$4:$I$70,2,0),"")</f>
        <v>200</v>
      </c>
    </row>
    <row r="445" spans="2:6" x14ac:dyDescent="0.2">
      <c r="B445" s="13">
        <f t="shared" si="20"/>
        <v>442</v>
      </c>
      <c r="C445" s="8">
        <f t="shared" si="21"/>
        <v>1</v>
      </c>
      <c r="D445" s="8">
        <f t="shared" si="22"/>
        <v>60</v>
      </c>
      <c r="E445" s="8">
        <f>IFERROR(VLOOKUP(D445,$H$4:$I$70,2,0),"")</f>
        <v>200</v>
      </c>
      <c r="F445" s="9">
        <f>IFERROR(VLOOKUP(C445,$H$4:$I$70,2,0),"")</f>
        <v>1344</v>
      </c>
    </row>
    <row r="446" spans="2:6" x14ac:dyDescent="0.2">
      <c r="B446" s="13">
        <f t="shared" si="20"/>
        <v>443</v>
      </c>
      <c r="C446" s="8">
        <f t="shared" si="21"/>
        <v>2</v>
      </c>
      <c r="D446" s="8">
        <f t="shared" si="22"/>
        <v>60</v>
      </c>
      <c r="E446" s="8">
        <f>IFERROR(VLOOKUP(D446,$H$4:$I$70,2,0),"")</f>
        <v>200</v>
      </c>
      <c r="F446" s="9">
        <f>IFERROR(VLOOKUP(C446,$H$4:$I$70,2,0),"")</f>
        <v>1048</v>
      </c>
    </row>
    <row r="447" spans="2:6" x14ac:dyDescent="0.2">
      <c r="B447" s="13">
        <f t="shared" si="20"/>
        <v>444</v>
      </c>
      <c r="C447" s="8">
        <f t="shared" si="21"/>
        <v>3</v>
      </c>
      <c r="D447" s="8">
        <f t="shared" si="22"/>
        <v>60</v>
      </c>
      <c r="E447" s="8">
        <f>IFERROR(VLOOKUP(D447,$H$4:$I$70,2,0),"")</f>
        <v>200</v>
      </c>
      <c r="F447" s="9">
        <f>IFERROR(VLOOKUP(C447,$H$4:$I$70,2,0),"")</f>
        <v>1025</v>
      </c>
    </row>
    <row r="448" spans="2:6" x14ac:dyDescent="0.2">
      <c r="B448" s="13">
        <f t="shared" si="20"/>
        <v>445</v>
      </c>
      <c r="C448" s="8">
        <f t="shared" si="21"/>
        <v>4</v>
      </c>
      <c r="D448" s="8">
        <f t="shared" si="22"/>
        <v>60</v>
      </c>
      <c r="E448" s="8">
        <f>IFERROR(VLOOKUP(D448,$H$4:$I$70,2,0),"")</f>
        <v>200</v>
      </c>
      <c r="F448" s="9">
        <f>IFERROR(VLOOKUP(C448,$H$4:$I$70,2,0),"")</f>
        <v>805</v>
      </c>
    </row>
    <row r="449" spans="2:6" x14ac:dyDescent="0.2">
      <c r="B449" s="13">
        <f t="shared" si="20"/>
        <v>446</v>
      </c>
      <c r="C449" s="8">
        <f t="shared" si="21"/>
        <v>5</v>
      </c>
      <c r="D449" s="8">
        <f t="shared" si="22"/>
        <v>60</v>
      </c>
      <c r="E449" s="8">
        <f>IFERROR(VLOOKUP(D449,$H$4:$I$70,2,0),"")</f>
        <v>200</v>
      </c>
      <c r="F449" s="9">
        <f>IFERROR(VLOOKUP(C449,$H$4:$I$70,2,0),"")</f>
        <v>666</v>
      </c>
    </row>
    <row r="450" spans="2:6" x14ac:dyDescent="0.2">
      <c r="B450" s="13">
        <f t="shared" si="20"/>
        <v>447</v>
      </c>
      <c r="C450" s="8">
        <f t="shared" si="21"/>
        <v>6</v>
      </c>
      <c r="D450" s="8">
        <f t="shared" si="22"/>
        <v>60</v>
      </c>
      <c r="E450" s="8">
        <f>IFERROR(VLOOKUP(D450,$H$4:$I$70,2,0),"")</f>
        <v>200</v>
      </c>
      <c r="F450" s="9">
        <f>IFERROR(VLOOKUP(C450,$H$4:$I$70,2,0),"")</f>
        <v>655</v>
      </c>
    </row>
    <row r="451" spans="2:6" x14ac:dyDescent="0.2">
      <c r="B451" s="13">
        <f t="shared" si="20"/>
        <v>448</v>
      </c>
      <c r="C451" s="8">
        <f t="shared" si="21"/>
        <v>7</v>
      </c>
      <c r="D451" s="8">
        <f t="shared" si="22"/>
        <v>60</v>
      </c>
      <c r="E451" s="8">
        <f>IFERROR(VLOOKUP(D451,$H$4:$I$70,2,0),"")</f>
        <v>200</v>
      </c>
      <c r="F451" s="9">
        <f>IFERROR(VLOOKUP(C451,$H$4:$I$70,2,0),"")</f>
        <v>652</v>
      </c>
    </row>
    <row r="452" spans="2:6" x14ac:dyDescent="0.2">
      <c r="B452" s="13">
        <f t="shared" si="20"/>
        <v>449</v>
      </c>
      <c r="C452" s="8">
        <f t="shared" si="21"/>
        <v>8</v>
      </c>
      <c r="D452" s="8">
        <f t="shared" si="22"/>
        <v>60</v>
      </c>
      <c r="E452" s="8">
        <f>IFERROR(VLOOKUP(D452,$H$4:$I$70,2,0),"")</f>
        <v>200</v>
      </c>
      <c r="F452" s="9">
        <f>IFERROR(VLOOKUP(C452,$H$4:$I$70,2,0),"")</f>
        <v>633</v>
      </c>
    </row>
    <row r="453" spans="2:6" x14ac:dyDescent="0.2">
      <c r="B453" s="13">
        <f t="shared" ref="B453:B516" si="23">ROW()-3</f>
        <v>450</v>
      </c>
      <c r="C453" s="8">
        <f t="shared" si="21"/>
        <v>9</v>
      </c>
      <c r="D453" s="8">
        <f t="shared" si="22"/>
        <v>60</v>
      </c>
      <c r="E453" s="8">
        <f>IFERROR(VLOOKUP(D453,$H$4:$I$70,2,0),"")</f>
        <v>200</v>
      </c>
      <c r="F453" s="9">
        <f>IFERROR(VLOOKUP(C453,$H$4:$I$70,2,0),"")</f>
        <v>632</v>
      </c>
    </row>
    <row r="454" spans="2:6" x14ac:dyDescent="0.2">
      <c r="B454" s="13">
        <f t="shared" si="23"/>
        <v>451</v>
      </c>
      <c r="C454" s="8">
        <f t="shared" ref="C454:C517" si="24">IF((D453-C453)=1,1,C453+1)</f>
        <v>10</v>
      </c>
      <c r="D454" s="8">
        <f t="shared" ref="D454:D517" si="25">IF((D453-C453)=1,D453-1,D453)</f>
        <v>60</v>
      </c>
      <c r="E454" s="8">
        <f>IFERROR(VLOOKUP(D454,$H$4:$I$70,2,0),"")</f>
        <v>200</v>
      </c>
      <c r="F454" s="9">
        <f>IFERROR(VLOOKUP(C454,$H$4:$I$70,2,0),"")</f>
        <v>625</v>
      </c>
    </row>
    <row r="455" spans="2:6" x14ac:dyDescent="0.2">
      <c r="B455" s="13">
        <f t="shared" si="23"/>
        <v>452</v>
      </c>
      <c r="C455" s="8">
        <f t="shared" si="24"/>
        <v>11</v>
      </c>
      <c r="D455" s="8">
        <f t="shared" si="25"/>
        <v>60</v>
      </c>
      <c r="E455" s="8">
        <f>IFERROR(VLOOKUP(D455,$H$4:$I$70,2,0),"")</f>
        <v>200</v>
      </c>
      <c r="F455" s="9">
        <f>IFERROR(VLOOKUP(C455,$H$4:$I$70,2,0),"")</f>
        <v>619</v>
      </c>
    </row>
    <row r="456" spans="2:6" x14ac:dyDescent="0.2">
      <c r="B456" s="13">
        <f t="shared" si="23"/>
        <v>453</v>
      </c>
      <c r="C456" s="8">
        <f t="shared" si="24"/>
        <v>12</v>
      </c>
      <c r="D456" s="8">
        <f t="shared" si="25"/>
        <v>60</v>
      </c>
      <c r="E456" s="8">
        <f>IFERROR(VLOOKUP(D456,$H$4:$I$70,2,0),"")</f>
        <v>200</v>
      </c>
      <c r="F456" s="9">
        <f>IFERROR(VLOOKUP(C456,$H$4:$I$70,2,0),"")</f>
        <v>610</v>
      </c>
    </row>
    <row r="457" spans="2:6" x14ac:dyDescent="0.2">
      <c r="B457" s="13">
        <f t="shared" si="23"/>
        <v>454</v>
      </c>
      <c r="C457" s="8">
        <f t="shared" si="24"/>
        <v>13</v>
      </c>
      <c r="D457" s="8">
        <f t="shared" si="25"/>
        <v>60</v>
      </c>
      <c r="E457" s="8">
        <f>IFERROR(VLOOKUP(D457,$H$4:$I$70,2,0),"")</f>
        <v>200</v>
      </c>
      <c r="F457" s="9">
        <f>IFERROR(VLOOKUP(C457,$H$4:$I$70,2,0),"")</f>
        <v>599</v>
      </c>
    </row>
    <row r="458" spans="2:6" x14ac:dyDescent="0.2">
      <c r="B458" s="13">
        <f t="shared" si="23"/>
        <v>455</v>
      </c>
      <c r="C458" s="8">
        <f t="shared" si="24"/>
        <v>14</v>
      </c>
      <c r="D458" s="8">
        <f t="shared" si="25"/>
        <v>60</v>
      </c>
      <c r="E458" s="8">
        <f>IFERROR(VLOOKUP(D458,$H$4:$I$70,2,0),"")</f>
        <v>200</v>
      </c>
      <c r="F458" s="9">
        <f>IFERROR(VLOOKUP(C458,$H$4:$I$70,2,0),"")</f>
        <v>559</v>
      </c>
    </row>
    <row r="459" spans="2:6" x14ac:dyDescent="0.2">
      <c r="B459" s="13">
        <f t="shared" si="23"/>
        <v>456</v>
      </c>
      <c r="C459" s="8">
        <f t="shared" si="24"/>
        <v>15</v>
      </c>
      <c r="D459" s="8">
        <f t="shared" si="25"/>
        <v>60</v>
      </c>
      <c r="E459" s="8">
        <f>IFERROR(VLOOKUP(D459,$H$4:$I$70,2,0),"")</f>
        <v>200</v>
      </c>
      <c r="F459" s="9">
        <f>IFERROR(VLOOKUP(C459,$H$4:$I$70,2,0),"")</f>
        <v>556</v>
      </c>
    </row>
    <row r="460" spans="2:6" x14ac:dyDescent="0.2">
      <c r="B460" s="13">
        <f t="shared" si="23"/>
        <v>457</v>
      </c>
      <c r="C460" s="8">
        <f t="shared" si="24"/>
        <v>16</v>
      </c>
      <c r="D460" s="8">
        <f t="shared" si="25"/>
        <v>60</v>
      </c>
      <c r="E460" s="8">
        <f>IFERROR(VLOOKUP(D460,$H$4:$I$70,2,0),"")</f>
        <v>200</v>
      </c>
      <c r="F460" s="9">
        <f>IFERROR(VLOOKUP(C460,$H$4:$I$70,2,0),"")</f>
        <v>540</v>
      </c>
    </row>
    <row r="461" spans="2:6" x14ac:dyDescent="0.2">
      <c r="B461" s="13">
        <f t="shared" si="23"/>
        <v>458</v>
      </c>
      <c r="C461" s="8">
        <f t="shared" si="24"/>
        <v>17</v>
      </c>
      <c r="D461" s="8">
        <f t="shared" si="25"/>
        <v>60</v>
      </c>
      <c r="E461" s="8">
        <f>IFERROR(VLOOKUP(D461,$H$4:$I$70,2,0),"")</f>
        <v>200</v>
      </c>
      <c r="F461" s="9">
        <f>IFERROR(VLOOKUP(C461,$H$4:$I$70,2,0),"")</f>
        <v>536</v>
      </c>
    </row>
    <row r="462" spans="2:6" x14ac:dyDescent="0.2">
      <c r="B462" s="13">
        <f t="shared" si="23"/>
        <v>459</v>
      </c>
      <c r="C462" s="8">
        <f t="shared" si="24"/>
        <v>18</v>
      </c>
      <c r="D462" s="8">
        <f t="shared" si="25"/>
        <v>60</v>
      </c>
      <c r="E462" s="8">
        <f>IFERROR(VLOOKUP(D462,$H$4:$I$70,2,0),"")</f>
        <v>200</v>
      </c>
      <c r="F462" s="9">
        <f>IFERROR(VLOOKUP(C462,$H$4:$I$70,2,0),"")</f>
        <v>527</v>
      </c>
    </row>
    <row r="463" spans="2:6" x14ac:dyDescent="0.2">
      <c r="B463" s="13">
        <f t="shared" si="23"/>
        <v>460</v>
      </c>
      <c r="C463" s="8">
        <f t="shared" si="24"/>
        <v>19</v>
      </c>
      <c r="D463" s="8">
        <f t="shared" si="25"/>
        <v>60</v>
      </c>
      <c r="E463" s="8">
        <f>IFERROR(VLOOKUP(D463,$H$4:$I$70,2,0),"")</f>
        <v>200</v>
      </c>
      <c r="F463" s="9">
        <f>IFERROR(VLOOKUP(C463,$H$4:$I$70,2,0),"")</f>
        <v>478</v>
      </c>
    </row>
    <row r="464" spans="2:6" x14ac:dyDescent="0.2">
      <c r="B464" s="13">
        <f t="shared" si="23"/>
        <v>461</v>
      </c>
      <c r="C464" s="8">
        <f t="shared" si="24"/>
        <v>20</v>
      </c>
      <c r="D464" s="8">
        <f t="shared" si="25"/>
        <v>60</v>
      </c>
      <c r="E464" s="8">
        <f>IFERROR(VLOOKUP(D464,$H$4:$I$70,2,0),"")</f>
        <v>200</v>
      </c>
      <c r="F464" s="9">
        <f>IFERROR(VLOOKUP(C464,$H$4:$I$70,2,0),"")</f>
        <v>474</v>
      </c>
    </row>
    <row r="465" spans="2:6" x14ac:dyDescent="0.2">
      <c r="B465" s="13">
        <f t="shared" si="23"/>
        <v>462</v>
      </c>
      <c r="C465" s="8">
        <f t="shared" si="24"/>
        <v>21</v>
      </c>
      <c r="D465" s="8">
        <f t="shared" si="25"/>
        <v>60</v>
      </c>
      <c r="E465" s="8">
        <f>IFERROR(VLOOKUP(D465,$H$4:$I$70,2,0),"")</f>
        <v>200</v>
      </c>
      <c r="F465" s="9">
        <f>IFERROR(VLOOKUP(C465,$H$4:$I$70,2,0),"")</f>
        <v>468</v>
      </c>
    </row>
    <row r="466" spans="2:6" x14ac:dyDescent="0.2">
      <c r="B466" s="13">
        <f t="shared" si="23"/>
        <v>463</v>
      </c>
      <c r="C466" s="8">
        <f t="shared" si="24"/>
        <v>22</v>
      </c>
      <c r="D466" s="8">
        <f t="shared" si="25"/>
        <v>60</v>
      </c>
      <c r="E466" s="8">
        <f>IFERROR(VLOOKUP(D466,$H$4:$I$70,2,0),"")</f>
        <v>200</v>
      </c>
      <c r="F466" s="9">
        <f>IFERROR(VLOOKUP(C466,$H$4:$I$70,2,0),"")</f>
        <v>457</v>
      </c>
    </row>
    <row r="467" spans="2:6" x14ac:dyDescent="0.2">
      <c r="B467" s="13">
        <f t="shared" si="23"/>
        <v>464</v>
      </c>
      <c r="C467" s="8">
        <f t="shared" si="24"/>
        <v>23</v>
      </c>
      <c r="D467" s="8">
        <f t="shared" si="25"/>
        <v>60</v>
      </c>
      <c r="E467" s="8">
        <f>IFERROR(VLOOKUP(D467,$H$4:$I$70,2,0),"")</f>
        <v>200</v>
      </c>
      <c r="F467" s="9">
        <f>IFERROR(VLOOKUP(C467,$H$4:$I$70,2,0),"")</f>
        <v>452</v>
      </c>
    </row>
    <row r="468" spans="2:6" x14ac:dyDescent="0.2">
      <c r="B468" s="13">
        <f t="shared" si="23"/>
        <v>465</v>
      </c>
      <c r="C468" s="8">
        <f t="shared" si="24"/>
        <v>24</v>
      </c>
      <c r="D468" s="8">
        <f t="shared" si="25"/>
        <v>60</v>
      </c>
      <c r="E468" s="8">
        <f>IFERROR(VLOOKUP(D468,$H$4:$I$70,2,0),"")</f>
        <v>200</v>
      </c>
      <c r="F468" s="9">
        <f>IFERROR(VLOOKUP(C468,$H$4:$I$70,2,0),"")</f>
        <v>442</v>
      </c>
    </row>
    <row r="469" spans="2:6" x14ac:dyDescent="0.2">
      <c r="B469" s="13">
        <f t="shared" si="23"/>
        <v>466</v>
      </c>
      <c r="C469" s="8">
        <f t="shared" si="24"/>
        <v>25</v>
      </c>
      <c r="D469" s="8">
        <f t="shared" si="25"/>
        <v>60</v>
      </c>
      <c r="E469" s="8">
        <f>IFERROR(VLOOKUP(D469,$H$4:$I$70,2,0),"")</f>
        <v>200</v>
      </c>
      <c r="F469" s="9">
        <f>IFERROR(VLOOKUP(C469,$H$4:$I$70,2,0),"")</f>
        <v>420</v>
      </c>
    </row>
    <row r="470" spans="2:6" x14ac:dyDescent="0.2">
      <c r="B470" s="13">
        <f t="shared" si="23"/>
        <v>467</v>
      </c>
      <c r="C470" s="8">
        <f t="shared" si="24"/>
        <v>26</v>
      </c>
      <c r="D470" s="8">
        <f t="shared" si="25"/>
        <v>60</v>
      </c>
      <c r="E470" s="8">
        <f>IFERROR(VLOOKUP(D470,$H$4:$I$70,2,0),"")</f>
        <v>200</v>
      </c>
      <c r="F470" s="9">
        <f>IFERROR(VLOOKUP(C470,$H$4:$I$70,2,0),"")</f>
        <v>410</v>
      </c>
    </row>
    <row r="471" spans="2:6" x14ac:dyDescent="0.2">
      <c r="B471" s="13">
        <f t="shared" si="23"/>
        <v>468</v>
      </c>
      <c r="C471" s="8">
        <f t="shared" si="24"/>
        <v>27</v>
      </c>
      <c r="D471" s="8">
        <f t="shared" si="25"/>
        <v>60</v>
      </c>
      <c r="E471" s="8">
        <f>IFERROR(VLOOKUP(D471,$H$4:$I$70,2,0),"")</f>
        <v>200</v>
      </c>
      <c r="F471" s="9">
        <f>IFERROR(VLOOKUP(C471,$H$4:$I$70,2,0),"")</f>
        <v>409</v>
      </c>
    </row>
    <row r="472" spans="2:6" x14ac:dyDescent="0.2">
      <c r="B472" s="13">
        <f t="shared" si="23"/>
        <v>469</v>
      </c>
      <c r="C472" s="8">
        <f t="shared" si="24"/>
        <v>28</v>
      </c>
      <c r="D472" s="8">
        <f t="shared" si="25"/>
        <v>60</v>
      </c>
      <c r="E472" s="8">
        <f>IFERROR(VLOOKUP(D472,$H$4:$I$70,2,0),"")</f>
        <v>200</v>
      </c>
      <c r="F472" s="9">
        <f>IFERROR(VLOOKUP(C472,$H$4:$I$70,2,0),"")</f>
        <v>408</v>
      </c>
    </row>
    <row r="473" spans="2:6" x14ac:dyDescent="0.2">
      <c r="B473" s="13">
        <f t="shared" si="23"/>
        <v>470</v>
      </c>
      <c r="C473" s="8">
        <f t="shared" si="24"/>
        <v>29</v>
      </c>
      <c r="D473" s="8">
        <f t="shared" si="25"/>
        <v>60</v>
      </c>
      <c r="E473" s="8">
        <f>IFERROR(VLOOKUP(D473,$H$4:$I$70,2,0),"")</f>
        <v>200</v>
      </c>
      <c r="F473" s="9">
        <f>IFERROR(VLOOKUP(C473,$H$4:$I$70,2,0),"")</f>
        <v>404</v>
      </c>
    </row>
    <row r="474" spans="2:6" x14ac:dyDescent="0.2">
      <c r="B474" s="13">
        <f t="shared" si="23"/>
        <v>471</v>
      </c>
      <c r="C474" s="8">
        <f t="shared" si="24"/>
        <v>30</v>
      </c>
      <c r="D474" s="8">
        <f t="shared" si="25"/>
        <v>60</v>
      </c>
      <c r="E474" s="8">
        <f>IFERROR(VLOOKUP(D474,$H$4:$I$70,2,0),"")</f>
        <v>200</v>
      </c>
      <c r="F474" s="9">
        <f>IFERROR(VLOOKUP(C474,$H$4:$I$70,2,0),"")</f>
        <v>399</v>
      </c>
    </row>
    <row r="475" spans="2:6" x14ac:dyDescent="0.2">
      <c r="B475" s="13">
        <f t="shared" si="23"/>
        <v>472</v>
      </c>
      <c r="C475" s="8">
        <f t="shared" si="24"/>
        <v>31</v>
      </c>
      <c r="D475" s="8">
        <f t="shared" si="25"/>
        <v>60</v>
      </c>
      <c r="E475" s="8">
        <f>IFERROR(VLOOKUP(D475,$H$4:$I$70,2,0),"")</f>
        <v>200</v>
      </c>
      <c r="F475" s="9">
        <f>IFERROR(VLOOKUP(C475,$H$4:$I$70,2,0),"")</f>
        <v>396</v>
      </c>
    </row>
    <row r="476" spans="2:6" x14ac:dyDescent="0.2">
      <c r="B476" s="13">
        <f t="shared" si="23"/>
        <v>473</v>
      </c>
      <c r="C476" s="8">
        <f t="shared" si="24"/>
        <v>32</v>
      </c>
      <c r="D476" s="8">
        <f t="shared" si="25"/>
        <v>60</v>
      </c>
      <c r="E476" s="8">
        <f>IFERROR(VLOOKUP(D476,$H$4:$I$70,2,0),"")</f>
        <v>200</v>
      </c>
      <c r="F476" s="9">
        <f>IFERROR(VLOOKUP(C476,$H$4:$I$70,2,0),"")</f>
        <v>384</v>
      </c>
    </row>
    <row r="477" spans="2:6" x14ac:dyDescent="0.2">
      <c r="B477" s="13">
        <f t="shared" si="23"/>
        <v>474</v>
      </c>
      <c r="C477" s="8">
        <f t="shared" si="24"/>
        <v>33</v>
      </c>
      <c r="D477" s="8">
        <f t="shared" si="25"/>
        <v>60</v>
      </c>
      <c r="E477" s="8">
        <f>IFERROR(VLOOKUP(D477,$H$4:$I$70,2,0),"")</f>
        <v>200</v>
      </c>
      <c r="F477" s="9">
        <f>IFERROR(VLOOKUP(C477,$H$4:$I$70,2,0),"")</f>
        <v>381</v>
      </c>
    </row>
    <row r="478" spans="2:6" x14ac:dyDescent="0.2">
      <c r="B478" s="13">
        <f t="shared" si="23"/>
        <v>475</v>
      </c>
      <c r="C478" s="8">
        <f t="shared" si="24"/>
        <v>34</v>
      </c>
      <c r="D478" s="8">
        <f t="shared" si="25"/>
        <v>60</v>
      </c>
      <c r="E478" s="8">
        <f>IFERROR(VLOOKUP(D478,$H$4:$I$70,2,0),"")</f>
        <v>200</v>
      </c>
      <c r="F478" s="9">
        <f>IFERROR(VLOOKUP(C478,$H$4:$I$70,2,0),"")</f>
        <v>376</v>
      </c>
    </row>
    <row r="479" spans="2:6" x14ac:dyDescent="0.2">
      <c r="B479" s="13">
        <f t="shared" si="23"/>
        <v>476</v>
      </c>
      <c r="C479" s="8">
        <f t="shared" si="24"/>
        <v>35</v>
      </c>
      <c r="D479" s="8">
        <f t="shared" si="25"/>
        <v>60</v>
      </c>
      <c r="E479" s="8">
        <f>IFERROR(VLOOKUP(D479,$H$4:$I$70,2,0),"")</f>
        <v>200</v>
      </c>
      <c r="F479" s="9">
        <f>IFERROR(VLOOKUP(C479,$H$4:$I$70,2,0),"")</f>
        <v>370</v>
      </c>
    </row>
    <row r="480" spans="2:6" x14ac:dyDescent="0.2">
      <c r="B480" s="13">
        <f t="shared" si="23"/>
        <v>477</v>
      </c>
      <c r="C480" s="8">
        <f t="shared" si="24"/>
        <v>36</v>
      </c>
      <c r="D480" s="8">
        <f t="shared" si="25"/>
        <v>60</v>
      </c>
      <c r="E480" s="8">
        <f>IFERROR(VLOOKUP(D480,$H$4:$I$70,2,0),"")</f>
        <v>200</v>
      </c>
      <c r="F480" s="9">
        <f>IFERROR(VLOOKUP(C480,$H$4:$I$70,2,0),"")</f>
        <v>362</v>
      </c>
    </row>
    <row r="481" spans="2:6" x14ac:dyDescent="0.2">
      <c r="B481" s="13">
        <f t="shared" si="23"/>
        <v>478</v>
      </c>
      <c r="C481" s="8">
        <f t="shared" si="24"/>
        <v>37</v>
      </c>
      <c r="D481" s="8">
        <f t="shared" si="25"/>
        <v>60</v>
      </c>
      <c r="E481" s="8">
        <f>IFERROR(VLOOKUP(D481,$H$4:$I$70,2,0),"")</f>
        <v>200</v>
      </c>
      <c r="F481" s="9">
        <f>IFERROR(VLOOKUP(C481,$H$4:$I$70,2,0),"")</f>
        <v>357</v>
      </c>
    </row>
    <row r="482" spans="2:6" x14ac:dyDescent="0.2">
      <c r="B482" s="13">
        <f t="shared" si="23"/>
        <v>479</v>
      </c>
      <c r="C482" s="8">
        <f t="shared" si="24"/>
        <v>38</v>
      </c>
      <c r="D482" s="8">
        <f t="shared" si="25"/>
        <v>60</v>
      </c>
      <c r="E482" s="8">
        <f>IFERROR(VLOOKUP(D482,$H$4:$I$70,2,0),"")</f>
        <v>200</v>
      </c>
      <c r="F482" s="9">
        <f>IFERROR(VLOOKUP(C482,$H$4:$I$70,2,0),"")</f>
        <v>351</v>
      </c>
    </row>
    <row r="483" spans="2:6" x14ac:dyDescent="0.2">
      <c r="B483" s="13">
        <f t="shared" si="23"/>
        <v>480</v>
      </c>
      <c r="C483" s="8">
        <f t="shared" si="24"/>
        <v>39</v>
      </c>
      <c r="D483" s="8">
        <f t="shared" si="25"/>
        <v>60</v>
      </c>
      <c r="E483" s="8">
        <f>IFERROR(VLOOKUP(D483,$H$4:$I$70,2,0),"")</f>
        <v>200</v>
      </c>
      <c r="F483" s="9">
        <f>IFERROR(VLOOKUP(C483,$H$4:$I$70,2,0),"")</f>
        <v>339</v>
      </c>
    </row>
    <row r="484" spans="2:6" x14ac:dyDescent="0.2">
      <c r="B484" s="13">
        <f t="shared" si="23"/>
        <v>481</v>
      </c>
      <c r="C484" s="8">
        <f t="shared" si="24"/>
        <v>40</v>
      </c>
      <c r="D484" s="8">
        <f t="shared" si="25"/>
        <v>60</v>
      </c>
      <c r="E484" s="8">
        <f>IFERROR(VLOOKUP(D484,$H$4:$I$70,2,0),"")</f>
        <v>200</v>
      </c>
      <c r="F484" s="9">
        <f>IFERROR(VLOOKUP(C484,$H$4:$I$70,2,0),"")</f>
        <v>304</v>
      </c>
    </row>
    <row r="485" spans="2:6" x14ac:dyDescent="0.2">
      <c r="B485" s="13">
        <f t="shared" si="23"/>
        <v>482</v>
      </c>
      <c r="C485" s="8">
        <f t="shared" si="24"/>
        <v>41</v>
      </c>
      <c r="D485" s="8">
        <f t="shared" si="25"/>
        <v>60</v>
      </c>
      <c r="E485" s="8">
        <f>IFERROR(VLOOKUP(D485,$H$4:$I$70,2,0),"")</f>
        <v>200</v>
      </c>
      <c r="F485" s="9">
        <f>IFERROR(VLOOKUP(C485,$H$4:$I$70,2,0),"")</f>
        <v>301</v>
      </c>
    </row>
    <row r="486" spans="2:6" x14ac:dyDescent="0.2">
      <c r="B486" s="13">
        <f t="shared" si="23"/>
        <v>483</v>
      </c>
      <c r="C486" s="8">
        <f t="shared" si="24"/>
        <v>42</v>
      </c>
      <c r="D486" s="8">
        <f t="shared" si="25"/>
        <v>60</v>
      </c>
      <c r="E486" s="8">
        <f>IFERROR(VLOOKUP(D486,$H$4:$I$70,2,0),"")</f>
        <v>200</v>
      </c>
      <c r="F486" s="9">
        <f>IFERROR(VLOOKUP(C486,$H$4:$I$70,2,0),"")</f>
        <v>300</v>
      </c>
    </row>
    <row r="487" spans="2:6" x14ac:dyDescent="0.2">
      <c r="B487" s="13">
        <f t="shared" si="23"/>
        <v>484</v>
      </c>
      <c r="C487" s="8">
        <f t="shared" si="24"/>
        <v>43</v>
      </c>
      <c r="D487" s="8">
        <f t="shared" si="25"/>
        <v>60</v>
      </c>
      <c r="E487" s="8">
        <f>IFERROR(VLOOKUP(D487,$H$4:$I$70,2,0),"")</f>
        <v>200</v>
      </c>
      <c r="F487" s="9">
        <f>IFERROR(VLOOKUP(C487,$H$4:$I$70,2,0),"")</f>
        <v>288</v>
      </c>
    </row>
    <row r="488" spans="2:6" x14ac:dyDescent="0.2">
      <c r="B488" s="13">
        <f t="shared" si="23"/>
        <v>485</v>
      </c>
      <c r="C488" s="8">
        <f t="shared" si="24"/>
        <v>44</v>
      </c>
      <c r="D488" s="8">
        <f t="shared" si="25"/>
        <v>60</v>
      </c>
      <c r="E488" s="8">
        <f>IFERROR(VLOOKUP(D488,$H$4:$I$70,2,0),"")</f>
        <v>200</v>
      </c>
      <c r="F488" s="9">
        <f>IFERROR(VLOOKUP(C488,$H$4:$I$70,2,0),"")</f>
        <v>273</v>
      </c>
    </row>
    <row r="489" spans="2:6" x14ac:dyDescent="0.2">
      <c r="B489" s="13">
        <f t="shared" si="23"/>
        <v>486</v>
      </c>
      <c r="C489" s="8">
        <f t="shared" si="24"/>
        <v>45</v>
      </c>
      <c r="D489" s="8">
        <f t="shared" si="25"/>
        <v>60</v>
      </c>
      <c r="E489" s="8">
        <f>IFERROR(VLOOKUP(D489,$H$4:$I$70,2,0),"")</f>
        <v>200</v>
      </c>
      <c r="F489" s="9">
        <f>IFERROR(VLOOKUP(C489,$H$4:$I$70,2,0),"")</f>
        <v>268</v>
      </c>
    </row>
    <row r="490" spans="2:6" x14ac:dyDescent="0.2">
      <c r="B490" s="13">
        <f t="shared" si="23"/>
        <v>487</v>
      </c>
      <c r="C490" s="8">
        <f t="shared" si="24"/>
        <v>46</v>
      </c>
      <c r="D490" s="8">
        <f t="shared" si="25"/>
        <v>60</v>
      </c>
      <c r="E490" s="8">
        <f>IFERROR(VLOOKUP(D490,$H$4:$I$70,2,0),"")</f>
        <v>200</v>
      </c>
      <c r="F490" s="9">
        <f>IFERROR(VLOOKUP(C490,$H$4:$I$70,2,0),"")</f>
        <v>262</v>
      </c>
    </row>
    <row r="491" spans="2:6" x14ac:dyDescent="0.2">
      <c r="B491" s="13">
        <f t="shared" si="23"/>
        <v>488</v>
      </c>
      <c r="C491" s="8">
        <f t="shared" si="24"/>
        <v>47</v>
      </c>
      <c r="D491" s="8">
        <f t="shared" si="25"/>
        <v>60</v>
      </c>
      <c r="E491" s="8">
        <f>IFERROR(VLOOKUP(D491,$H$4:$I$70,2,0),"")</f>
        <v>200</v>
      </c>
      <c r="F491" s="9">
        <f>IFERROR(VLOOKUP(C491,$H$4:$I$70,2,0),"")</f>
        <v>248</v>
      </c>
    </row>
    <row r="492" spans="2:6" x14ac:dyDescent="0.2">
      <c r="B492" s="13">
        <f t="shared" si="23"/>
        <v>489</v>
      </c>
      <c r="C492" s="8">
        <f t="shared" si="24"/>
        <v>48</v>
      </c>
      <c r="D492" s="8">
        <f t="shared" si="25"/>
        <v>60</v>
      </c>
      <c r="E492" s="8">
        <f>IFERROR(VLOOKUP(D492,$H$4:$I$70,2,0),"")</f>
        <v>200</v>
      </c>
      <c r="F492" s="9">
        <f>IFERROR(VLOOKUP(C492,$H$4:$I$70,2,0),"")</f>
        <v>246</v>
      </c>
    </row>
    <row r="493" spans="2:6" x14ac:dyDescent="0.2">
      <c r="B493" s="13">
        <f t="shared" si="23"/>
        <v>490</v>
      </c>
      <c r="C493" s="8">
        <f t="shared" si="24"/>
        <v>49</v>
      </c>
      <c r="D493" s="8">
        <f t="shared" si="25"/>
        <v>60</v>
      </c>
      <c r="E493" s="8">
        <f>IFERROR(VLOOKUP(D493,$H$4:$I$70,2,0),"")</f>
        <v>200</v>
      </c>
      <c r="F493" s="9">
        <f>IFERROR(VLOOKUP(C493,$H$4:$I$70,2,0),"")</f>
        <v>236</v>
      </c>
    </row>
    <row r="494" spans="2:6" x14ac:dyDescent="0.2">
      <c r="B494" s="13">
        <f t="shared" si="23"/>
        <v>491</v>
      </c>
      <c r="C494" s="8">
        <f t="shared" si="24"/>
        <v>50</v>
      </c>
      <c r="D494" s="8">
        <f t="shared" si="25"/>
        <v>60</v>
      </c>
      <c r="E494" s="8">
        <f>IFERROR(VLOOKUP(D494,$H$4:$I$70,2,0),"")</f>
        <v>200</v>
      </c>
      <c r="F494" s="9">
        <f>IFERROR(VLOOKUP(C494,$H$4:$I$70,2,0),"")</f>
        <v>231</v>
      </c>
    </row>
    <row r="495" spans="2:6" x14ac:dyDescent="0.2">
      <c r="B495" s="13">
        <f t="shared" si="23"/>
        <v>492</v>
      </c>
      <c r="C495" s="8">
        <f t="shared" si="24"/>
        <v>51</v>
      </c>
      <c r="D495" s="8">
        <f t="shared" si="25"/>
        <v>60</v>
      </c>
      <c r="E495" s="8">
        <f>IFERROR(VLOOKUP(D495,$H$4:$I$70,2,0),"")</f>
        <v>200</v>
      </c>
      <c r="F495" s="9">
        <f>IFERROR(VLOOKUP(C495,$H$4:$I$70,2,0),"")</f>
        <v>227</v>
      </c>
    </row>
    <row r="496" spans="2:6" x14ac:dyDescent="0.2">
      <c r="B496" s="13">
        <f t="shared" si="23"/>
        <v>493</v>
      </c>
      <c r="C496" s="8">
        <f t="shared" si="24"/>
        <v>52</v>
      </c>
      <c r="D496" s="8">
        <f t="shared" si="25"/>
        <v>60</v>
      </c>
      <c r="E496" s="8">
        <f>IFERROR(VLOOKUP(D496,$H$4:$I$70,2,0),"")</f>
        <v>200</v>
      </c>
      <c r="F496" s="9">
        <f>IFERROR(VLOOKUP(C496,$H$4:$I$70,2,0),"")</f>
        <v>224</v>
      </c>
    </row>
    <row r="497" spans="2:6" x14ac:dyDescent="0.2">
      <c r="B497" s="13">
        <f t="shared" si="23"/>
        <v>494</v>
      </c>
      <c r="C497" s="8">
        <f t="shared" si="24"/>
        <v>53</v>
      </c>
      <c r="D497" s="8">
        <f t="shared" si="25"/>
        <v>60</v>
      </c>
      <c r="E497" s="8">
        <f>IFERROR(VLOOKUP(D497,$H$4:$I$70,2,0),"")</f>
        <v>200</v>
      </c>
      <c r="F497" s="9">
        <f>IFERROR(VLOOKUP(C497,$H$4:$I$70,2,0),"")</f>
        <v>217</v>
      </c>
    </row>
    <row r="498" spans="2:6" x14ac:dyDescent="0.2">
      <c r="B498" s="13">
        <f t="shared" si="23"/>
        <v>495</v>
      </c>
      <c r="C498" s="8">
        <f t="shared" si="24"/>
        <v>54</v>
      </c>
      <c r="D498" s="8">
        <f t="shared" si="25"/>
        <v>60</v>
      </c>
      <c r="E498" s="8">
        <f>IFERROR(VLOOKUP(D498,$H$4:$I$70,2,0),"")</f>
        <v>200</v>
      </c>
      <c r="F498" s="9">
        <f>IFERROR(VLOOKUP(C498,$H$4:$I$70,2,0),"")</f>
        <v>213</v>
      </c>
    </row>
    <row r="499" spans="2:6" x14ac:dyDescent="0.2">
      <c r="B499" s="13">
        <f t="shared" si="23"/>
        <v>496</v>
      </c>
      <c r="C499" s="8">
        <f t="shared" si="24"/>
        <v>55</v>
      </c>
      <c r="D499" s="8">
        <f t="shared" si="25"/>
        <v>60</v>
      </c>
      <c r="E499" s="8">
        <f>IFERROR(VLOOKUP(D499,$H$4:$I$70,2,0),"")</f>
        <v>200</v>
      </c>
      <c r="F499" s="9">
        <f>IFERROR(VLOOKUP(C499,$H$4:$I$70,2,0),"")</f>
        <v>212</v>
      </c>
    </row>
    <row r="500" spans="2:6" x14ac:dyDescent="0.2">
      <c r="B500" s="13">
        <f t="shared" si="23"/>
        <v>497</v>
      </c>
      <c r="C500" s="8">
        <f t="shared" si="24"/>
        <v>56</v>
      </c>
      <c r="D500" s="8">
        <f t="shared" si="25"/>
        <v>60</v>
      </c>
      <c r="E500" s="8">
        <f>IFERROR(VLOOKUP(D500,$H$4:$I$70,2,0),"")</f>
        <v>200</v>
      </c>
      <c r="F500" s="9">
        <f>IFERROR(VLOOKUP(C500,$H$4:$I$70,2,0),"")</f>
        <v>211</v>
      </c>
    </row>
    <row r="501" spans="2:6" x14ac:dyDescent="0.2">
      <c r="B501" s="13">
        <f t="shared" si="23"/>
        <v>498</v>
      </c>
      <c r="C501" s="8">
        <f t="shared" si="24"/>
        <v>57</v>
      </c>
      <c r="D501" s="8">
        <f t="shared" si="25"/>
        <v>60</v>
      </c>
      <c r="E501" s="8">
        <f>IFERROR(VLOOKUP(D501,$H$4:$I$70,2,0),"")</f>
        <v>200</v>
      </c>
      <c r="F501" s="9">
        <f>IFERROR(VLOOKUP(C501,$H$4:$I$70,2,0),"")</f>
        <v>209</v>
      </c>
    </row>
    <row r="502" spans="2:6" x14ac:dyDescent="0.2">
      <c r="B502" s="13">
        <f t="shared" si="23"/>
        <v>499</v>
      </c>
      <c r="C502" s="8">
        <f t="shared" si="24"/>
        <v>58</v>
      </c>
      <c r="D502" s="8">
        <f t="shared" si="25"/>
        <v>60</v>
      </c>
      <c r="E502" s="8">
        <f>IFERROR(VLOOKUP(D502,$H$4:$I$70,2,0),"")</f>
        <v>200</v>
      </c>
      <c r="F502" s="9">
        <f>IFERROR(VLOOKUP(C502,$H$4:$I$70,2,0),"")</f>
        <v>208</v>
      </c>
    </row>
    <row r="503" spans="2:6" x14ac:dyDescent="0.2">
      <c r="B503" s="13">
        <f t="shared" si="23"/>
        <v>500</v>
      </c>
      <c r="C503" s="8">
        <f t="shared" si="24"/>
        <v>59</v>
      </c>
      <c r="D503" s="8">
        <f t="shared" si="25"/>
        <v>60</v>
      </c>
      <c r="E503" s="8">
        <f>IFERROR(VLOOKUP(D503,$H$4:$I$70,2,0),"")</f>
        <v>200</v>
      </c>
      <c r="F503" s="9">
        <f>IFERROR(VLOOKUP(C503,$H$4:$I$70,2,0),"")</f>
        <v>204</v>
      </c>
    </row>
    <row r="504" spans="2:6" x14ac:dyDescent="0.2">
      <c r="B504" s="13">
        <f t="shared" si="23"/>
        <v>501</v>
      </c>
      <c r="C504" s="8">
        <f t="shared" si="24"/>
        <v>1</v>
      </c>
      <c r="D504" s="8">
        <f t="shared" si="25"/>
        <v>59</v>
      </c>
      <c r="E504" s="8">
        <f>IFERROR(VLOOKUP(D504,$H$4:$I$70,2,0),"")</f>
        <v>204</v>
      </c>
      <c r="F504" s="9">
        <f>IFERROR(VLOOKUP(C504,$H$4:$I$70,2,0),"")</f>
        <v>1344</v>
      </c>
    </row>
    <row r="505" spans="2:6" x14ac:dyDescent="0.2">
      <c r="B505" s="13">
        <f t="shared" si="23"/>
        <v>502</v>
      </c>
      <c r="C505" s="8">
        <f t="shared" si="24"/>
        <v>2</v>
      </c>
      <c r="D505" s="8">
        <f t="shared" si="25"/>
        <v>59</v>
      </c>
      <c r="E505" s="8">
        <f>IFERROR(VLOOKUP(D505,$H$4:$I$70,2,0),"")</f>
        <v>204</v>
      </c>
      <c r="F505" s="9">
        <f>IFERROR(VLOOKUP(C505,$H$4:$I$70,2,0),"")</f>
        <v>1048</v>
      </c>
    </row>
    <row r="506" spans="2:6" x14ac:dyDescent="0.2">
      <c r="B506" s="13">
        <f t="shared" si="23"/>
        <v>503</v>
      </c>
      <c r="C506" s="8">
        <f t="shared" si="24"/>
        <v>3</v>
      </c>
      <c r="D506" s="8">
        <f t="shared" si="25"/>
        <v>59</v>
      </c>
      <c r="E506" s="8">
        <f>IFERROR(VLOOKUP(D506,$H$4:$I$70,2,0),"")</f>
        <v>204</v>
      </c>
      <c r="F506" s="9">
        <f>IFERROR(VLOOKUP(C506,$H$4:$I$70,2,0),"")</f>
        <v>1025</v>
      </c>
    </row>
    <row r="507" spans="2:6" x14ac:dyDescent="0.2">
      <c r="B507" s="13">
        <f t="shared" si="23"/>
        <v>504</v>
      </c>
      <c r="C507" s="8">
        <f t="shared" si="24"/>
        <v>4</v>
      </c>
      <c r="D507" s="8">
        <f t="shared" si="25"/>
        <v>59</v>
      </c>
      <c r="E507" s="8">
        <f>IFERROR(VLOOKUP(D507,$H$4:$I$70,2,0),"")</f>
        <v>204</v>
      </c>
      <c r="F507" s="9">
        <f>IFERROR(VLOOKUP(C507,$H$4:$I$70,2,0),"")</f>
        <v>805</v>
      </c>
    </row>
    <row r="508" spans="2:6" x14ac:dyDescent="0.2">
      <c r="B508" s="13">
        <f t="shared" si="23"/>
        <v>505</v>
      </c>
      <c r="C508" s="8">
        <f t="shared" si="24"/>
        <v>5</v>
      </c>
      <c r="D508" s="8">
        <f t="shared" si="25"/>
        <v>59</v>
      </c>
      <c r="E508" s="8">
        <f>IFERROR(VLOOKUP(D508,$H$4:$I$70,2,0),"")</f>
        <v>204</v>
      </c>
      <c r="F508" s="9">
        <f>IFERROR(VLOOKUP(C508,$H$4:$I$70,2,0),"")</f>
        <v>666</v>
      </c>
    </row>
    <row r="509" spans="2:6" x14ac:dyDescent="0.2">
      <c r="B509" s="13">
        <f t="shared" si="23"/>
        <v>506</v>
      </c>
      <c r="C509" s="8">
        <f t="shared" si="24"/>
        <v>6</v>
      </c>
      <c r="D509" s="8">
        <f t="shared" si="25"/>
        <v>59</v>
      </c>
      <c r="E509" s="8">
        <f>IFERROR(VLOOKUP(D509,$H$4:$I$70,2,0),"")</f>
        <v>204</v>
      </c>
      <c r="F509" s="9">
        <f>IFERROR(VLOOKUP(C509,$H$4:$I$70,2,0),"")</f>
        <v>655</v>
      </c>
    </row>
    <row r="510" spans="2:6" x14ac:dyDescent="0.2">
      <c r="B510" s="13">
        <f t="shared" si="23"/>
        <v>507</v>
      </c>
      <c r="C510" s="8">
        <f t="shared" si="24"/>
        <v>7</v>
      </c>
      <c r="D510" s="8">
        <f t="shared" si="25"/>
        <v>59</v>
      </c>
      <c r="E510" s="8">
        <f>IFERROR(VLOOKUP(D510,$H$4:$I$70,2,0),"")</f>
        <v>204</v>
      </c>
      <c r="F510" s="9">
        <f>IFERROR(VLOOKUP(C510,$H$4:$I$70,2,0),"")</f>
        <v>652</v>
      </c>
    </row>
    <row r="511" spans="2:6" x14ac:dyDescent="0.2">
      <c r="B511" s="13">
        <f t="shared" si="23"/>
        <v>508</v>
      </c>
      <c r="C511" s="8">
        <f t="shared" si="24"/>
        <v>8</v>
      </c>
      <c r="D511" s="8">
        <f t="shared" si="25"/>
        <v>59</v>
      </c>
      <c r="E511" s="8">
        <f>IFERROR(VLOOKUP(D511,$H$4:$I$70,2,0),"")</f>
        <v>204</v>
      </c>
      <c r="F511" s="9">
        <f>IFERROR(VLOOKUP(C511,$H$4:$I$70,2,0),"")</f>
        <v>633</v>
      </c>
    </row>
    <row r="512" spans="2:6" x14ac:dyDescent="0.2">
      <c r="B512" s="13">
        <f t="shared" si="23"/>
        <v>509</v>
      </c>
      <c r="C512" s="8">
        <f t="shared" si="24"/>
        <v>9</v>
      </c>
      <c r="D512" s="8">
        <f t="shared" si="25"/>
        <v>59</v>
      </c>
      <c r="E512" s="8">
        <f>IFERROR(VLOOKUP(D512,$H$4:$I$70,2,0),"")</f>
        <v>204</v>
      </c>
      <c r="F512" s="9">
        <f>IFERROR(VLOOKUP(C512,$H$4:$I$70,2,0),"")</f>
        <v>632</v>
      </c>
    </row>
    <row r="513" spans="2:6" x14ac:dyDescent="0.2">
      <c r="B513" s="13">
        <f t="shared" si="23"/>
        <v>510</v>
      </c>
      <c r="C513" s="8">
        <f t="shared" si="24"/>
        <v>10</v>
      </c>
      <c r="D513" s="8">
        <f t="shared" si="25"/>
        <v>59</v>
      </c>
      <c r="E513" s="8">
        <f>IFERROR(VLOOKUP(D513,$H$4:$I$70,2,0),"")</f>
        <v>204</v>
      </c>
      <c r="F513" s="9">
        <f>IFERROR(VLOOKUP(C513,$H$4:$I$70,2,0),"")</f>
        <v>625</v>
      </c>
    </row>
    <row r="514" spans="2:6" x14ac:dyDescent="0.2">
      <c r="B514" s="13">
        <f t="shared" si="23"/>
        <v>511</v>
      </c>
      <c r="C514" s="8">
        <f t="shared" si="24"/>
        <v>11</v>
      </c>
      <c r="D514" s="8">
        <f t="shared" si="25"/>
        <v>59</v>
      </c>
      <c r="E514" s="8">
        <f>IFERROR(VLOOKUP(D514,$H$4:$I$70,2,0),"")</f>
        <v>204</v>
      </c>
      <c r="F514" s="9">
        <f>IFERROR(VLOOKUP(C514,$H$4:$I$70,2,0),"")</f>
        <v>619</v>
      </c>
    </row>
    <row r="515" spans="2:6" x14ac:dyDescent="0.2">
      <c r="B515" s="13">
        <f t="shared" si="23"/>
        <v>512</v>
      </c>
      <c r="C515" s="8">
        <f t="shared" si="24"/>
        <v>12</v>
      </c>
      <c r="D515" s="8">
        <f t="shared" si="25"/>
        <v>59</v>
      </c>
      <c r="E515" s="8">
        <f>IFERROR(VLOOKUP(D515,$H$4:$I$70,2,0),"")</f>
        <v>204</v>
      </c>
      <c r="F515" s="9">
        <f>IFERROR(VLOOKUP(C515,$H$4:$I$70,2,0),"")</f>
        <v>610</v>
      </c>
    </row>
    <row r="516" spans="2:6" x14ac:dyDescent="0.2">
      <c r="B516" s="13">
        <f t="shared" si="23"/>
        <v>513</v>
      </c>
      <c r="C516" s="8">
        <f t="shared" si="24"/>
        <v>13</v>
      </c>
      <c r="D516" s="8">
        <f t="shared" si="25"/>
        <v>59</v>
      </c>
      <c r="E516" s="8">
        <f>IFERROR(VLOOKUP(D516,$H$4:$I$70,2,0),"")</f>
        <v>204</v>
      </c>
      <c r="F516" s="9">
        <f>IFERROR(VLOOKUP(C516,$H$4:$I$70,2,0),"")</f>
        <v>599</v>
      </c>
    </row>
    <row r="517" spans="2:6" x14ac:dyDescent="0.2">
      <c r="B517" s="13">
        <f t="shared" ref="B517:B580" si="26">ROW()-3</f>
        <v>514</v>
      </c>
      <c r="C517" s="8">
        <f t="shared" si="24"/>
        <v>14</v>
      </c>
      <c r="D517" s="8">
        <f t="shared" si="25"/>
        <v>59</v>
      </c>
      <c r="E517" s="8">
        <f>IFERROR(VLOOKUP(D517,$H$4:$I$70,2,0),"")</f>
        <v>204</v>
      </c>
      <c r="F517" s="9">
        <f>IFERROR(VLOOKUP(C517,$H$4:$I$70,2,0),"")</f>
        <v>559</v>
      </c>
    </row>
    <row r="518" spans="2:6" x14ac:dyDescent="0.2">
      <c r="B518" s="13">
        <f t="shared" si="26"/>
        <v>515</v>
      </c>
      <c r="C518" s="8">
        <f t="shared" ref="C518:C581" si="27">IF((D517-C517)=1,1,C517+1)</f>
        <v>15</v>
      </c>
      <c r="D518" s="8">
        <f t="shared" ref="D518:D581" si="28">IF((D517-C517)=1,D517-1,D517)</f>
        <v>59</v>
      </c>
      <c r="E518" s="8">
        <f>IFERROR(VLOOKUP(D518,$H$4:$I$70,2,0),"")</f>
        <v>204</v>
      </c>
      <c r="F518" s="9">
        <f>IFERROR(VLOOKUP(C518,$H$4:$I$70,2,0),"")</f>
        <v>556</v>
      </c>
    </row>
    <row r="519" spans="2:6" x14ac:dyDescent="0.2">
      <c r="B519" s="13">
        <f t="shared" si="26"/>
        <v>516</v>
      </c>
      <c r="C519" s="8">
        <f t="shared" si="27"/>
        <v>16</v>
      </c>
      <c r="D519" s="8">
        <f t="shared" si="28"/>
        <v>59</v>
      </c>
      <c r="E519" s="8">
        <f>IFERROR(VLOOKUP(D519,$H$4:$I$70,2,0),"")</f>
        <v>204</v>
      </c>
      <c r="F519" s="9">
        <f>IFERROR(VLOOKUP(C519,$H$4:$I$70,2,0),"")</f>
        <v>540</v>
      </c>
    </row>
    <row r="520" spans="2:6" x14ac:dyDescent="0.2">
      <c r="B520" s="13">
        <f t="shared" si="26"/>
        <v>517</v>
      </c>
      <c r="C520" s="8">
        <f t="shared" si="27"/>
        <v>17</v>
      </c>
      <c r="D520" s="8">
        <f t="shared" si="28"/>
        <v>59</v>
      </c>
      <c r="E520" s="8">
        <f>IFERROR(VLOOKUP(D520,$H$4:$I$70,2,0),"")</f>
        <v>204</v>
      </c>
      <c r="F520" s="9">
        <f>IFERROR(VLOOKUP(C520,$H$4:$I$70,2,0),"")</f>
        <v>536</v>
      </c>
    </row>
    <row r="521" spans="2:6" x14ac:dyDescent="0.2">
      <c r="B521" s="13">
        <f t="shared" si="26"/>
        <v>518</v>
      </c>
      <c r="C521" s="8">
        <f t="shared" si="27"/>
        <v>18</v>
      </c>
      <c r="D521" s="8">
        <f t="shared" si="28"/>
        <v>59</v>
      </c>
      <c r="E521" s="8">
        <f>IFERROR(VLOOKUP(D521,$H$4:$I$70,2,0),"")</f>
        <v>204</v>
      </c>
      <c r="F521" s="9">
        <f>IFERROR(VLOOKUP(C521,$H$4:$I$70,2,0),"")</f>
        <v>527</v>
      </c>
    </row>
    <row r="522" spans="2:6" x14ac:dyDescent="0.2">
      <c r="B522" s="13">
        <f t="shared" si="26"/>
        <v>519</v>
      </c>
      <c r="C522" s="8">
        <f t="shared" si="27"/>
        <v>19</v>
      </c>
      <c r="D522" s="8">
        <f t="shared" si="28"/>
        <v>59</v>
      </c>
      <c r="E522" s="8">
        <f>IFERROR(VLOOKUP(D522,$H$4:$I$70,2,0),"")</f>
        <v>204</v>
      </c>
      <c r="F522" s="9">
        <f>IFERROR(VLOOKUP(C522,$H$4:$I$70,2,0),"")</f>
        <v>478</v>
      </c>
    </row>
    <row r="523" spans="2:6" x14ac:dyDescent="0.2">
      <c r="B523" s="13">
        <f t="shared" si="26"/>
        <v>520</v>
      </c>
      <c r="C523" s="8">
        <f t="shared" si="27"/>
        <v>20</v>
      </c>
      <c r="D523" s="8">
        <f t="shared" si="28"/>
        <v>59</v>
      </c>
      <c r="E523" s="8">
        <f>IFERROR(VLOOKUP(D523,$H$4:$I$70,2,0),"")</f>
        <v>204</v>
      </c>
      <c r="F523" s="9">
        <f>IFERROR(VLOOKUP(C523,$H$4:$I$70,2,0),"")</f>
        <v>474</v>
      </c>
    </row>
    <row r="524" spans="2:6" x14ac:dyDescent="0.2">
      <c r="B524" s="13">
        <f t="shared" si="26"/>
        <v>521</v>
      </c>
      <c r="C524" s="8">
        <f t="shared" si="27"/>
        <v>21</v>
      </c>
      <c r="D524" s="8">
        <f t="shared" si="28"/>
        <v>59</v>
      </c>
      <c r="E524" s="8">
        <f>IFERROR(VLOOKUP(D524,$H$4:$I$70,2,0),"")</f>
        <v>204</v>
      </c>
      <c r="F524" s="9">
        <f>IFERROR(VLOOKUP(C524,$H$4:$I$70,2,0),"")</f>
        <v>468</v>
      </c>
    </row>
    <row r="525" spans="2:6" x14ac:dyDescent="0.2">
      <c r="B525" s="13">
        <f t="shared" si="26"/>
        <v>522</v>
      </c>
      <c r="C525" s="8">
        <f t="shared" si="27"/>
        <v>22</v>
      </c>
      <c r="D525" s="8">
        <f t="shared" si="28"/>
        <v>59</v>
      </c>
      <c r="E525" s="8">
        <f>IFERROR(VLOOKUP(D525,$H$4:$I$70,2,0),"")</f>
        <v>204</v>
      </c>
      <c r="F525" s="9">
        <f>IFERROR(VLOOKUP(C525,$H$4:$I$70,2,0),"")</f>
        <v>457</v>
      </c>
    </row>
    <row r="526" spans="2:6" x14ac:dyDescent="0.2">
      <c r="B526" s="13">
        <f t="shared" si="26"/>
        <v>523</v>
      </c>
      <c r="C526" s="8">
        <f t="shared" si="27"/>
        <v>23</v>
      </c>
      <c r="D526" s="8">
        <f t="shared" si="28"/>
        <v>59</v>
      </c>
      <c r="E526" s="8">
        <f>IFERROR(VLOOKUP(D526,$H$4:$I$70,2,0),"")</f>
        <v>204</v>
      </c>
      <c r="F526" s="9">
        <f>IFERROR(VLOOKUP(C526,$H$4:$I$70,2,0),"")</f>
        <v>452</v>
      </c>
    </row>
    <row r="527" spans="2:6" x14ac:dyDescent="0.2">
      <c r="B527" s="13">
        <f t="shared" si="26"/>
        <v>524</v>
      </c>
      <c r="C527" s="8">
        <f t="shared" si="27"/>
        <v>24</v>
      </c>
      <c r="D527" s="8">
        <f t="shared" si="28"/>
        <v>59</v>
      </c>
      <c r="E527" s="8">
        <f>IFERROR(VLOOKUP(D527,$H$4:$I$70,2,0),"")</f>
        <v>204</v>
      </c>
      <c r="F527" s="9">
        <f>IFERROR(VLOOKUP(C527,$H$4:$I$70,2,0),"")</f>
        <v>442</v>
      </c>
    </row>
    <row r="528" spans="2:6" x14ac:dyDescent="0.2">
      <c r="B528" s="13">
        <f t="shared" si="26"/>
        <v>525</v>
      </c>
      <c r="C528" s="8">
        <f t="shared" si="27"/>
        <v>25</v>
      </c>
      <c r="D528" s="8">
        <f t="shared" si="28"/>
        <v>59</v>
      </c>
      <c r="E528" s="8">
        <f>IFERROR(VLOOKUP(D528,$H$4:$I$70,2,0),"")</f>
        <v>204</v>
      </c>
      <c r="F528" s="9">
        <f>IFERROR(VLOOKUP(C528,$H$4:$I$70,2,0),"")</f>
        <v>420</v>
      </c>
    </row>
    <row r="529" spans="2:6" x14ac:dyDescent="0.2">
      <c r="B529" s="13">
        <f t="shared" si="26"/>
        <v>526</v>
      </c>
      <c r="C529" s="8">
        <f t="shared" si="27"/>
        <v>26</v>
      </c>
      <c r="D529" s="8">
        <f t="shared" si="28"/>
        <v>59</v>
      </c>
      <c r="E529" s="8">
        <f>IFERROR(VLOOKUP(D529,$H$4:$I$70,2,0),"")</f>
        <v>204</v>
      </c>
      <c r="F529" s="9">
        <f>IFERROR(VLOOKUP(C529,$H$4:$I$70,2,0),"")</f>
        <v>410</v>
      </c>
    </row>
    <row r="530" spans="2:6" x14ac:dyDescent="0.2">
      <c r="B530" s="13">
        <f t="shared" si="26"/>
        <v>527</v>
      </c>
      <c r="C530" s="8">
        <f t="shared" si="27"/>
        <v>27</v>
      </c>
      <c r="D530" s="8">
        <f t="shared" si="28"/>
        <v>59</v>
      </c>
      <c r="E530" s="8">
        <f>IFERROR(VLOOKUP(D530,$H$4:$I$70,2,0),"")</f>
        <v>204</v>
      </c>
      <c r="F530" s="9">
        <f>IFERROR(VLOOKUP(C530,$H$4:$I$70,2,0),"")</f>
        <v>409</v>
      </c>
    </row>
    <row r="531" spans="2:6" x14ac:dyDescent="0.2">
      <c r="B531" s="13">
        <f t="shared" si="26"/>
        <v>528</v>
      </c>
      <c r="C531" s="8">
        <f t="shared" si="27"/>
        <v>28</v>
      </c>
      <c r="D531" s="8">
        <f t="shared" si="28"/>
        <v>59</v>
      </c>
      <c r="E531" s="8">
        <f>IFERROR(VLOOKUP(D531,$H$4:$I$70,2,0),"")</f>
        <v>204</v>
      </c>
      <c r="F531" s="9">
        <f>IFERROR(VLOOKUP(C531,$H$4:$I$70,2,0),"")</f>
        <v>408</v>
      </c>
    </row>
    <row r="532" spans="2:6" x14ac:dyDescent="0.2">
      <c r="B532" s="13">
        <f t="shared" si="26"/>
        <v>529</v>
      </c>
      <c r="C532" s="8">
        <f t="shared" si="27"/>
        <v>29</v>
      </c>
      <c r="D532" s="8">
        <f t="shared" si="28"/>
        <v>59</v>
      </c>
      <c r="E532" s="8">
        <f>IFERROR(VLOOKUP(D532,$H$4:$I$70,2,0),"")</f>
        <v>204</v>
      </c>
      <c r="F532" s="9">
        <f>IFERROR(VLOOKUP(C532,$H$4:$I$70,2,0),"")</f>
        <v>404</v>
      </c>
    </row>
    <row r="533" spans="2:6" x14ac:dyDescent="0.2">
      <c r="B533" s="13">
        <f t="shared" si="26"/>
        <v>530</v>
      </c>
      <c r="C533" s="8">
        <f t="shared" si="27"/>
        <v>30</v>
      </c>
      <c r="D533" s="8">
        <f t="shared" si="28"/>
        <v>59</v>
      </c>
      <c r="E533" s="8">
        <f>IFERROR(VLOOKUP(D533,$H$4:$I$70,2,0),"")</f>
        <v>204</v>
      </c>
      <c r="F533" s="9">
        <f>IFERROR(VLOOKUP(C533,$H$4:$I$70,2,0),"")</f>
        <v>399</v>
      </c>
    </row>
    <row r="534" spans="2:6" x14ac:dyDescent="0.2">
      <c r="B534" s="13">
        <f t="shared" si="26"/>
        <v>531</v>
      </c>
      <c r="C534" s="8">
        <f t="shared" si="27"/>
        <v>31</v>
      </c>
      <c r="D534" s="8">
        <f t="shared" si="28"/>
        <v>59</v>
      </c>
      <c r="E534" s="8">
        <f>IFERROR(VLOOKUP(D534,$H$4:$I$70,2,0),"")</f>
        <v>204</v>
      </c>
      <c r="F534" s="9">
        <f>IFERROR(VLOOKUP(C534,$H$4:$I$70,2,0),"")</f>
        <v>396</v>
      </c>
    </row>
    <row r="535" spans="2:6" x14ac:dyDescent="0.2">
      <c r="B535" s="13">
        <f t="shared" si="26"/>
        <v>532</v>
      </c>
      <c r="C535" s="8">
        <f t="shared" si="27"/>
        <v>32</v>
      </c>
      <c r="D535" s="8">
        <f t="shared" si="28"/>
        <v>59</v>
      </c>
      <c r="E535" s="8">
        <f>IFERROR(VLOOKUP(D535,$H$4:$I$70,2,0),"")</f>
        <v>204</v>
      </c>
      <c r="F535" s="9">
        <f>IFERROR(VLOOKUP(C535,$H$4:$I$70,2,0),"")</f>
        <v>384</v>
      </c>
    </row>
    <row r="536" spans="2:6" x14ac:dyDescent="0.2">
      <c r="B536" s="13">
        <f t="shared" si="26"/>
        <v>533</v>
      </c>
      <c r="C536" s="8">
        <f t="shared" si="27"/>
        <v>33</v>
      </c>
      <c r="D536" s="8">
        <f t="shared" si="28"/>
        <v>59</v>
      </c>
      <c r="E536" s="8">
        <f>IFERROR(VLOOKUP(D536,$H$4:$I$70,2,0),"")</f>
        <v>204</v>
      </c>
      <c r="F536" s="9">
        <f>IFERROR(VLOOKUP(C536,$H$4:$I$70,2,0),"")</f>
        <v>381</v>
      </c>
    </row>
    <row r="537" spans="2:6" x14ac:dyDescent="0.2">
      <c r="B537" s="13">
        <f t="shared" si="26"/>
        <v>534</v>
      </c>
      <c r="C537" s="8">
        <f t="shared" si="27"/>
        <v>34</v>
      </c>
      <c r="D537" s="8">
        <f t="shared" si="28"/>
        <v>59</v>
      </c>
      <c r="E537" s="8">
        <f>IFERROR(VLOOKUP(D537,$H$4:$I$70,2,0),"")</f>
        <v>204</v>
      </c>
      <c r="F537" s="9">
        <f>IFERROR(VLOOKUP(C537,$H$4:$I$70,2,0),"")</f>
        <v>376</v>
      </c>
    </row>
    <row r="538" spans="2:6" x14ac:dyDescent="0.2">
      <c r="B538" s="13">
        <f t="shared" si="26"/>
        <v>535</v>
      </c>
      <c r="C538" s="8">
        <f t="shared" si="27"/>
        <v>35</v>
      </c>
      <c r="D538" s="8">
        <f t="shared" si="28"/>
        <v>59</v>
      </c>
      <c r="E538" s="8">
        <f>IFERROR(VLOOKUP(D538,$H$4:$I$70,2,0),"")</f>
        <v>204</v>
      </c>
      <c r="F538" s="9">
        <f>IFERROR(VLOOKUP(C538,$H$4:$I$70,2,0),"")</f>
        <v>370</v>
      </c>
    </row>
    <row r="539" spans="2:6" x14ac:dyDescent="0.2">
      <c r="B539" s="13">
        <f t="shared" si="26"/>
        <v>536</v>
      </c>
      <c r="C539" s="8">
        <f t="shared" si="27"/>
        <v>36</v>
      </c>
      <c r="D539" s="8">
        <f t="shared" si="28"/>
        <v>59</v>
      </c>
      <c r="E539" s="8">
        <f>IFERROR(VLOOKUP(D539,$H$4:$I$70,2,0),"")</f>
        <v>204</v>
      </c>
      <c r="F539" s="9">
        <f>IFERROR(VLOOKUP(C539,$H$4:$I$70,2,0),"")</f>
        <v>362</v>
      </c>
    </row>
    <row r="540" spans="2:6" x14ac:dyDescent="0.2">
      <c r="B540" s="13">
        <f t="shared" si="26"/>
        <v>537</v>
      </c>
      <c r="C540" s="8">
        <f t="shared" si="27"/>
        <v>37</v>
      </c>
      <c r="D540" s="8">
        <f t="shared" si="28"/>
        <v>59</v>
      </c>
      <c r="E540" s="8">
        <f>IFERROR(VLOOKUP(D540,$H$4:$I$70,2,0),"")</f>
        <v>204</v>
      </c>
      <c r="F540" s="9">
        <f>IFERROR(VLOOKUP(C540,$H$4:$I$70,2,0),"")</f>
        <v>357</v>
      </c>
    </row>
    <row r="541" spans="2:6" x14ac:dyDescent="0.2">
      <c r="B541" s="13">
        <f t="shared" si="26"/>
        <v>538</v>
      </c>
      <c r="C541" s="8">
        <f t="shared" si="27"/>
        <v>38</v>
      </c>
      <c r="D541" s="8">
        <f t="shared" si="28"/>
        <v>59</v>
      </c>
      <c r="E541" s="8">
        <f>IFERROR(VLOOKUP(D541,$H$4:$I$70,2,0),"")</f>
        <v>204</v>
      </c>
      <c r="F541" s="9">
        <f>IFERROR(VLOOKUP(C541,$H$4:$I$70,2,0),"")</f>
        <v>351</v>
      </c>
    </row>
    <row r="542" spans="2:6" x14ac:dyDescent="0.2">
      <c r="B542" s="13">
        <f t="shared" si="26"/>
        <v>539</v>
      </c>
      <c r="C542" s="8">
        <f t="shared" si="27"/>
        <v>39</v>
      </c>
      <c r="D542" s="8">
        <f t="shared" si="28"/>
        <v>59</v>
      </c>
      <c r="E542" s="8">
        <f>IFERROR(VLOOKUP(D542,$H$4:$I$70,2,0),"")</f>
        <v>204</v>
      </c>
      <c r="F542" s="9">
        <f>IFERROR(VLOOKUP(C542,$H$4:$I$70,2,0),"")</f>
        <v>339</v>
      </c>
    </row>
    <row r="543" spans="2:6" x14ac:dyDescent="0.2">
      <c r="B543" s="13">
        <f t="shared" si="26"/>
        <v>540</v>
      </c>
      <c r="C543" s="8">
        <f t="shared" si="27"/>
        <v>40</v>
      </c>
      <c r="D543" s="8">
        <f t="shared" si="28"/>
        <v>59</v>
      </c>
      <c r="E543" s="8">
        <f>IFERROR(VLOOKUP(D543,$H$4:$I$70,2,0),"")</f>
        <v>204</v>
      </c>
      <c r="F543" s="9">
        <f>IFERROR(VLOOKUP(C543,$H$4:$I$70,2,0),"")</f>
        <v>304</v>
      </c>
    </row>
    <row r="544" spans="2:6" x14ac:dyDescent="0.2">
      <c r="B544" s="13">
        <f t="shared" si="26"/>
        <v>541</v>
      </c>
      <c r="C544" s="8">
        <f t="shared" si="27"/>
        <v>41</v>
      </c>
      <c r="D544" s="8">
        <f t="shared" si="28"/>
        <v>59</v>
      </c>
      <c r="E544" s="8">
        <f>IFERROR(VLOOKUP(D544,$H$4:$I$70,2,0),"")</f>
        <v>204</v>
      </c>
      <c r="F544" s="9">
        <f>IFERROR(VLOOKUP(C544,$H$4:$I$70,2,0),"")</f>
        <v>301</v>
      </c>
    </row>
    <row r="545" spans="2:6" x14ac:dyDescent="0.2">
      <c r="B545" s="13">
        <f t="shared" si="26"/>
        <v>542</v>
      </c>
      <c r="C545" s="8">
        <f t="shared" si="27"/>
        <v>42</v>
      </c>
      <c r="D545" s="8">
        <f t="shared" si="28"/>
        <v>59</v>
      </c>
      <c r="E545" s="8">
        <f>IFERROR(VLOOKUP(D545,$H$4:$I$70,2,0),"")</f>
        <v>204</v>
      </c>
      <c r="F545" s="9">
        <f>IFERROR(VLOOKUP(C545,$H$4:$I$70,2,0),"")</f>
        <v>300</v>
      </c>
    </row>
    <row r="546" spans="2:6" x14ac:dyDescent="0.2">
      <c r="B546" s="13">
        <f t="shared" si="26"/>
        <v>543</v>
      </c>
      <c r="C546" s="8">
        <f t="shared" si="27"/>
        <v>43</v>
      </c>
      <c r="D546" s="8">
        <f t="shared" si="28"/>
        <v>59</v>
      </c>
      <c r="E546" s="8">
        <f>IFERROR(VLOOKUP(D546,$H$4:$I$70,2,0),"")</f>
        <v>204</v>
      </c>
      <c r="F546" s="9">
        <f>IFERROR(VLOOKUP(C546,$H$4:$I$70,2,0),"")</f>
        <v>288</v>
      </c>
    </row>
    <row r="547" spans="2:6" x14ac:dyDescent="0.2">
      <c r="B547" s="13">
        <f t="shared" si="26"/>
        <v>544</v>
      </c>
      <c r="C547" s="8">
        <f t="shared" si="27"/>
        <v>44</v>
      </c>
      <c r="D547" s="8">
        <f t="shared" si="28"/>
        <v>59</v>
      </c>
      <c r="E547" s="8">
        <f>IFERROR(VLOOKUP(D547,$H$4:$I$70,2,0),"")</f>
        <v>204</v>
      </c>
      <c r="F547" s="9">
        <f>IFERROR(VLOOKUP(C547,$H$4:$I$70,2,0),"")</f>
        <v>273</v>
      </c>
    </row>
    <row r="548" spans="2:6" x14ac:dyDescent="0.2">
      <c r="B548" s="13">
        <f t="shared" si="26"/>
        <v>545</v>
      </c>
      <c r="C548" s="8">
        <f t="shared" si="27"/>
        <v>45</v>
      </c>
      <c r="D548" s="8">
        <f t="shared" si="28"/>
        <v>59</v>
      </c>
      <c r="E548" s="8">
        <f>IFERROR(VLOOKUP(D548,$H$4:$I$70,2,0),"")</f>
        <v>204</v>
      </c>
      <c r="F548" s="9">
        <f>IFERROR(VLOOKUP(C548,$H$4:$I$70,2,0),"")</f>
        <v>268</v>
      </c>
    </row>
    <row r="549" spans="2:6" x14ac:dyDescent="0.2">
      <c r="B549" s="13">
        <f t="shared" si="26"/>
        <v>546</v>
      </c>
      <c r="C549" s="8">
        <f t="shared" si="27"/>
        <v>46</v>
      </c>
      <c r="D549" s="8">
        <f t="shared" si="28"/>
        <v>59</v>
      </c>
      <c r="E549" s="8">
        <f>IFERROR(VLOOKUP(D549,$H$4:$I$70,2,0),"")</f>
        <v>204</v>
      </c>
      <c r="F549" s="9">
        <f>IFERROR(VLOOKUP(C549,$H$4:$I$70,2,0),"")</f>
        <v>262</v>
      </c>
    </row>
    <row r="550" spans="2:6" x14ac:dyDescent="0.2">
      <c r="B550" s="13">
        <f t="shared" si="26"/>
        <v>547</v>
      </c>
      <c r="C550" s="8">
        <f t="shared" si="27"/>
        <v>47</v>
      </c>
      <c r="D550" s="8">
        <f t="shared" si="28"/>
        <v>59</v>
      </c>
      <c r="E550" s="8">
        <f>IFERROR(VLOOKUP(D550,$H$4:$I$70,2,0),"")</f>
        <v>204</v>
      </c>
      <c r="F550" s="9">
        <f>IFERROR(VLOOKUP(C550,$H$4:$I$70,2,0),"")</f>
        <v>248</v>
      </c>
    </row>
    <row r="551" spans="2:6" x14ac:dyDescent="0.2">
      <c r="B551" s="13">
        <f t="shared" si="26"/>
        <v>548</v>
      </c>
      <c r="C551" s="8">
        <f t="shared" si="27"/>
        <v>48</v>
      </c>
      <c r="D551" s="8">
        <f t="shared" si="28"/>
        <v>59</v>
      </c>
      <c r="E551" s="8">
        <f>IFERROR(VLOOKUP(D551,$H$4:$I$70,2,0),"")</f>
        <v>204</v>
      </c>
      <c r="F551" s="9">
        <f>IFERROR(VLOOKUP(C551,$H$4:$I$70,2,0),"")</f>
        <v>246</v>
      </c>
    </row>
    <row r="552" spans="2:6" x14ac:dyDescent="0.2">
      <c r="B552" s="13">
        <f t="shared" si="26"/>
        <v>549</v>
      </c>
      <c r="C552" s="8">
        <f t="shared" si="27"/>
        <v>49</v>
      </c>
      <c r="D552" s="8">
        <f t="shared" si="28"/>
        <v>59</v>
      </c>
      <c r="E552" s="8">
        <f>IFERROR(VLOOKUP(D552,$H$4:$I$70,2,0),"")</f>
        <v>204</v>
      </c>
      <c r="F552" s="9">
        <f>IFERROR(VLOOKUP(C552,$H$4:$I$70,2,0),"")</f>
        <v>236</v>
      </c>
    </row>
    <row r="553" spans="2:6" x14ac:dyDescent="0.2">
      <c r="B553" s="13">
        <f t="shared" si="26"/>
        <v>550</v>
      </c>
      <c r="C553" s="8">
        <f t="shared" si="27"/>
        <v>50</v>
      </c>
      <c r="D553" s="8">
        <f t="shared" si="28"/>
        <v>59</v>
      </c>
      <c r="E553" s="8">
        <f>IFERROR(VLOOKUP(D553,$H$4:$I$70,2,0),"")</f>
        <v>204</v>
      </c>
      <c r="F553" s="9">
        <f>IFERROR(VLOOKUP(C553,$H$4:$I$70,2,0),"")</f>
        <v>231</v>
      </c>
    </row>
    <row r="554" spans="2:6" x14ac:dyDescent="0.2">
      <c r="B554" s="13">
        <f t="shared" si="26"/>
        <v>551</v>
      </c>
      <c r="C554" s="8">
        <f t="shared" si="27"/>
        <v>51</v>
      </c>
      <c r="D554" s="8">
        <f t="shared" si="28"/>
        <v>59</v>
      </c>
      <c r="E554" s="8">
        <f>IFERROR(VLOOKUP(D554,$H$4:$I$70,2,0),"")</f>
        <v>204</v>
      </c>
      <c r="F554" s="9">
        <f>IFERROR(VLOOKUP(C554,$H$4:$I$70,2,0),"")</f>
        <v>227</v>
      </c>
    </row>
    <row r="555" spans="2:6" x14ac:dyDescent="0.2">
      <c r="B555" s="13">
        <f t="shared" si="26"/>
        <v>552</v>
      </c>
      <c r="C555" s="8">
        <f t="shared" si="27"/>
        <v>52</v>
      </c>
      <c r="D555" s="8">
        <f t="shared" si="28"/>
        <v>59</v>
      </c>
      <c r="E555" s="8">
        <f>IFERROR(VLOOKUP(D555,$H$4:$I$70,2,0),"")</f>
        <v>204</v>
      </c>
      <c r="F555" s="9">
        <f>IFERROR(VLOOKUP(C555,$H$4:$I$70,2,0),"")</f>
        <v>224</v>
      </c>
    </row>
    <row r="556" spans="2:6" x14ac:dyDescent="0.2">
      <c r="B556" s="13">
        <f t="shared" si="26"/>
        <v>553</v>
      </c>
      <c r="C556" s="8">
        <f t="shared" si="27"/>
        <v>53</v>
      </c>
      <c r="D556" s="8">
        <f t="shared" si="28"/>
        <v>59</v>
      </c>
      <c r="E556" s="8">
        <f>IFERROR(VLOOKUP(D556,$H$4:$I$70,2,0),"")</f>
        <v>204</v>
      </c>
      <c r="F556" s="9">
        <f>IFERROR(VLOOKUP(C556,$H$4:$I$70,2,0),"")</f>
        <v>217</v>
      </c>
    </row>
    <row r="557" spans="2:6" x14ac:dyDescent="0.2">
      <c r="B557" s="13">
        <f t="shared" si="26"/>
        <v>554</v>
      </c>
      <c r="C557" s="8">
        <f t="shared" si="27"/>
        <v>54</v>
      </c>
      <c r="D557" s="8">
        <f t="shared" si="28"/>
        <v>59</v>
      </c>
      <c r="E557" s="8">
        <f>IFERROR(VLOOKUP(D557,$H$4:$I$70,2,0),"")</f>
        <v>204</v>
      </c>
      <c r="F557" s="9">
        <f>IFERROR(VLOOKUP(C557,$H$4:$I$70,2,0),"")</f>
        <v>213</v>
      </c>
    </row>
    <row r="558" spans="2:6" x14ac:dyDescent="0.2">
      <c r="B558" s="13">
        <f t="shared" si="26"/>
        <v>555</v>
      </c>
      <c r="C558" s="8">
        <f t="shared" si="27"/>
        <v>55</v>
      </c>
      <c r="D558" s="8">
        <f t="shared" si="28"/>
        <v>59</v>
      </c>
      <c r="E558" s="8">
        <f>IFERROR(VLOOKUP(D558,$H$4:$I$70,2,0),"")</f>
        <v>204</v>
      </c>
      <c r="F558" s="9">
        <f>IFERROR(VLOOKUP(C558,$H$4:$I$70,2,0),"")</f>
        <v>212</v>
      </c>
    </row>
    <row r="559" spans="2:6" x14ac:dyDescent="0.2">
      <c r="B559" s="13">
        <f t="shared" si="26"/>
        <v>556</v>
      </c>
      <c r="C559" s="8">
        <f t="shared" si="27"/>
        <v>56</v>
      </c>
      <c r="D559" s="8">
        <f t="shared" si="28"/>
        <v>59</v>
      </c>
      <c r="E559" s="8">
        <f>IFERROR(VLOOKUP(D559,$H$4:$I$70,2,0),"")</f>
        <v>204</v>
      </c>
      <c r="F559" s="9">
        <f>IFERROR(VLOOKUP(C559,$H$4:$I$70,2,0),"")</f>
        <v>211</v>
      </c>
    </row>
    <row r="560" spans="2:6" x14ac:dyDescent="0.2">
      <c r="B560" s="13">
        <f t="shared" si="26"/>
        <v>557</v>
      </c>
      <c r="C560" s="8">
        <f t="shared" si="27"/>
        <v>57</v>
      </c>
      <c r="D560" s="8">
        <f t="shared" si="28"/>
        <v>59</v>
      </c>
      <c r="E560" s="8">
        <f>IFERROR(VLOOKUP(D560,$H$4:$I$70,2,0),"")</f>
        <v>204</v>
      </c>
      <c r="F560" s="9">
        <f>IFERROR(VLOOKUP(C560,$H$4:$I$70,2,0),"")</f>
        <v>209</v>
      </c>
    </row>
    <row r="561" spans="2:6" x14ac:dyDescent="0.2">
      <c r="B561" s="13">
        <f t="shared" si="26"/>
        <v>558</v>
      </c>
      <c r="C561" s="8">
        <f t="shared" si="27"/>
        <v>58</v>
      </c>
      <c r="D561" s="8">
        <f t="shared" si="28"/>
        <v>59</v>
      </c>
      <c r="E561" s="8">
        <f>IFERROR(VLOOKUP(D561,$H$4:$I$70,2,0),"")</f>
        <v>204</v>
      </c>
      <c r="F561" s="9">
        <f>IFERROR(VLOOKUP(C561,$H$4:$I$70,2,0),"")</f>
        <v>208</v>
      </c>
    </row>
    <row r="562" spans="2:6" x14ac:dyDescent="0.2">
      <c r="B562" s="13">
        <f t="shared" si="26"/>
        <v>559</v>
      </c>
      <c r="C562" s="8">
        <f t="shared" si="27"/>
        <v>1</v>
      </c>
      <c r="D562" s="8">
        <f t="shared" si="28"/>
        <v>58</v>
      </c>
      <c r="E562" s="8">
        <f>IFERROR(VLOOKUP(D562,$H$4:$I$70,2,0),"")</f>
        <v>208</v>
      </c>
      <c r="F562" s="9">
        <f>IFERROR(VLOOKUP(C562,$H$4:$I$70,2,0),"")</f>
        <v>1344</v>
      </c>
    </row>
    <row r="563" spans="2:6" x14ac:dyDescent="0.2">
      <c r="B563" s="13">
        <f t="shared" si="26"/>
        <v>560</v>
      </c>
      <c r="C563" s="8">
        <f t="shared" si="27"/>
        <v>2</v>
      </c>
      <c r="D563" s="8">
        <f t="shared" si="28"/>
        <v>58</v>
      </c>
      <c r="E563" s="8">
        <f>IFERROR(VLOOKUP(D563,$H$4:$I$70,2,0),"")</f>
        <v>208</v>
      </c>
      <c r="F563" s="9">
        <f>IFERROR(VLOOKUP(C563,$H$4:$I$70,2,0),"")</f>
        <v>1048</v>
      </c>
    </row>
    <row r="564" spans="2:6" x14ac:dyDescent="0.2">
      <c r="B564" s="13">
        <f t="shared" si="26"/>
        <v>561</v>
      </c>
      <c r="C564" s="8">
        <f t="shared" si="27"/>
        <v>3</v>
      </c>
      <c r="D564" s="8">
        <f t="shared" si="28"/>
        <v>58</v>
      </c>
      <c r="E564" s="8">
        <f>IFERROR(VLOOKUP(D564,$H$4:$I$70,2,0),"")</f>
        <v>208</v>
      </c>
      <c r="F564" s="9">
        <f>IFERROR(VLOOKUP(C564,$H$4:$I$70,2,0),"")</f>
        <v>1025</v>
      </c>
    </row>
    <row r="565" spans="2:6" x14ac:dyDescent="0.2">
      <c r="B565" s="13">
        <f t="shared" si="26"/>
        <v>562</v>
      </c>
      <c r="C565" s="8">
        <f t="shared" si="27"/>
        <v>4</v>
      </c>
      <c r="D565" s="8">
        <f t="shared" si="28"/>
        <v>58</v>
      </c>
      <c r="E565" s="8">
        <f>IFERROR(VLOOKUP(D565,$H$4:$I$70,2,0),"")</f>
        <v>208</v>
      </c>
      <c r="F565" s="9">
        <f>IFERROR(VLOOKUP(C565,$H$4:$I$70,2,0),"")</f>
        <v>805</v>
      </c>
    </row>
    <row r="566" spans="2:6" x14ac:dyDescent="0.2">
      <c r="B566" s="13">
        <f t="shared" si="26"/>
        <v>563</v>
      </c>
      <c r="C566" s="8">
        <f t="shared" si="27"/>
        <v>5</v>
      </c>
      <c r="D566" s="8">
        <f t="shared" si="28"/>
        <v>58</v>
      </c>
      <c r="E566" s="8">
        <f>IFERROR(VLOOKUP(D566,$H$4:$I$70,2,0),"")</f>
        <v>208</v>
      </c>
      <c r="F566" s="9">
        <f>IFERROR(VLOOKUP(C566,$H$4:$I$70,2,0),"")</f>
        <v>666</v>
      </c>
    </row>
    <row r="567" spans="2:6" x14ac:dyDescent="0.2">
      <c r="B567" s="13">
        <f t="shared" si="26"/>
        <v>564</v>
      </c>
      <c r="C567" s="8">
        <f t="shared" si="27"/>
        <v>6</v>
      </c>
      <c r="D567" s="8">
        <f t="shared" si="28"/>
        <v>58</v>
      </c>
      <c r="E567" s="8">
        <f>IFERROR(VLOOKUP(D567,$H$4:$I$70,2,0),"")</f>
        <v>208</v>
      </c>
      <c r="F567" s="9">
        <f>IFERROR(VLOOKUP(C567,$H$4:$I$70,2,0),"")</f>
        <v>655</v>
      </c>
    </row>
    <row r="568" spans="2:6" x14ac:dyDescent="0.2">
      <c r="B568" s="13">
        <f t="shared" si="26"/>
        <v>565</v>
      </c>
      <c r="C568" s="8">
        <f t="shared" si="27"/>
        <v>7</v>
      </c>
      <c r="D568" s="8">
        <f t="shared" si="28"/>
        <v>58</v>
      </c>
      <c r="E568" s="8">
        <f>IFERROR(VLOOKUP(D568,$H$4:$I$70,2,0),"")</f>
        <v>208</v>
      </c>
      <c r="F568" s="9">
        <f>IFERROR(VLOOKUP(C568,$H$4:$I$70,2,0),"")</f>
        <v>652</v>
      </c>
    </row>
    <row r="569" spans="2:6" x14ac:dyDescent="0.2">
      <c r="B569" s="13">
        <f t="shared" si="26"/>
        <v>566</v>
      </c>
      <c r="C569" s="8">
        <f t="shared" si="27"/>
        <v>8</v>
      </c>
      <c r="D569" s="8">
        <f t="shared" si="28"/>
        <v>58</v>
      </c>
      <c r="E569" s="8">
        <f>IFERROR(VLOOKUP(D569,$H$4:$I$70,2,0),"")</f>
        <v>208</v>
      </c>
      <c r="F569" s="9">
        <f>IFERROR(VLOOKUP(C569,$H$4:$I$70,2,0),"")</f>
        <v>633</v>
      </c>
    </row>
    <row r="570" spans="2:6" x14ac:dyDescent="0.2">
      <c r="B570" s="13">
        <f t="shared" si="26"/>
        <v>567</v>
      </c>
      <c r="C570" s="8">
        <f t="shared" si="27"/>
        <v>9</v>
      </c>
      <c r="D570" s="8">
        <f t="shared" si="28"/>
        <v>58</v>
      </c>
      <c r="E570" s="8">
        <f>IFERROR(VLOOKUP(D570,$H$4:$I$70,2,0),"")</f>
        <v>208</v>
      </c>
      <c r="F570" s="9">
        <f>IFERROR(VLOOKUP(C570,$H$4:$I$70,2,0),"")</f>
        <v>632</v>
      </c>
    </row>
    <row r="571" spans="2:6" x14ac:dyDescent="0.2">
      <c r="B571" s="13">
        <f t="shared" si="26"/>
        <v>568</v>
      </c>
      <c r="C571" s="8">
        <f t="shared" si="27"/>
        <v>10</v>
      </c>
      <c r="D571" s="8">
        <f t="shared" si="28"/>
        <v>58</v>
      </c>
      <c r="E571" s="8">
        <f>IFERROR(VLOOKUP(D571,$H$4:$I$70,2,0),"")</f>
        <v>208</v>
      </c>
      <c r="F571" s="9">
        <f>IFERROR(VLOOKUP(C571,$H$4:$I$70,2,0),"")</f>
        <v>625</v>
      </c>
    </row>
    <row r="572" spans="2:6" x14ac:dyDescent="0.2">
      <c r="B572" s="13">
        <f t="shared" si="26"/>
        <v>569</v>
      </c>
      <c r="C572" s="8">
        <f t="shared" si="27"/>
        <v>11</v>
      </c>
      <c r="D572" s="8">
        <f t="shared" si="28"/>
        <v>58</v>
      </c>
      <c r="E572" s="8">
        <f>IFERROR(VLOOKUP(D572,$H$4:$I$70,2,0),"")</f>
        <v>208</v>
      </c>
      <c r="F572" s="9">
        <f>IFERROR(VLOOKUP(C572,$H$4:$I$70,2,0),"")</f>
        <v>619</v>
      </c>
    </row>
    <row r="573" spans="2:6" x14ac:dyDescent="0.2">
      <c r="B573" s="13">
        <f t="shared" si="26"/>
        <v>570</v>
      </c>
      <c r="C573" s="8">
        <f t="shared" si="27"/>
        <v>12</v>
      </c>
      <c r="D573" s="8">
        <f t="shared" si="28"/>
        <v>58</v>
      </c>
      <c r="E573" s="8">
        <f>IFERROR(VLOOKUP(D573,$H$4:$I$70,2,0),"")</f>
        <v>208</v>
      </c>
      <c r="F573" s="9">
        <f>IFERROR(VLOOKUP(C573,$H$4:$I$70,2,0),"")</f>
        <v>610</v>
      </c>
    </row>
    <row r="574" spans="2:6" x14ac:dyDescent="0.2">
      <c r="B574" s="13">
        <f t="shared" si="26"/>
        <v>571</v>
      </c>
      <c r="C574" s="8">
        <f t="shared" si="27"/>
        <v>13</v>
      </c>
      <c r="D574" s="8">
        <f t="shared" si="28"/>
        <v>58</v>
      </c>
      <c r="E574" s="8">
        <f>IFERROR(VLOOKUP(D574,$H$4:$I$70,2,0),"")</f>
        <v>208</v>
      </c>
      <c r="F574" s="9">
        <f>IFERROR(VLOOKUP(C574,$H$4:$I$70,2,0),"")</f>
        <v>599</v>
      </c>
    </row>
    <row r="575" spans="2:6" x14ac:dyDescent="0.2">
      <c r="B575" s="13">
        <f t="shared" si="26"/>
        <v>572</v>
      </c>
      <c r="C575" s="8">
        <f t="shared" si="27"/>
        <v>14</v>
      </c>
      <c r="D575" s="8">
        <f t="shared" si="28"/>
        <v>58</v>
      </c>
      <c r="E575" s="8">
        <f>IFERROR(VLOOKUP(D575,$H$4:$I$70,2,0),"")</f>
        <v>208</v>
      </c>
      <c r="F575" s="9">
        <f>IFERROR(VLOOKUP(C575,$H$4:$I$70,2,0),"")</f>
        <v>559</v>
      </c>
    </row>
    <row r="576" spans="2:6" x14ac:dyDescent="0.2">
      <c r="B576" s="13">
        <f t="shared" si="26"/>
        <v>573</v>
      </c>
      <c r="C576" s="8">
        <f t="shared" si="27"/>
        <v>15</v>
      </c>
      <c r="D576" s="8">
        <f t="shared" si="28"/>
        <v>58</v>
      </c>
      <c r="E576" s="8">
        <f>IFERROR(VLOOKUP(D576,$H$4:$I$70,2,0),"")</f>
        <v>208</v>
      </c>
      <c r="F576" s="9">
        <f>IFERROR(VLOOKUP(C576,$H$4:$I$70,2,0),"")</f>
        <v>556</v>
      </c>
    </row>
    <row r="577" spans="2:6" x14ac:dyDescent="0.2">
      <c r="B577" s="13">
        <f t="shared" si="26"/>
        <v>574</v>
      </c>
      <c r="C577" s="8">
        <f t="shared" si="27"/>
        <v>16</v>
      </c>
      <c r="D577" s="8">
        <f t="shared" si="28"/>
        <v>58</v>
      </c>
      <c r="E577" s="8">
        <f>IFERROR(VLOOKUP(D577,$H$4:$I$70,2,0),"")</f>
        <v>208</v>
      </c>
      <c r="F577" s="9">
        <f>IFERROR(VLOOKUP(C577,$H$4:$I$70,2,0),"")</f>
        <v>540</v>
      </c>
    </row>
    <row r="578" spans="2:6" x14ac:dyDescent="0.2">
      <c r="B578" s="13">
        <f t="shared" si="26"/>
        <v>575</v>
      </c>
      <c r="C578" s="8">
        <f t="shared" si="27"/>
        <v>17</v>
      </c>
      <c r="D578" s="8">
        <f t="shared" si="28"/>
        <v>58</v>
      </c>
      <c r="E578" s="8">
        <f>IFERROR(VLOOKUP(D578,$H$4:$I$70,2,0),"")</f>
        <v>208</v>
      </c>
      <c r="F578" s="9">
        <f>IFERROR(VLOOKUP(C578,$H$4:$I$70,2,0),"")</f>
        <v>536</v>
      </c>
    </row>
    <row r="579" spans="2:6" x14ac:dyDescent="0.2">
      <c r="B579" s="13">
        <f t="shared" si="26"/>
        <v>576</v>
      </c>
      <c r="C579" s="8">
        <f t="shared" si="27"/>
        <v>18</v>
      </c>
      <c r="D579" s="8">
        <f t="shared" si="28"/>
        <v>58</v>
      </c>
      <c r="E579" s="8">
        <f>IFERROR(VLOOKUP(D579,$H$4:$I$70,2,0),"")</f>
        <v>208</v>
      </c>
      <c r="F579" s="9">
        <f>IFERROR(VLOOKUP(C579,$H$4:$I$70,2,0),"")</f>
        <v>527</v>
      </c>
    </row>
    <row r="580" spans="2:6" x14ac:dyDescent="0.2">
      <c r="B580" s="13">
        <f t="shared" si="26"/>
        <v>577</v>
      </c>
      <c r="C580" s="8">
        <f t="shared" si="27"/>
        <v>19</v>
      </c>
      <c r="D580" s="8">
        <f t="shared" si="28"/>
        <v>58</v>
      </c>
      <c r="E580" s="8">
        <f>IFERROR(VLOOKUP(D580,$H$4:$I$70,2,0),"")</f>
        <v>208</v>
      </c>
      <c r="F580" s="9">
        <f>IFERROR(VLOOKUP(C580,$H$4:$I$70,2,0),"")</f>
        <v>478</v>
      </c>
    </row>
    <row r="581" spans="2:6" x14ac:dyDescent="0.2">
      <c r="B581" s="13">
        <f t="shared" ref="B581:B644" si="29">ROW()-3</f>
        <v>578</v>
      </c>
      <c r="C581" s="8">
        <f t="shared" si="27"/>
        <v>20</v>
      </c>
      <c r="D581" s="8">
        <f t="shared" si="28"/>
        <v>58</v>
      </c>
      <c r="E581" s="8">
        <f>IFERROR(VLOOKUP(D581,$H$4:$I$70,2,0),"")</f>
        <v>208</v>
      </c>
      <c r="F581" s="9">
        <f>IFERROR(VLOOKUP(C581,$H$4:$I$70,2,0),"")</f>
        <v>474</v>
      </c>
    </row>
    <row r="582" spans="2:6" x14ac:dyDescent="0.2">
      <c r="B582" s="13">
        <f t="shared" si="29"/>
        <v>579</v>
      </c>
      <c r="C582" s="8">
        <f t="shared" ref="C582:C645" si="30">IF((D581-C581)=1,1,C581+1)</f>
        <v>21</v>
      </c>
      <c r="D582" s="8">
        <f t="shared" ref="D582:D645" si="31">IF((D581-C581)=1,D581-1,D581)</f>
        <v>58</v>
      </c>
      <c r="E582" s="8">
        <f>IFERROR(VLOOKUP(D582,$H$4:$I$70,2,0),"")</f>
        <v>208</v>
      </c>
      <c r="F582" s="9">
        <f>IFERROR(VLOOKUP(C582,$H$4:$I$70,2,0),"")</f>
        <v>468</v>
      </c>
    </row>
    <row r="583" spans="2:6" x14ac:dyDescent="0.2">
      <c r="B583" s="13">
        <f t="shared" si="29"/>
        <v>580</v>
      </c>
      <c r="C583" s="8">
        <f t="shared" si="30"/>
        <v>22</v>
      </c>
      <c r="D583" s="8">
        <f t="shared" si="31"/>
        <v>58</v>
      </c>
      <c r="E583" s="8">
        <f>IFERROR(VLOOKUP(D583,$H$4:$I$70,2,0),"")</f>
        <v>208</v>
      </c>
      <c r="F583" s="9">
        <f>IFERROR(VLOOKUP(C583,$H$4:$I$70,2,0),"")</f>
        <v>457</v>
      </c>
    </row>
    <row r="584" spans="2:6" x14ac:dyDescent="0.2">
      <c r="B584" s="13">
        <f t="shared" si="29"/>
        <v>581</v>
      </c>
      <c r="C584" s="8">
        <f t="shared" si="30"/>
        <v>23</v>
      </c>
      <c r="D584" s="8">
        <f t="shared" si="31"/>
        <v>58</v>
      </c>
      <c r="E584" s="8">
        <f>IFERROR(VLOOKUP(D584,$H$4:$I$70,2,0),"")</f>
        <v>208</v>
      </c>
      <c r="F584" s="9">
        <f>IFERROR(VLOOKUP(C584,$H$4:$I$70,2,0),"")</f>
        <v>452</v>
      </c>
    </row>
    <row r="585" spans="2:6" x14ac:dyDescent="0.2">
      <c r="B585" s="13">
        <f t="shared" si="29"/>
        <v>582</v>
      </c>
      <c r="C585" s="8">
        <f t="shared" si="30"/>
        <v>24</v>
      </c>
      <c r="D585" s="8">
        <f t="shared" si="31"/>
        <v>58</v>
      </c>
      <c r="E585" s="8">
        <f>IFERROR(VLOOKUP(D585,$H$4:$I$70,2,0),"")</f>
        <v>208</v>
      </c>
      <c r="F585" s="9">
        <f>IFERROR(VLOOKUP(C585,$H$4:$I$70,2,0),"")</f>
        <v>442</v>
      </c>
    </row>
    <row r="586" spans="2:6" x14ac:dyDescent="0.2">
      <c r="B586" s="13">
        <f t="shared" si="29"/>
        <v>583</v>
      </c>
      <c r="C586" s="8">
        <f t="shared" si="30"/>
        <v>25</v>
      </c>
      <c r="D586" s="8">
        <f t="shared" si="31"/>
        <v>58</v>
      </c>
      <c r="E586" s="8">
        <f>IFERROR(VLOOKUP(D586,$H$4:$I$70,2,0),"")</f>
        <v>208</v>
      </c>
      <c r="F586" s="9">
        <f>IFERROR(VLOOKUP(C586,$H$4:$I$70,2,0),"")</f>
        <v>420</v>
      </c>
    </row>
    <row r="587" spans="2:6" x14ac:dyDescent="0.2">
      <c r="B587" s="13">
        <f t="shared" si="29"/>
        <v>584</v>
      </c>
      <c r="C587" s="8">
        <f t="shared" si="30"/>
        <v>26</v>
      </c>
      <c r="D587" s="8">
        <f t="shared" si="31"/>
        <v>58</v>
      </c>
      <c r="E587" s="8">
        <f>IFERROR(VLOOKUP(D587,$H$4:$I$70,2,0),"")</f>
        <v>208</v>
      </c>
      <c r="F587" s="9">
        <f>IFERROR(VLOOKUP(C587,$H$4:$I$70,2,0),"")</f>
        <v>410</v>
      </c>
    </row>
    <row r="588" spans="2:6" x14ac:dyDescent="0.2">
      <c r="B588" s="13">
        <f t="shared" si="29"/>
        <v>585</v>
      </c>
      <c r="C588" s="8">
        <f t="shared" si="30"/>
        <v>27</v>
      </c>
      <c r="D588" s="8">
        <f t="shared" si="31"/>
        <v>58</v>
      </c>
      <c r="E588" s="8">
        <f>IFERROR(VLOOKUP(D588,$H$4:$I$70,2,0),"")</f>
        <v>208</v>
      </c>
      <c r="F588" s="9">
        <f>IFERROR(VLOOKUP(C588,$H$4:$I$70,2,0),"")</f>
        <v>409</v>
      </c>
    </row>
    <row r="589" spans="2:6" x14ac:dyDescent="0.2">
      <c r="B589" s="13">
        <f t="shared" si="29"/>
        <v>586</v>
      </c>
      <c r="C589" s="8">
        <f t="shared" si="30"/>
        <v>28</v>
      </c>
      <c r="D589" s="8">
        <f t="shared" si="31"/>
        <v>58</v>
      </c>
      <c r="E589" s="8">
        <f>IFERROR(VLOOKUP(D589,$H$4:$I$70,2,0),"")</f>
        <v>208</v>
      </c>
      <c r="F589" s="9">
        <f>IFERROR(VLOOKUP(C589,$H$4:$I$70,2,0),"")</f>
        <v>408</v>
      </c>
    </row>
    <row r="590" spans="2:6" x14ac:dyDescent="0.2">
      <c r="B590" s="13">
        <f t="shared" si="29"/>
        <v>587</v>
      </c>
      <c r="C590" s="8">
        <f t="shared" si="30"/>
        <v>29</v>
      </c>
      <c r="D590" s="8">
        <f t="shared" si="31"/>
        <v>58</v>
      </c>
      <c r="E590" s="8">
        <f>IFERROR(VLOOKUP(D590,$H$4:$I$70,2,0),"")</f>
        <v>208</v>
      </c>
      <c r="F590" s="9">
        <f>IFERROR(VLOOKUP(C590,$H$4:$I$70,2,0),"")</f>
        <v>404</v>
      </c>
    </row>
    <row r="591" spans="2:6" x14ac:dyDescent="0.2">
      <c r="B591" s="13">
        <f t="shared" si="29"/>
        <v>588</v>
      </c>
      <c r="C591" s="8">
        <f t="shared" si="30"/>
        <v>30</v>
      </c>
      <c r="D591" s="8">
        <f t="shared" si="31"/>
        <v>58</v>
      </c>
      <c r="E591" s="8">
        <f>IFERROR(VLOOKUP(D591,$H$4:$I$70,2,0),"")</f>
        <v>208</v>
      </c>
      <c r="F591" s="9">
        <f>IFERROR(VLOOKUP(C591,$H$4:$I$70,2,0),"")</f>
        <v>399</v>
      </c>
    </row>
    <row r="592" spans="2:6" x14ac:dyDescent="0.2">
      <c r="B592" s="13">
        <f t="shared" si="29"/>
        <v>589</v>
      </c>
      <c r="C592" s="8">
        <f t="shared" si="30"/>
        <v>31</v>
      </c>
      <c r="D592" s="8">
        <f t="shared" si="31"/>
        <v>58</v>
      </c>
      <c r="E592" s="8">
        <f>IFERROR(VLOOKUP(D592,$H$4:$I$70,2,0),"")</f>
        <v>208</v>
      </c>
      <c r="F592" s="9">
        <f>IFERROR(VLOOKUP(C592,$H$4:$I$70,2,0),"")</f>
        <v>396</v>
      </c>
    </row>
    <row r="593" spans="2:6" x14ac:dyDescent="0.2">
      <c r="B593" s="13">
        <f t="shared" si="29"/>
        <v>590</v>
      </c>
      <c r="C593" s="8">
        <f t="shared" si="30"/>
        <v>32</v>
      </c>
      <c r="D593" s="8">
        <f t="shared" si="31"/>
        <v>58</v>
      </c>
      <c r="E593" s="8">
        <f>IFERROR(VLOOKUP(D593,$H$4:$I$70,2,0),"")</f>
        <v>208</v>
      </c>
      <c r="F593" s="9">
        <f>IFERROR(VLOOKUP(C593,$H$4:$I$70,2,0),"")</f>
        <v>384</v>
      </c>
    </row>
    <row r="594" spans="2:6" x14ac:dyDescent="0.2">
      <c r="B594" s="13">
        <f t="shared" si="29"/>
        <v>591</v>
      </c>
      <c r="C594" s="8">
        <f t="shared" si="30"/>
        <v>33</v>
      </c>
      <c r="D594" s="8">
        <f t="shared" si="31"/>
        <v>58</v>
      </c>
      <c r="E594" s="8">
        <f>IFERROR(VLOOKUP(D594,$H$4:$I$70,2,0),"")</f>
        <v>208</v>
      </c>
      <c r="F594" s="9">
        <f>IFERROR(VLOOKUP(C594,$H$4:$I$70,2,0),"")</f>
        <v>381</v>
      </c>
    </row>
    <row r="595" spans="2:6" x14ac:dyDescent="0.2">
      <c r="B595" s="13">
        <f t="shared" si="29"/>
        <v>592</v>
      </c>
      <c r="C595" s="8">
        <f t="shared" si="30"/>
        <v>34</v>
      </c>
      <c r="D595" s="8">
        <f t="shared" si="31"/>
        <v>58</v>
      </c>
      <c r="E595" s="8">
        <f>IFERROR(VLOOKUP(D595,$H$4:$I$70,2,0),"")</f>
        <v>208</v>
      </c>
      <c r="F595" s="9">
        <f>IFERROR(VLOOKUP(C595,$H$4:$I$70,2,0),"")</f>
        <v>376</v>
      </c>
    </row>
    <row r="596" spans="2:6" x14ac:dyDescent="0.2">
      <c r="B596" s="13">
        <f t="shared" si="29"/>
        <v>593</v>
      </c>
      <c r="C596" s="8">
        <f t="shared" si="30"/>
        <v>35</v>
      </c>
      <c r="D596" s="8">
        <f t="shared" si="31"/>
        <v>58</v>
      </c>
      <c r="E596" s="8">
        <f>IFERROR(VLOOKUP(D596,$H$4:$I$70,2,0),"")</f>
        <v>208</v>
      </c>
      <c r="F596" s="9">
        <f>IFERROR(VLOOKUP(C596,$H$4:$I$70,2,0),"")</f>
        <v>370</v>
      </c>
    </row>
    <row r="597" spans="2:6" x14ac:dyDescent="0.2">
      <c r="B597" s="13">
        <f t="shared" si="29"/>
        <v>594</v>
      </c>
      <c r="C597" s="8">
        <f t="shared" si="30"/>
        <v>36</v>
      </c>
      <c r="D597" s="8">
        <f t="shared" si="31"/>
        <v>58</v>
      </c>
      <c r="E597" s="8">
        <f>IFERROR(VLOOKUP(D597,$H$4:$I$70,2,0),"")</f>
        <v>208</v>
      </c>
      <c r="F597" s="9">
        <f>IFERROR(VLOOKUP(C597,$H$4:$I$70,2,0),"")</f>
        <v>362</v>
      </c>
    </row>
    <row r="598" spans="2:6" x14ac:dyDescent="0.2">
      <c r="B598" s="13">
        <f t="shared" si="29"/>
        <v>595</v>
      </c>
      <c r="C598" s="8">
        <f t="shared" si="30"/>
        <v>37</v>
      </c>
      <c r="D598" s="8">
        <f t="shared" si="31"/>
        <v>58</v>
      </c>
      <c r="E598" s="8">
        <f>IFERROR(VLOOKUP(D598,$H$4:$I$70,2,0),"")</f>
        <v>208</v>
      </c>
      <c r="F598" s="9">
        <f>IFERROR(VLOOKUP(C598,$H$4:$I$70,2,0),"")</f>
        <v>357</v>
      </c>
    </row>
    <row r="599" spans="2:6" x14ac:dyDescent="0.2">
      <c r="B599" s="13">
        <f t="shared" si="29"/>
        <v>596</v>
      </c>
      <c r="C599" s="8">
        <f t="shared" si="30"/>
        <v>38</v>
      </c>
      <c r="D599" s="8">
        <f t="shared" si="31"/>
        <v>58</v>
      </c>
      <c r="E599" s="8">
        <f>IFERROR(VLOOKUP(D599,$H$4:$I$70,2,0),"")</f>
        <v>208</v>
      </c>
      <c r="F599" s="9">
        <f>IFERROR(VLOOKUP(C599,$H$4:$I$70,2,0),"")</f>
        <v>351</v>
      </c>
    </row>
    <row r="600" spans="2:6" x14ac:dyDescent="0.2">
      <c r="B600" s="13">
        <f t="shared" si="29"/>
        <v>597</v>
      </c>
      <c r="C600" s="8">
        <f t="shared" si="30"/>
        <v>39</v>
      </c>
      <c r="D600" s="8">
        <f t="shared" si="31"/>
        <v>58</v>
      </c>
      <c r="E600" s="8">
        <f>IFERROR(VLOOKUP(D600,$H$4:$I$70,2,0),"")</f>
        <v>208</v>
      </c>
      <c r="F600" s="9">
        <f>IFERROR(VLOOKUP(C600,$H$4:$I$70,2,0),"")</f>
        <v>339</v>
      </c>
    </row>
    <row r="601" spans="2:6" x14ac:dyDescent="0.2">
      <c r="B601" s="13">
        <f t="shared" si="29"/>
        <v>598</v>
      </c>
      <c r="C601" s="8">
        <f t="shared" si="30"/>
        <v>40</v>
      </c>
      <c r="D601" s="8">
        <f t="shared" si="31"/>
        <v>58</v>
      </c>
      <c r="E601" s="8">
        <f>IFERROR(VLOOKUP(D601,$H$4:$I$70,2,0),"")</f>
        <v>208</v>
      </c>
      <c r="F601" s="9">
        <f>IFERROR(VLOOKUP(C601,$H$4:$I$70,2,0),"")</f>
        <v>304</v>
      </c>
    </row>
    <row r="602" spans="2:6" x14ac:dyDescent="0.2">
      <c r="B602" s="13">
        <f t="shared" si="29"/>
        <v>599</v>
      </c>
      <c r="C602" s="8">
        <f t="shared" si="30"/>
        <v>41</v>
      </c>
      <c r="D602" s="8">
        <f t="shared" si="31"/>
        <v>58</v>
      </c>
      <c r="E602" s="8">
        <f>IFERROR(VLOOKUP(D602,$H$4:$I$70,2,0),"")</f>
        <v>208</v>
      </c>
      <c r="F602" s="9">
        <f>IFERROR(VLOOKUP(C602,$H$4:$I$70,2,0),"")</f>
        <v>301</v>
      </c>
    </row>
    <row r="603" spans="2:6" x14ac:dyDescent="0.2">
      <c r="B603" s="13">
        <f t="shared" si="29"/>
        <v>600</v>
      </c>
      <c r="C603" s="8">
        <f t="shared" si="30"/>
        <v>42</v>
      </c>
      <c r="D603" s="8">
        <f t="shared" si="31"/>
        <v>58</v>
      </c>
      <c r="E603" s="8">
        <f>IFERROR(VLOOKUP(D603,$H$4:$I$70,2,0),"")</f>
        <v>208</v>
      </c>
      <c r="F603" s="9">
        <f>IFERROR(VLOOKUP(C603,$H$4:$I$70,2,0),"")</f>
        <v>300</v>
      </c>
    </row>
    <row r="604" spans="2:6" x14ac:dyDescent="0.2">
      <c r="B604" s="13">
        <f t="shared" si="29"/>
        <v>601</v>
      </c>
      <c r="C604" s="8">
        <f t="shared" si="30"/>
        <v>43</v>
      </c>
      <c r="D604" s="8">
        <f t="shared" si="31"/>
        <v>58</v>
      </c>
      <c r="E604" s="8">
        <f>IFERROR(VLOOKUP(D604,$H$4:$I$70,2,0),"")</f>
        <v>208</v>
      </c>
      <c r="F604" s="9">
        <f>IFERROR(VLOOKUP(C604,$H$4:$I$70,2,0),"")</f>
        <v>288</v>
      </c>
    </row>
    <row r="605" spans="2:6" x14ac:dyDescent="0.2">
      <c r="B605" s="13">
        <f t="shared" si="29"/>
        <v>602</v>
      </c>
      <c r="C605" s="8">
        <f t="shared" si="30"/>
        <v>44</v>
      </c>
      <c r="D605" s="8">
        <f t="shared" si="31"/>
        <v>58</v>
      </c>
      <c r="E605" s="8">
        <f>IFERROR(VLOOKUP(D605,$H$4:$I$70,2,0),"")</f>
        <v>208</v>
      </c>
      <c r="F605" s="9">
        <f>IFERROR(VLOOKUP(C605,$H$4:$I$70,2,0),"")</f>
        <v>273</v>
      </c>
    </row>
    <row r="606" spans="2:6" x14ac:dyDescent="0.2">
      <c r="B606" s="13">
        <f t="shared" si="29"/>
        <v>603</v>
      </c>
      <c r="C606" s="8">
        <f t="shared" si="30"/>
        <v>45</v>
      </c>
      <c r="D606" s="8">
        <f t="shared" si="31"/>
        <v>58</v>
      </c>
      <c r="E606" s="8">
        <f>IFERROR(VLOOKUP(D606,$H$4:$I$70,2,0),"")</f>
        <v>208</v>
      </c>
      <c r="F606" s="9">
        <f>IFERROR(VLOOKUP(C606,$H$4:$I$70,2,0),"")</f>
        <v>268</v>
      </c>
    </row>
    <row r="607" spans="2:6" x14ac:dyDescent="0.2">
      <c r="B607" s="13">
        <f t="shared" si="29"/>
        <v>604</v>
      </c>
      <c r="C607" s="8">
        <f t="shared" si="30"/>
        <v>46</v>
      </c>
      <c r="D607" s="8">
        <f t="shared" si="31"/>
        <v>58</v>
      </c>
      <c r="E607" s="8">
        <f>IFERROR(VLOOKUP(D607,$H$4:$I$70,2,0),"")</f>
        <v>208</v>
      </c>
      <c r="F607" s="9">
        <f>IFERROR(VLOOKUP(C607,$H$4:$I$70,2,0),"")</f>
        <v>262</v>
      </c>
    </row>
    <row r="608" spans="2:6" x14ac:dyDescent="0.2">
      <c r="B608" s="13">
        <f t="shared" si="29"/>
        <v>605</v>
      </c>
      <c r="C608" s="8">
        <f t="shared" si="30"/>
        <v>47</v>
      </c>
      <c r="D608" s="8">
        <f t="shared" si="31"/>
        <v>58</v>
      </c>
      <c r="E608" s="8">
        <f>IFERROR(VLOOKUP(D608,$H$4:$I$70,2,0),"")</f>
        <v>208</v>
      </c>
      <c r="F608" s="9">
        <f>IFERROR(VLOOKUP(C608,$H$4:$I$70,2,0),"")</f>
        <v>248</v>
      </c>
    </row>
    <row r="609" spans="2:6" x14ac:dyDescent="0.2">
      <c r="B609" s="13">
        <f t="shared" si="29"/>
        <v>606</v>
      </c>
      <c r="C609" s="8">
        <f t="shared" si="30"/>
        <v>48</v>
      </c>
      <c r="D609" s="8">
        <f t="shared" si="31"/>
        <v>58</v>
      </c>
      <c r="E609" s="8">
        <f>IFERROR(VLOOKUP(D609,$H$4:$I$70,2,0),"")</f>
        <v>208</v>
      </c>
      <c r="F609" s="9">
        <f>IFERROR(VLOOKUP(C609,$H$4:$I$70,2,0),"")</f>
        <v>246</v>
      </c>
    </row>
    <row r="610" spans="2:6" x14ac:dyDescent="0.2">
      <c r="B610" s="13">
        <f t="shared" si="29"/>
        <v>607</v>
      </c>
      <c r="C610" s="8">
        <f t="shared" si="30"/>
        <v>49</v>
      </c>
      <c r="D610" s="8">
        <f t="shared" si="31"/>
        <v>58</v>
      </c>
      <c r="E610" s="8">
        <f>IFERROR(VLOOKUP(D610,$H$4:$I$70,2,0),"")</f>
        <v>208</v>
      </c>
      <c r="F610" s="9">
        <f>IFERROR(VLOOKUP(C610,$H$4:$I$70,2,0),"")</f>
        <v>236</v>
      </c>
    </row>
    <row r="611" spans="2:6" x14ac:dyDescent="0.2">
      <c r="B611" s="13">
        <f t="shared" si="29"/>
        <v>608</v>
      </c>
      <c r="C611" s="8">
        <f t="shared" si="30"/>
        <v>50</v>
      </c>
      <c r="D611" s="8">
        <f t="shared" si="31"/>
        <v>58</v>
      </c>
      <c r="E611" s="8">
        <f>IFERROR(VLOOKUP(D611,$H$4:$I$70,2,0),"")</f>
        <v>208</v>
      </c>
      <c r="F611" s="9">
        <f>IFERROR(VLOOKUP(C611,$H$4:$I$70,2,0),"")</f>
        <v>231</v>
      </c>
    </row>
    <row r="612" spans="2:6" x14ac:dyDescent="0.2">
      <c r="B612" s="13">
        <f t="shared" si="29"/>
        <v>609</v>
      </c>
      <c r="C612" s="8">
        <f t="shared" si="30"/>
        <v>51</v>
      </c>
      <c r="D612" s="8">
        <f t="shared" si="31"/>
        <v>58</v>
      </c>
      <c r="E612" s="8">
        <f>IFERROR(VLOOKUP(D612,$H$4:$I$70,2,0),"")</f>
        <v>208</v>
      </c>
      <c r="F612" s="9">
        <f>IFERROR(VLOOKUP(C612,$H$4:$I$70,2,0),"")</f>
        <v>227</v>
      </c>
    </row>
    <row r="613" spans="2:6" x14ac:dyDescent="0.2">
      <c r="B613" s="13">
        <f t="shared" si="29"/>
        <v>610</v>
      </c>
      <c r="C613" s="8">
        <f t="shared" si="30"/>
        <v>52</v>
      </c>
      <c r="D613" s="8">
        <f t="shared" si="31"/>
        <v>58</v>
      </c>
      <c r="E613" s="8">
        <f>IFERROR(VLOOKUP(D613,$H$4:$I$70,2,0),"")</f>
        <v>208</v>
      </c>
      <c r="F613" s="9">
        <f>IFERROR(VLOOKUP(C613,$H$4:$I$70,2,0),"")</f>
        <v>224</v>
      </c>
    </row>
    <row r="614" spans="2:6" x14ac:dyDescent="0.2">
      <c r="B614" s="13">
        <f t="shared" si="29"/>
        <v>611</v>
      </c>
      <c r="C614" s="8">
        <f t="shared" si="30"/>
        <v>53</v>
      </c>
      <c r="D614" s="8">
        <f t="shared" si="31"/>
        <v>58</v>
      </c>
      <c r="E614" s="8">
        <f>IFERROR(VLOOKUP(D614,$H$4:$I$70,2,0),"")</f>
        <v>208</v>
      </c>
      <c r="F614" s="9">
        <f>IFERROR(VLOOKUP(C614,$H$4:$I$70,2,0),"")</f>
        <v>217</v>
      </c>
    </row>
    <row r="615" spans="2:6" x14ac:dyDescent="0.2">
      <c r="B615" s="13">
        <f t="shared" si="29"/>
        <v>612</v>
      </c>
      <c r="C615" s="8">
        <f t="shared" si="30"/>
        <v>54</v>
      </c>
      <c r="D615" s="8">
        <f t="shared" si="31"/>
        <v>58</v>
      </c>
      <c r="E615" s="8">
        <f>IFERROR(VLOOKUP(D615,$H$4:$I$70,2,0),"")</f>
        <v>208</v>
      </c>
      <c r="F615" s="9">
        <f>IFERROR(VLOOKUP(C615,$H$4:$I$70,2,0),"")</f>
        <v>213</v>
      </c>
    </row>
    <row r="616" spans="2:6" x14ac:dyDescent="0.2">
      <c r="B616" s="13">
        <f t="shared" si="29"/>
        <v>613</v>
      </c>
      <c r="C616" s="8">
        <f t="shared" si="30"/>
        <v>55</v>
      </c>
      <c r="D616" s="8">
        <f t="shared" si="31"/>
        <v>58</v>
      </c>
      <c r="E616" s="8">
        <f>IFERROR(VLOOKUP(D616,$H$4:$I$70,2,0),"")</f>
        <v>208</v>
      </c>
      <c r="F616" s="9">
        <f>IFERROR(VLOOKUP(C616,$H$4:$I$70,2,0),"")</f>
        <v>212</v>
      </c>
    </row>
    <row r="617" spans="2:6" x14ac:dyDescent="0.2">
      <c r="B617" s="13">
        <f t="shared" si="29"/>
        <v>614</v>
      </c>
      <c r="C617" s="8">
        <f t="shared" si="30"/>
        <v>56</v>
      </c>
      <c r="D617" s="8">
        <f t="shared" si="31"/>
        <v>58</v>
      </c>
      <c r="E617" s="8">
        <f>IFERROR(VLOOKUP(D617,$H$4:$I$70,2,0),"")</f>
        <v>208</v>
      </c>
      <c r="F617" s="9">
        <f>IFERROR(VLOOKUP(C617,$H$4:$I$70,2,0),"")</f>
        <v>211</v>
      </c>
    </row>
    <row r="618" spans="2:6" x14ac:dyDescent="0.2">
      <c r="B618" s="13">
        <f t="shared" si="29"/>
        <v>615</v>
      </c>
      <c r="C618" s="8">
        <f t="shared" si="30"/>
        <v>57</v>
      </c>
      <c r="D618" s="8">
        <f t="shared" si="31"/>
        <v>58</v>
      </c>
      <c r="E618" s="8">
        <f>IFERROR(VLOOKUP(D618,$H$4:$I$70,2,0),"")</f>
        <v>208</v>
      </c>
      <c r="F618" s="9">
        <f>IFERROR(VLOOKUP(C618,$H$4:$I$70,2,0),"")</f>
        <v>209</v>
      </c>
    </row>
    <row r="619" spans="2:6" x14ac:dyDescent="0.2">
      <c r="B619" s="13">
        <f t="shared" si="29"/>
        <v>616</v>
      </c>
      <c r="C619" s="8">
        <f t="shared" si="30"/>
        <v>1</v>
      </c>
      <c r="D619" s="8">
        <f t="shared" si="31"/>
        <v>57</v>
      </c>
      <c r="E619" s="8">
        <f>IFERROR(VLOOKUP(D619,$H$4:$I$70,2,0),"")</f>
        <v>209</v>
      </c>
      <c r="F619" s="9">
        <f>IFERROR(VLOOKUP(C619,$H$4:$I$70,2,0),"")</f>
        <v>1344</v>
      </c>
    </row>
    <row r="620" spans="2:6" x14ac:dyDescent="0.2">
      <c r="B620" s="13">
        <f t="shared" si="29"/>
        <v>617</v>
      </c>
      <c r="C620" s="8">
        <f t="shared" si="30"/>
        <v>2</v>
      </c>
      <c r="D620" s="8">
        <f t="shared" si="31"/>
        <v>57</v>
      </c>
      <c r="E620" s="8">
        <f>IFERROR(VLOOKUP(D620,$H$4:$I$70,2,0),"")</f>
        <v>209</v>
      </c>
      <c r="F620" s="9">
        <f>IFERROR(VLOOKUP(C620,$H$4:$I$70,2,0),"")</f>
        <v>1048</v>
      </c>
    </row>
    <row r="621" spans="2:6" x14ac:dyDescent="0.2">
      <c r="B621" s="13">
        <f t="shared" si="29"/>
        <v>618</v>
      </c>
      <c r="C621" s="8">
        <f t="shared" si="30"/>
        <v>3</v>
      </c>
      <c r="D621" s="8">
        <f t="shared" si="31"/>
        <v>57</v>
      </c>
      <c r="E621" s="8">
        <f>IFERROR(VLOOKUP(D621,$H$4:$I$70,2,0),"")</f>
        <v>209</v>
      </c>
      <c r="F621" s="9">
        <f>IFERROR(VLOOKUP(C621,$H$4:$I$70,2,0),"")</f>
        <v>1025</v>
      </c>
    </row>
    <row r="622" spans="2:6" x14ac:dyDescent="0.2">
      <c r="B622" s="13">
        <f t="shared" si="29"/>
        <v>619</v>
      </c>
      <c r="C622" s="8">
        <f t="shared" si="30"/>
        <v>4</v>
      </c>
      <c r="D622" s="8">
        <f t="shared" si="31"/>
        <v>57</v>
      </c>
      <c r="E622" s="8">
        <f>IFERROR(VLOOKUP(D622,$H$4:$I$70,2,0),"")</f>
        <v>209</v>
      </c>
      <c r="F622" s="9">
        <f>IFERROR(VLOOKUP(C622,$H$4:$I$70,2,0),"")</f>
        <v>805</v>
      </c>
    </row>
    <row r="623" spans="2:6" x14ac:dyDescent="0.2">
      <c r="B623" s="13">
        <f t="shared" si="29"/>
        <v>620</v>
      </c>
      <c r="C623" s="8">
        <f t="shared" si="30"/>
        <v>5</v>
      </c>
      <c r="D623" s="8">
        <f t="shared" si="31"/>
        <v>57</v>
      </c>
      <c r="E623" s="8">
        <f>IFERROR(VLOOKUP(D623,$H$4:$I$70,2,0),"")</f>
        <v>209</v>
      </c>
      <c r="F623" s="9">
        <f>IFERROR(VLOOKUP(C623,$H$4:$I$70,2,0),"")</f>
        <v>666</v>
      </c>
    </row>
    <row r="624" spans="2:6" x14ac:dyDescent="0.2">
      <c r="B624" s="13">
        <f t="shared" si="29"/>
        <v>621</v>
      </c>
      <c r="C624" s="8">
        <f t="shared" si="30"/>
        <v>6</v>
      </c>
      <c r="D624" s="8">
        <f t="shared" si="31"/>
        <v>57</v>
      </c>
      <c r="E624" s="8">
        <f>IFERROR(VLOOKUP(D624,$H$4:$I$70,2,0),"")</f>
        <v>209</v>
      </c>
      <c r="F624" s="9">
        <f>IFERROR(VLOOKUP(C624,$H$4:$I$70,2,0),"")</f>
        <v>655</v>
      </c>
    </row>
    <row r="625" spans="2:6" x14ac:dyDescent="0.2">
      <c r="B625" s="13">
        <f t="shared" si="29"/>
        <v>622</v>
      </c>
      <c r="C625" s="8">
        <f t="shared" si="30"/>
        <v>7</v>
      </c>
      <c r="D625" s="8">
        <f t="shared" si="31"/>
        <v>57</v>
      </c>
      <c r="E625" s="8">
        <f>IFERROR(VLOOKUP(D625,$H$4:$I$70,2,0),"")</f>
        <v>209</v>
      </c>
      <c r="F625" s="9">
        <f>IFERROR(VLOOKUP(C625,$H$4:$I$70,2,0),"")</f>
        <v>652</v>
      </c>
    </row>
    <row r="626" spans="2:6" x14ac:dyDescent="0.2">
      <c r="B626" s="13">
        <f t="shared" si="29"/>
        <v>623</v>
      </c>
      <c r="C626" s="8">
        <f t="shared" si="30"/>
        <v>8</v>
      </c>
      <c r="D626" s="8">
        <f t="shared" si="31"/>
        <v>57</v>
      </c>
      <c r="E626" s="8">
        <f>IFERROR(VLOOKUP(D626,$H$4:$I$70,2,0),"")</f>
        <v>209</v>
      </c>
      <c r="F626" s="9">
        <f>IFERROR(VLOOKUP(C626,$H$4:$I$70,2,0),"")</f>
        <v>633</v>
      </c>
    </row>
    <row r="627" spans="2:6" x14ac:dyDescent="0.2">
      <c r="B627" s="13">
        <f t="shared" si="29"/>
        <v>624</v>
      </c>
      <c r="C627" s="8">
        <f t="shared" si="30"/>
        <v>9</v>
      </c>
      <c r="D627" s="8">
        <f t="shared" si="31"/>
        <v>57</v>
      </c>
      <c r="E627" s="8">
        <f>IFERROR(VLOOKUP(D627,$H$4:$I$70,2,0),"")</f>
        <v>209</v>
      </c>
      <c r="F627" s="9">
        <f>IFERROR(VLOOKUP(C627,$H$4:$I$70,2,0),"")</f>
        <v>632</v>
      </c>
    </row>
    <row r="628" spans="2:6" x14ac:dyDescent="0.2">
      <c r="B628" s="13">
        <f t="shared" si="29"/>
        <v>625</v>
      </c>
      <c r="C628" s="8">
        <f t="shared" si="30"/>
        <v>10</v>
      </c>
      <c r="D628" s="8">
        <f t="shared" si="31"/>
        <v>57</v>
      </c>
      <c r="E628" s="8">
        <f>IFERROR(VLOOKUP(D628,$H$4:$I$70,2,0),"")</f>
        <v>209</v>
      </c>
      <c r="F628" s="9">
        <f>IFERROR(VLOOKUP(C628,$H$4:$I$70,2,0),"")</f>
        <v>625</v>
      </c>
    </row>
    <row r="629" spans="2:6" x14ac:dyDescent="0.2">
      <c r="B629" s="13">
        <f t="shared" si="29"/>
        <v>626</v>
      </c>
      <c r="C629" s="8">
        <f t="shared" si="30"/>
        <v>11</v>
      </c>
      <c r="D629" s="8">
        <f t="shared" si="31"/>
        <v>57</v>
      </c>
      <c r="E629" s="8">
        <f>IFERROR(VLOOKUP(D629,$H$4:$I$70,2,0),"")</f>
        <v>209</v>
      </c>
      <c r="F629" s="9">
        <f>IFERROR(VLOOKUP(C629,$H$4:$I$70,2,0),"")</f>
        <v>619</v>
      </c>
    </row>
    <row r="630" spans="2:6" x14ac:dyDescent="0.2">
      <c r="B630" s="13">
        <f t="shared" si="29"/>
        <v>627</v>
      </c>
      <c r="C630" s="8">
        <f t="shared" si="30"/>
        <v>12</v>
      </c>
      <c r="D630" s="8">
        <f t="shared" si="31"/>
        <v>57</v>
      </c>
      <c r="E630" s="8">
        <f>IFERROR(VLOOKUP(D630,$H$4:$I$70,2,0),"")</f>
        <v>209</v>
      </c>
      <c r="F630" s="9">
        <f>IFERROR(VLOOKUP(C630,$H$4:$I$70,2,0),"")</f>
        <v>610</v>
      </c>
    </row>
    <row r="631" spans="2:6" x14ac:dyDescent="0.2">
      <c r="B631" s="13">
        <f t="shared" si="29"/>
        <v>628</v>
      </c>
      <c r="C631" s="8">
        <f t="shared" si="30"/>
        <v>13</v>
      </c>
      <c r="D631" s="8">
        <f t="shared" si="31"/>
        <v>57</v>
      </c>
      <c r="E631" s="8">
        <f>IFERROR(VLOOKUP(D631,$H$4:$I$70,2,0),"")</f>
        <v>209</v>
      </c>
      <c r="F631" s="9">
        <f>IFERROR(VLOOKUP(C631,$H$4:$I$70,2,0),"")</f>
        <v>599</v>
      </c>
    </row>
    <row r="632" spans="2:6" x14ac:dyDescent="0.2">
      <c r="B632" s="13">
        <f t="shared" si="29"/>
        <v>629</v>
      </c>
      <c r="C632" s="8">
        <f t="shared" si="30"/>
        <v>14</v>
      </c>
      <c r="D632" s="8">
        <f t="shared" si="31"/>
        <v>57</v>
      </c>
      <c r="E632" s="8">
        <f>IFERROR(VLOOKUP(D632,$H$4:$I$70,2,0),"")</f>
        <v>209</v>
      </c>
      <c r="F632" s="9">
        <f>IFERROR(VLOOKUP(C632,$H$4:$I$70,2,0),"")</f>
        <v>559</v>
      </c>
    </row>
    <row r="633" spans="2:6" x14ac:dyDescent="0.2">
      <c r="B633" s="13">
        <f t="shared" si="29"/>
        <v>630</v>
      </c>
      <c r="C633" s="8">
        <f t="shared" si="30"/>
        <v>15</v>
      </c>
      <c r="D633" s="8">
        <f t="shared" si="31"/>
        <v>57</v>
      </c>
      <c r="E633" s="8">
        <f>IFERROR(VLOOKUP(D633,$H$4:$I$70,2,0),"")</f>
        <v>209</v>
      </c>
      <c r="F633" s="9">
        <f>IFERROR(VLOOKUP(C633,$H$4:$I$70,2,0),"")</f>
        <v>556</v>
      </c>
    </row>
    <row r="634" spans="2:6" x14ac:dyDescent="0.2">
      <c r="B634" s="13">
        <f t="shared" si="29"/>
        <v>631</v>
      </c>
      <c r="C634" s="8">
        <f t="shared" si="30"/>
        <v>16</v>
      </c>
      <c r="D634" s="8">
        <f t="shared" si="31"/>
        <v>57</v>
      </c>
      <c r="E634" s="8">
        <f>IFERROR(VLOOKUP(D634,$H$4:$I$70,2,0),"")</f>
        <v>209</v>
      </c>
      <c r="F634" s="9">
        <f>IFERROR(VLOOKUP(C634,$H$4:$I$70,2,0),"")</f>
        <v>540</v>
      </c>
    </row>
    <row r="635" spans="2:6" x14ac:dyDescent="0.2">
      <c r="B635" s="13">
        <f t="shared" si="29"/>
        <v>632</v>
      </c>
      <c r="C635" s="8">
        <f t="shared" si="30"/>
        <v>17</v>
      </c>
      <c r="D635" s="8">
        <f t="shared" si="31"/>
        <v>57</v>
      </c>
      <c r="E635" s="8">
        <f>IFERROR(VLOOKUP(D635,$H$4:$I$70,2,0),"")</f>
        <v>209</v>
      </c>
      <c r="F635" s="9">
        <f>IFERROR(VLOOKUP(C635,$H$4:$I$70,2,0),"")</f>
        <v>536</v>
      </c>
    </row>
    <row r="636" spans="2:6" x14ac:dyDescent="0.2">
      <c r="B636" s="13">
        <f t="shared" si="29"/>
        <v>633</v>
      </c>
      <c r="C636" s="8">
        <f t="shared" si="30"/>
        <v>18</v>
      </c>
      <c r="D636" s="8">
        <f t="shared" si="31"/>
        <v>57</v>
      </c>
      <c r="E636" s="8">
        <f>IFERROR(VLOOKUP(D636,$H$4:$I$70,2,0),"")</f>
        <v>209</v>
      </c>
      <c r="F636" s="9">
        <f>IFERROR(VLOOKUP(C636,$H$4:$I$70,2,0),"")</f>
        <v>527</v>
      </c>
    </row>
    <row r="637" spans="2:6" x14ac:dyDescent="0.2">
      <c r="B637" s="13">
        <f t="shared" si="29"/>
        <v>634</v>
      </c>
      <c r="C637" s="8">
        <f t="shared" si="30"/>
        <v>19</v>
      </c>
      <c r="D637" s="8">
        <f t="shared" si="31"/>
        <v>57</v>
      </c>
      <c r="E637" s="8">
        <f>IFERROR(VLOOKUP(D637,$H$4:$I$70,2,0),"")</f>
        <v>209</v>
      </c>
      <c r="F637" s="9">
        <f>IFERROR(VLOOKUP(C637,$H$4:$I$70,2,0),"")</f>
        <v>478</v>
      </c>
    </row>
    <row r="638" spans="2:6" x14ac:dyDescent="0.2">
      <c r="B638" s="13">
        <f t="shared" si="29"/>
        <v>635</v>
      </c>
      <c r="C638" s="8">
        <f t="shared" si="30"/>
        <v>20</v>
      </c>
      <c r="D638" s="8">
        <f t="shared" si="31"/>
        <v>57</v>
      </c>
      <c r="E638" s="8">
        <f>IFERROR(VLOOKUP(D638,$H$4:$I$70,2,0),"")</f>
        <v>209</v>
      </c>
      <c r="F638" s="9">
        <f>IFERROR(VLOOKUP(C638,$H$4:$I$70,2,0),"")</f>
        <v>474</v>
      </c>
    </row>
    <row r="639" spans="2:6" x14ac:dyDescent="0.2">
      <c r="B639" s="13">
        <f t="shared" si="29"/>
        <v>636</v>
      </c>
      <c r="C639" s="8">
        <f t="shared" si="30"/>
        <v>21</v>
      </c>
      <c r="D639" s="8">
        <f t="shared" si="31"/>
        <v>57</v>
      </c>
      <c r="E639" s="8">
        <f>IFERROR(VLOOKUP(D639,$H$4:$I$70,2,0),"")</f>
        <v>209</v>
      </c>
      <c r="F639" s="9">
        <f>IFERROR(VLOOKUP(C639,$H$4:$I$70,2,0),"")</f>
        <v>468</v>
      </c>
    </row>
    <row r="640" spans="2:6" x14ac:dyDescent="0.2">
      <c r="B640" s="13">
        <f t="shared" si="29"/>
        <v>637</v>
      </c>
      <c r="C640" s="8">
        <f t="shared" si="30"/>
        <v>22</v>
      </c>
      <c r="D640" s="8">
        <f t="shared" si="31"/>
        <v>57</v>
      </c>
      <c r="E640" s="8">
        <f>IFERROR(VLOOKUP(D640,$H$4:$I$70,2,0),"")</f>
        <v>209</v>
      </c>
      <c r="F640" s="9">
        <f>IFERROR(VLOOKUP(C640,$H$4:$I$70,2,0),"")</f>
        <v>457</v>
      </c>
    </row>
    <row r="641" spans="2:6" x14ac:dyDescent="0.2">
      <c r="B641" s="13">
        <f t="shared" si="29"/>
        <v>638</v>
      </c>
      <c r="C641" s="8">
        <f t="shared" si="30"/>
        <v>23</v>
      </c>
      <c r="D641" s="8">
        <f t="shared" si="31"/>
        <v>57</v>
      </c>
      <c r="E641" s="8">
        <f>IFERROR(VLOOKUP(D641,$H$4:$I$70,2,0),"")</f>
        <v>209</v>
      </c>
      <c r="F641" s="9">
        <f>IFERROR(VLOOKUP(C641,$H$4:$I$70,2,0),"")</f>
        <v>452</v>
      </c>
    </row>
    <row r="642" spans="2:6" x14ac:dyDescent="0.2">
      <c r="B642" s="13">
        <f t="shared" si="29"/>
        <v>639</v>
      </c>
      <c r="C642" s="8">
        <f t="shared" si="30"/>
        <v>24</v>
      </c>
      <c r="D642" s="8">
        <f t="shared" si="31"/>
        <v>57</v>
      </c>
      <c r="E642" s="8">
        <f>IFERROR(VLOOKUP(D642,$H$4:$I$70,2,0),"")</f>
        <v>209</v>
      </c>
      <c r="F642" s="9">
        <f>IFERROR(VLOOKUP(C642,$H$4:$I$70,2,0),"")</f>
        <v>442</v>
      </c>
    </row>
    <row r="643" spans="2:6" x14ac:dyDescent="0.2">
      <c r="B643" s="13">
        <f t="shared" si="29"/>
        <v>640</v>
      </c>
      <c r="C643" s="8">
        <f t="shared" si="30"/>
        <v>25</v>
      </c>
      <c r="D643" s="8">
        <f t="shared" si="31"/>
        <v>57</v>
      </c>
      <c r="E643" s="8">
        <f>IFERROR(VLOOKUP(D643,$H$4:$I$70,2,0),"")</f>
        <v>209</v>
      </c>
      <c r="F643" s="9">
        <f>IFERROR(VLOOKUP(C643,$H$4:$I$70,2,0),"")</f>
        <v>420</v>
      </c>
    </row>
    <row r="644" spans="2:6" x14ac:dyDescent="0.2">
      <c r="B644" s="13">
        <f t="shared" si="29"/>
        <v>641</v>
      </c>
      <c r="C644" s="8">
        <f t="shared" si="30"/>
        <v>26</v>
      </c>
      <c r="D644" s="8">
        <f t="shared" si="31"/>
        <v>57</v>
      </c>
      <c r="E644" s="8">
        <f>IFERROR(VLOOKUP(D644,$H$4:$I$70,2,0),"")</f>
        <v>209</v>
      </c>
      <c r="F644" s="9">
        <f>IFERROR(VLOOKUP(C644,$H$4:$I$70,2,0),"")</f>
        <v>410</v>
      </c>
    </row>
    <row r="645" spans="2:6" x14ac:dyDescent="0.2">
      <c r="B645" s="13">
        <f t="shared" ref="B645:B708" si="32">ROW()-3</f>
        <v>642</v>
      </c>
      <c r="C645" s="8">
        <f t="shared" si="30"/>
        <v>27</v>
      </c>
      <c r="D645" s="8">
        <f t="shared" si="31"/>
        <v>57</v>
      </c>
      <c r="E645" s="8">
        <f>IFERROR(VLOOKUP(D645,$H$4:$I$70,2,0),"")</f>
        <v>209</v>
      </c>
      <c r="F645" s="9">
        <f>IFERROR(VLOOKUP(C645,$H$4:$I$70,2,0),"")</f>
        <v>409</v>
      </c>
    </row>
    <row r="646" spans="2:6" x14ac:dyDescent="0.2">
      <c r="B646" s="13">
        <f t="shared" si="32"/>
        <v>643</v>
      </c>
      <c r="C646" s="8">
        <f t="shared" ref="C646:C709" si="33">IF((D645-C645)=1,1,C645+1)</f>
        <v>28</v>
      </c>
      <c r="D646" s="8">
        <f t="shared" ref="D646:D709" si="34">IF((D645-C645)=1,D645-1,D645)</f>
        <v>57</v>
      </c>
      <c r="E646" s="8">
        <f>IFERROR(VLOOKUP(D646,$H$4:$I$70,2,0),"")</f>
        <v>209</v>
      </c>
      <c r="F646" s="9">
        <f>IFERROR(VLOOKUP(C646,$H$4:$I$70,2,0),"")</f>
        <v>408</v>
      </c>
    </row>
    <row r="647" spans="2:6" x14ac:dyDescent="0.2">
      <c r="B647" s="13">
        <f t="shared" si="32"/>
        <v>644</v>
      </c>
      <c r="C647" s="8">
        <f t="shared" si="33"/>
        <v>29</v>
      </c>
      <c r="D647" s="8">
        <f t="shared" si="34"/>
        <v>57</v>
      </c>
      <c r="E647" s="8">
        <f>IFERROR(VLOOKUP(D647,$H$4:$I$70,2,0),"")</f>
        <v>209</v>
      </c>
      <c r="F647" s="9">
        <f>IFERROR(VLOOKUP(C647,$H$4:$I$70,2,0),"")</f>
        <v>404</v>
      </c>
    </row>
    <row r="648" spans="2:6" x14ac:dyDescent="0.2">
      <c r="B648" s="13">
        <f t="shared" si="32"/>
        <v>645</v>
      </c>
      <c r="C648" s="8">
        <f t="shared" si="33"/>
        <v>30</v>
      </c>
      <c r="D648" s="8">
        <f t="shared" si="34"/>
        <v>57</v>
      </c>
      <c r="E648" s="8">
        <f>IFERROR(VLOOKUP(D648,$H$4:$I$70,2,0),"")</f>
        <v>209</v>
      </c>
      <c r="F648" s="9">
        <f>IFERROR(VLOOKUP(C648,$H$4:$I$70,2,0),"")</f>
        <v>399</v>
      </c>
    </row>
    <row r="649" spans="2:6" x14ac:dyDescent="0.2">
      <c r="B649" s="13">
        <f t="shared" si="32"/>
        <v>646</v>
      </c>
      <c r="C649" s="8">
        <f t="shared" si="33"/>
        <v>31</v>
      </c>
      <c r="D649" s="8">
        <f t="shared" si="34"/>
        <v>57</v>
      </c>
      <c r="E649" s="8">
        <f>IFERROR(VLOOKUP(D649,$H$4:$I$70,2,0),"")</f>
        <v>209</v>
      </c>
      <c r="F649" s="9">
        <f>IFERROR(VLOOKUP(C649,$H$4:$I$70,2,0),"")</f>
        <v>396</v>
      </c>
    </row>
    <row r="650" spans="2:6" x14ac:dyDescent="0.2">
      <c r="B650" s="13">
        <f t="shared" si="32"/>
        <v>647</v>
      </c>
      <c r="C650" s="8">
        <f t="shared" si="33"/>
        <v>32</v>
      </c>
      <c r="D650" s="8">
        <f t="shared" si="34"/>
        <v>57</v>
      </c>
      <c r="E650" s="8">
        <f>IFERROR(VLOOKUP(D650,$H$4:$I$70,2,0),"")</f>
        <v>209</v>
      </c>
      <c r="F650" s="9">
        <f>IFERROR(VLOOKUP(C650,$H$4:$I$70,2,0),"")</f>
        <v>384</v>
      </c>
    </row>
    <row r="651" spans="2:6" x14ac:dyDescent="0.2">
      <c r="B651" s="13">
        <f t="shared" si="32"/>
        <v>648</v>
      </c>
      <c r="C651" s="8">
        <f t="shared" si="33"/>
        <v>33</v>
      </c>
      <c r="D651" s="8">
        <f t="shared" si="34"/>
        <v>57</v>
      </c>
      <c r="E651" s="8">
        <f>IFERROR(VLOOKUP(D651,$H$4:$I$70,2,0),"")</f>
        <v>209</v>
      </c>
      <c r="F651" s="9">
        <f>IFERROR(VLOOKUP(C651,$H$4:$I$70,2,0),"")</f>
        <v>381</v>
      </c>
    </row>
    <row r="652" spans="2:6" x14ac:dyDescent="0.2">
      <c r="B652" s="13">
        <f t="shared" si="32"/>
        <v>649</v>
      </c>
      <c r="C652" s="8">
        <f t="shared" si="33"/>
        <v>34</v>
      </c>
      <c r="D652" s="8">
        <f t="shared" si="34"/>
        <v>57</v>
      </c>
      <c r="E652" s="8">
        <f>IFERROR(VLOOKUP(D652,$H$4:$I$70,2,0),"")</f>
        <v>209</v>
      </c>
      <c r="F652" s="9">
        <f>IFERROR(VLOOKUP(C652,$H$4:$I$70,2,0),"")</f>
        <v>376</v>
      </c>
    </row>
    <row r="653" spans="2:6" x14ac:dyDescent="0.2">
      <c r="B653" s="13">
        <f t="shared" si="32"/>
        <v>650</v>
      </c>
      <c r="C653" s="8">
        <f t="shared" si="33"/>
        <v>35</v>
      </c>
      <c r="D653" s="8">
        <f t="shared" si="34"/>
        <v>57</v>
      </c>
      <c r="E653" s="8">
        <f>IFERROR(VLOOKUP(D653,$H$4:$I$70,2,0),"")</f>
        <v>209</v>
      </c>
      <c r="F653" s="9">
        <f>IFERROR(VLOOKUP(C653,$H$4:$I$70,2,0),"")</f>
        <v>370</v>
      </c>
    </row>
    <row r="654" spans="2:6" x14ac:dyDescent="0.2">
      <c r="B654" s="13">
        <f t="shared" si="32"/>
        <v>651</v>
      </c>
      <c r="C654" s="8">
        <f t="shared" si="33"/>
        <v>36</v>
      </c>
      <c r="D654" s="8">
        <f t="shared" si="34"/>
        <v>57</v>
      </c>
      <c r="E654" s="8">
        <f>IFERROR(VLOOKUP(D654,$H$4:$I$70,2,0),"")</f>
        <v>209</v>
      </c>
      <c r="F654" s="9">
        <f>IFERROR(VLOOKUP(C654,$H$4:$I$70,2,0),"")</f>
        <v>362</v>
      </c>
    </row>
    <row r="655" spans="2:6" x14ac:dyDescent="0.2">
      <c r="B655" s="13">
        <f t="shared" si="32"/>
        <v>652</v>
      </c>
      <c r="C655" s="8">
        <f t="shared" si="33"/>
        <v>37</v>
      </c>
      <c r="D655" s="8">
        <f t="shared" si="34"/>
        <v>57</v>
      </c>
      <c r="E655" s="8">
        <f>IFERROR(VLOOKUP(D655,$H$4:$I$70,2,0),"")</f>
        <v>209</v>
      </c>
      <c r="F655" s="9">
        <f>IFERROR(VLOOKUP(C655,$H$4:$I$70,2,0),"")</f>
        <v>357</v>
      </c>
    </row>
    <row r="656" spans="2:6" x14ac:dyDescent="0.2">
      <c r="B656" s="13">
        <f t="shared" si="32"/>
        <v>653</v>
      </c>
      <c r="C656" s="8">
        <f t="shared" si="33"/>
        <v>38</v>
      </c>
      <c r="D656" s="8">
        <f t="shared" si="34"/>
        <v>57</v>
      </c>
      <c r="E656" s="8">
        <f>IFERROR(VLOOKUP(D656,$H$4:$I$70,2,0),"")</f>
        <v>209</v>
      </c>
      <c r="F656" s="9">
        <f>IFERROR(VLOOKUP(C656,$H$4:$I$70,2,0),"")</f>
        <v>351</v>
      </c>
    </row>
    <row r="657" spans="2:6" x14ac:dyDescent="0.2">
      <c r="B657" s="13">
        <f t="shared" si="32"/>
        <v>654</v>
      </c>
      <c r="C657" s="8">
        <f t="shared" si="33"/>
        <v>39</v>
      </c>
      <c r="D657" s="8">
        <f t="shared" si="34"/>
        <v>57</v>
      </c>
      <c r="E657" s="8">
        <f>IFERROR(VLOOKUP(D657,$H$4:$I$70,2,0),"")</f>
        <v>209</v>
      </c>
      <c r="F657" s="9">
        <f>IFERROR(VLOOKUP(C657,$H$4:$I$70,2,0),"")</f>
        <v>339</v>
      </c>
    </row>
    <row r="658" spans="2:6" x14ac:dyDescent="0.2">
      <c r="B658" s="13">
        <f t="shared" si="32"/>
        <v>655</v>
      </c>
      <c r="C658" s="8">
        <f t="shared" si="33"/>
        <v>40</v>
      </c>
      <c r="D658" s="8">
        <f t="shared" si="34"/>
        <v>57</v>
      </c>
      <c r="E658" s="8">
        <f>IFERROR(VLOOKUP(D658,$H$4:$I$70,2,0),"")</f>
        <v>209</v>
      </c>
      <c r="F658" s="9">
        <f>IFERROR(VLOOKUP(C658,$H$4:$I$70,2,0),"")</f>
        <v>304</v>
      </c>
    </row>
    <row r="659" spans="2:6" x14ac:dyDescent="0.2">
      <c r="B659" s="13">
        <f t="shared" si="32"/>
        <v>656</v>
      </c>
      <c r="C659" s="8">
        <f t="shared" si="33"/>
        <v>41</v>
      </c>
      <c r="D659" s="8">
        <f t="shared" si="34"/>
        <v>57</v>
      </c>
      <c r="E659" s="8">
        <f>IFERROR(VLOOKUP(D659,$H$4:$I$70,2,0),"")</f>
        <v>209</v>
      </c>
      <c r="F659" s="9">
        <f>IFERROR(VLOOKUP(C659,$H$4:$I$70,2,0),"")</f>
        <v>301</v>
      </c>
    </row>
    <row r="660" spans="2:6" x14ac:dyDescent="0.2">
      <c r="B660" s="13">
        <f t="shared" si="32"/>
        <v>657</v>
      </c>
      <c r="C660" s="8">
        <f t="shared" si="33"/>
        <v>42</v>
      </c>
      <c r="D660" s="8">
        <f t="shared" si="34"/>
        <v>57</v>
      </c>
      <c r="E660" s="8">
        <f>IFERROR(VLOOKUP(D660,$H$4:$I$70,2,0),"")</f>
        <v>209</v>
      </c>
      <c r="F660" s="9">
        <f>IFERROR(VLOOKUP(C660,$H$4:$I$70,2,0),"")</f>
        <v>300</v>
      </c>
    </row>
    <row r="661" spans="2:6" x14ac:dyDescent="0.2">
      <c r="B661" s="13">
        <f t="shared" si="32"/>
        <v>658</v>
      </c>
      <c r="C661" s="8">
        <f t="shared" si="33"/>
        <v>43</v>
      </c>
      <c r="D661" s="8">
        <f t="shared" si="34"/>
        <v>57</v>
      </c>
      <c r="E661" s="8">
        <f>IFERROR(VLOOKUP(D661,$H$4:$I$70,2,0),"")</f>
        <v>209</v>
      </c>
      <c r="F661" s="9">
        <f>IFERROR(VLOOKUP(C661,$H$4:$I$70,2,0),"")</f>
        <v>288</v>
      </c>
    </row>
    <row r="662" spans="2:6" x14ac:dyDescent="0.2">
      <c r="B662" s="13">
        <f t="shared" si="32"/>
        <v>659</v>
      </c>
      <c r="C662" s="8">
        <f t="shared" si="33"/>
        <v>44</v>
      </c>
      <c r="D662" s="8">
        <f t="shared" si="34"/>
        <v>57</v>
      </c>
      <c r="E662" s="8">
        <f>IFERROR(VLOOKUP(D662,$H$4:$I$70,2,0),"")</f>
        <v>209</v>
      </c>
      <c r="F662" s="9">
        <f>IFERROR(VLOOKUP(C662,$H$4:$I$70,2,0),"")</f>
        <v>273</v>
      </c>
    </row>
    <row r="663" spans="2:6" x14ac:dyDescent="0.2">
      <c r="B663" s="13">
        <f t="shared" si="32"/>
        <v>660</v>
      </c>
      <c r="C663" s="8">
        <f t="shared" si="33"/>
        <v>45</v>
      </c>
      <c r="D663" s="8">
        <f t="shared" si="34"/>
        <v>57</v>
      </c>
      <c r="E663" s="8">
        <f>IFERROR(VLOOKUP(D663,$H$4:$I$70,2,0),"")</f>
        <v>209</v>
      </c>
      <c r="F663" s="9">
        <f>IFERROR(VLOOKUP(C663,$H$4:$I$70,2,0),"")</f>
        <v>268</v>
      </c>
    </row>
    <row r="664" spans="2:6" x14ac:dyDescent="0.2">
      <c r="B664" s="13">
        <f t="shared" si="32"/>
        <v>661</v>
      </c>
      <c r="C664" s="8">
        <f t="shared" si="33"/>
        <v>46</v>
      </c>
      <c r="D664" s="8">
        <f t="shared" si="34"/>
        <v>57</v>
      </c>
      <c r="E664" s="8">
        <f>IFERROR(VLOOKUP(D664,$H$4:$I$70,2,0),"")</f>
        <v>209</v>
      </c>
      <c r="F664" s="9">
        <f>IFERROR(VLOOKUP(C664,$H$4:$I$70,2,0),"")</f>
        <v>262</v>
      </c>
    </row>
    <row r="665" spans="2:6" x14ac:dyDescent="0.2">
      <c r="B665" s="13">
        <f t="shared" si="32"/>
        <v>662</v>
      </c>
      <c r="C665" s="8">
        <f t="shared" si="33"/>
        <v>47</v>
      </c>
      <c r="D665" s="8">
        <f t="shared" si="34"/>
        <v>57</v>
      </c>
      <c r="E665" s="8">
        <f>IFERROR(VLOOKUP(D665,$H$4:$I$70,2,0),"")</f>
        <v>209</v>
      </c>
      <c r="F665" s="9">
        <f>IFERROR(VLOOKUP(C665,$H$4:$I$70,2,0),"")</f>
        <v>248</v>
      </c>
    </row>
    <row r="666" spans="2:6" x14ac:dyDescent="0.2">
      <c r="B666" s="13">
        <f t="shared" si="32"/>
        <v>663</v>
      </c>
      <c r="C666" s="8">
        <f t="shared" si="33"/>
        <v>48</v>
      </c>
      <c r="D666" s="8">
        <f t="shared" si="34"/>
        <v>57</v>
      </c>
      <c r="E666" s="8">
        <f>IFERROR(VLOOKUP(D666,$H$4:$I$70,2,0),"")</f>
        <v>209</v>
      </c>
      <c r="F666" s="9">
        <f>IFERROR(VLOOKUP(C666,$H$4:$I$70,2,0),"")</f>
        <v>246</v>
      </c>
    </row>
    <row r="667" spans="2:6" x14ac:dyDescent="0.2">
      <c r="B667" s="13">
        <f t="shared" si="32"/>
        <v>664</v>
      </c>
      <c r="C667" s="8">
        <f t="shared" si="33"/>
        <v>49</v>
      </c>
      <c r="D667" s="8">
        <f t="shared" si="34"/>
        <v>57</v>
      </c>
      <c r="E667" s="8">
        <f>IFERROR(VLOOKUP(D667,$H$4:$I$70,2,0),"")</f>
        <v>209</v>
      </c>
      <c r="F667" s="9">
        <f>IFERROR(VLOOKUP(C667,$H$4:$I$70,2,0),"")</f>
        <v>236</v>
      </c>
    </row>
    <row r="668" spans="2:6" x14ac:dyDescent="0.2">
      <c r="B668" s="13">
        <f t="shared" si="32"/>
        <v>665</v>
      </c>
      <c r="C668" s="8">
        <f t="shared" si="33"/>
        <v>50</v>
      </c>
      <c r="D668" s="8">
        <f t="shared" si="34"/>
        <v>57</v>
      </c>
      <c r="E668" s="8">
        <f>IFERROR(VLOOKUP(D668,$H$4:$I$70,2,0),"")</f>
        <v>209</v>
      </c>
      <c r="F668" s="9">
        <f>IFERROR(VLOOKUP(C668,$H$4:$I$70,2,0),"")</f>
        <v>231</v>
      </c>
    </row>
    <row r="669" spans="2:6" x14ac:dyDescent="0.2">
      <c r="B669" s="13">
        <f t="shared" si="32"/>
        <v>666</v>
      </c>
      <c r="C669" s="8">
        <f t="shared" si="33"/>
        <v>51</v>
      </c>
      <c r="D669" s="8">
        <f t="shared" si="34"/>
        <v>57</v>
      </c>
      <c r="E669" s="8">
        <f>IFERROR(VLOOKUP(D669,$H$4:$I$70,2,0),"")</f>
        <v>209</v>
      </c>
      <c r="F669" s="9">
        <f>IFERROR(VLOOKUP(C669,$H$4:$I$70,2,0),"")</f>
        <v>227</v>
      </c>
    </row>
    <row r="670" spans="2:6" x14ac:dyDescent="0.2">
      <c r="B670" s="13">
        <f t="shared" si="32"/>
        <v>667</v>
      </c>
      <c r="C670" s="8">
        <f t="shared" si="33"/>
        <v>52</v>
      </c>
      <c r="D670" s="8">
        <f t="shared" si="34"/>
        <v>57</v>
      </c>
      <c r="E670" s="8">
        <f>IFERROR(VLOOKUP(D670,$H$4:$I$70,2,0),"")</f>
        <v>209</v>
      </c>
      <c r="F670" s="9">
        <f>IFERROR(VLOOKUP(C670,$H$4:$I$70,2,0),"")</f>
        <v>224</v>
      </c>
    </row>
    <row r="671" spans="2:6" x14ac:dyDescent="0.2">
      <c r="B671" s="13">
        <f t="shared" si="32"/>
        <v>668</v>
      </c>
      <c r="C671" s="8">
        <f t="shared" si="33"/>
        <v>53</v>
      </c>
      <c r="D671" s="8">
        <f t="shared" si="34"/>
        <v>57</v>
      </c>
      <c r="E671" s="8">
        <f>IFERROR(VLOOKUP(D671,$H$4:$I$70,2,0),"")</f>
        <v>209</v>
      </c>
      <c r="F671" s="9">
        <f>IFERROR(VLOOKUP(C671,$H$4:$I$70,2,0),"")</f>
        <v>217</v>
      </c>
    </row>
    <row r="672" spans="2:6" x14ac:dyDescent="0.2">
      <c r="B672" s="13">
        <f t="shared" si="32"/>
        <v>669</v>
      </c>
      <c r="C672" s="8">
        <f t="shared" si="33"/>
        <v>54</v>
      </c>
      <c r="D672" s="8">
        <f t="shared" si="34"/>
        <v>57</v>
      </c>
      <c r="E672" s="8">
        <f>IFERROR(VLOOKUP(D672,$H$4:$I$70,2,0),"")</f>
        <v>209</v>
      </c>
      <c r="F672" s="9">
        <f>IFERROR(VLOOKUP(C672,$H$4:$I$70,2,0),"")</f>
        <v>213</v>
      </c>
    </row>
    <row r="673" spans="2:6" x14ac:dyDescent="0.2">
      <c r="B673" s="13">
        <f t="shared" si="32"/>
        <v>670</v>
      </c>
      <c r="C673" s="8">
        <f t="shared" si="33"/>
        <v>55</v>
      </c>
      <c r="D673" s="8">
        <f t="shared" si="34"/>
        <v>57</v>
      </c>
      <c r="E673" s="8">
        <f>IFERROR(VLOOKUP(D673,$H$4:$I$70,2,0),"")</f>
        <v>209</v>
      </c>
      <c r="F673" s="9">
        <f>IFERROR(VLOOKUP(C673,$H$4:$I$70,2,0),"")</f>
        <v>212</v>
      </c>
    </row>
    <row r="674" spans="2:6" x14ac:dyDescent="0.2">
      <c r="B674" s="13">
        <f t="shared" si="32"/>
        <v>671</v>
      </c>
      <c r="C674" s="8">
        <f t="shared" si="33"/>
        <v>56</v>
      </c>
      <c r="D674" s="8">
        <f t="shared" si="34"/>
        <v>57</v>
      </c>
      <c r="E674" s="8">
        <f>IFERROR(VLOOKUP(D674,$H$4:$I$70,2,0),"")</f>
        <v>209</v>
      </c>
      <c r="F674" s="9">
        <f>IFERROR(VLOOKUP(C674,$H$4:$I$70,2,0),"")</f>
        <v>211</v>
      </c>
    </row>
    <row r="675" spans="2:6" x14ac:dyDescent="0.2">
      <c r="B675" s="13">
        <f t="shared" si="32"/>
        <v>672</v>
      </c>
      <c r="C675" s="8">
        <f t="shared" si="33"/>
        <v>1</v>
      </c>
      <c r="D675" s="8">
        <f t="shared" si="34"/>
        <v>56</v>
      </c>
      <c r="E675" s="8">
        <f>IFERROR(VLOOKUP(D675,$H$4:$I$70,2,0),"")</f>
        <v>211</v>
      </c>
      <c r="F675" s="9">
        <f>IFERROR(VLOOKUP(C675,$H$4:$I$70,2,0),"")</f>
        <v>1344</v>
      </c>
    </row>
    <row r="676" spans="2:6" x14ac:dyDescent="0.2">
      <c r="B676" s="13">
        <f t="shared" si="32"/>
        <v>673</v>
      </c>
      <c r="C676" s="8">
        <f t="shared" si="33"/>
        <v>2</v>
      </c>
      <c r="D676" s="8">
        <f t="shared" si="34"/>
        <v>56</v>
      </c>
      <c r="E676" s="8">
        <f>IFERROR(VLOOKUP(D676,$H$4:$I$70,2,0),"")</f>
        <v>211</v>
      </c>
      <c r="F676" s="9">
        <f>IFERROR(VLOOKUP(C676,$H$4:$I$70,2,0),"")</f>
        <v>1048</v>
      </c>
    </row>
    <row r="677" spans="2:6" x14ac:dyDescent="0.2">
      <c r="B677" s="13">
        <f t="shared" si="32"/>
        <v>674</v>
      </c>
      <c r="C677" s="8">
        <f t="shared" si="33"/>
        <v>3</v>
      </c>
      <c r="D677" s="8">
        <f t="shared" si="34"/>
        <v>56</v>
      </c>
      <c r="E677" s="8">
        <f>IFERROR(VLOOKUP(D677,$H$4:$I$70,2,0),"")</f>
        <v>211</v>
      </c>
      <c r="F677" s="9">
        <f>IFERROR(VLOOKUP(C677,$H$4:$I$70,2,0),"")</f>
        <v>1025</v>
      </c>
    </row>
    <row r="678" spans="2:6" x14ac:dyDescent="0.2">
      <c r="B678" s="13">
        <f t="shared" si="32"/>
        <v>675</v>
      </c>
      <c r="C678" s="8">
        <f t="shared" si="33"/>
        <v>4</v>
      </c>
      <c r="D678" s="8">
        <f t="shared" si="34"/>
        <v>56</v>
      </c>
      <c r="E678" s="8">
        <f>IFERROR(VLOOKUP(D678,$H$4:$I$70,2,0),"")</f>
        <v>211</v>
      </c>
      <c r="F678" s="9">
        <f>IFERROR(VLOOKUP(C678,$H$4:$I$70,2,0),"")</f>
        <v>805</v>
      </c>
    </row>
    <row r="679" spans="2:6" x14ac:dyDescent="0.2">
      <c r="B679" s="13">
        <f t="shared" si="32"/>
        <v>676</v>
      </c>
      <c r="C679" s="8">
        <f t="shared" si="33"/>
        <v>5</v>
      </c>
      <c r="D679" s="8">
        <f t="shared" si="34"/>
        <v>56</v>
      </c>
      <c r="E679" s="8">
        <f>IFERROR(VLOOKUP(D679,$H$4:$I$70,2,0),"")</f>
        <v>211</v>
      </c>
      <c r="F679" s="9">
        <f>IFERROR(VLOOKUP(C679,$H$4:$I$70,2,0),"")</f>
        <v>666</v>
      </c>
    </row>
    <row r="680" spans="2:6" x14ac:dyDescent="0.2">
      <c r="B680" s="13">
        <f t="shared" si="32"/>
        <v>677</v>
      </c>
      <c r="C680" s="8">
        <f t="shared" si="33"/>
        <v>6</v>
      </c>
      <c r="D680" s="8">
        <f t="shared" si="34"/>
        <v>56</v>
      </c>
      <c r="E680" s="8">
        <f>IFERROR(VLOOKUP(D680,$H$4:$I$70,2,0),"")</f>
        <v>211</v>
      </c>
      <c r="F680" s="9">
        <f>IFERROR(VLOOKUP(C680,$H$4:$I$70,2,0),"")</f>
        <v>655</v>
      </c>
    </row>
    <row r="681" spans="2:6" x14ac:dyDescent="0.2">
      <c r="B681" s="13">
        <f t="shared" si="32"/>
        <v>678</v>
      </c>
      <c r="C681" s="8">
        <f t="shared" si="33"/>
        <v>7</v>
      </c>
      <c r="D681" s="8">
        <f t="shared" si="34"/>
        <v>56</v>
      </c>
      <c r="E681" s="8">
        <f>IFERROR(VLOOKUP(D681,$H$4:$I$70,2,0),"")</f>
        <v>211</v>
      </c>
      <c r="F681" s="9">
        <f>IFERROR(VLOOKUP(C681,$H$4:$I$70,2,0),"")</f>
        <v>652</v>
      </c>
    </row>
    <row r="682" spans="2:6" x14ac:dyDescent="0.2">
      <c r="B682" s="13">
        <f t="shared" si="32"/>
        <v>679</v>
      </c>
      <c r="C682" s="8">
        <f t="shared" si="33"/>
        <v>8</v>
      </c>
      <c r="D682" s="8">
        <f t="shared" si="34"/>
        <v>56</v>
      </c>
      <c r="E682" s="8">
        <f>IFERROR(VLOOKUP(D682,$H$4:$I$70,2,0),"")</f>
        <v>211</v>
      </c>
      <c r="F682" s="9">
        <f>IFERROR(VLOOKUP(C682,$H$4:$I$70,2,0),"")</f>
        <v>633</v>
      </c>
    </row>
    <row r="683" spans="2:6" x14ac:dyDescent="0.2">
      <c r="B683" s="13">
        <f t="shared" si="32"/>
        <v>680</v>
      </c>
      <c r="C683" s="8">
        <f t="shared" si="33"/>
        <v>9</v>
      </c>
      <c r="D683" s="8">
        <f t="shared" si="34"/>
        <v>56</v>
      </c>
      <c r="E683" s="8">
        <f>IFERROR(VLOOKUP(D683,$H$4:$I$70,2,0),"")</f>
        <v>211</v>
      </c>
      <c r="F683" s="9">
        <f>IFERROR(VLOOKUP(C683,$H$4:$I$70,2,0),"")</f>
        <v>632</v>
      </c>
    </row>
    <row r="684" spans="2:6" x14ac:dyDescent="0.2">
      <c r="B684" s="13">
        <f t="shared" si="32"/>
        <v>681</v>
      </c>
      <c r="C684" s="8">
        <f t="shared" si="33"/>
        <v>10</v>
      </c>
      <c r="D684" s="8">
        <f t="shared" si="34"/>
        <v>56</v>
      </c>
      <c r="E684" s="8">
        <f>IFERROR(VLOOKUP(D684,$H$4:$I$70,2,0),"")</f>
        <v>211</v>
      </c>
      <c r="F684" s="9">
        <f>IFERROR(VLOOKUP(C684,$H$4:$I$70,2,0),"")</f>
        <v>625</v>
      </c>
    </row>
    <row r="685" spans="2:6" x14ac:dyDescent="0.2">
      <c r="B685" s="13">
        <f t="shared" si="32"/>
        <v>682</v>
      </c>
      <c r="C685" s="8">
        <f t="shared" si="33"/>
        <v>11</v>
      </c>
      <c r="D685" s="8">
        <f t="shared" si="34"/>
        <v>56</v>
      </c>
      <c r="E685" s="8">
        <f>IFERROR(VLOOKUP(D685,$H$4:$I$70,2,0),"")</f>
        <v>211</v>
      </c>
      <c r="F685" s="9">
        <f>IFERROR(VLOOKUP(C685,$H$4:$I$70,2,0),"")</f>
        <v>619</v>
      </c>
    </row>
    <row r="686" spans="2:6" x14ac:dyDescent="0.2">
      <c r="B686" s="13">
        <f t="shared" si="32"/>
        <v>683</v>
      </c>
      <c r="C686" s="8">
        <f t="shared" si="33"/>
        <v>12</v>
      </c>
      <c r="D686" s="8">
        <f t="shared" si="34"/>
        <v>56</v>
      </c>
      <c r="E686" s="8">
        <f>IFERROR(VLOOKUP(D686,$H$4:$I$70,2,0),"")</f>
        <v>211</v>
      </c>
      <c r="F686" s="9">
        <f>IFERROR(VLOOKUP(C686,$H$4:$I$70,2,0),"")</f>
        <v>610</v>
      </c>
    </row>
    <row r="687" spans="2:6" x14ac:dyDescent="0.2">
      <c r="B687" s="13">
        <f t="shared" si="32"/>
        <v>684</v>
      </c>
      <c r="C687" s="8">
        <f t="shared" si="33"/>
        <v>13</v>
      </c>
      <c r="D687" s="8">
        <f t="shared" si="34"/>
        <v>56</v>
      </c>
      <c r="E687" s="8">
        <f>IFERROR(VLOOKUP(D687,$H$4:$I$70,2,0),"")</f>
        <v>211</v>
      </c>
      <c r="F687" s="9">
        <f>IFERROR(VLOOKUP(C687,$H$4:$I$70,2,0),"")</f>
        <v>599</v>
      </c>
    </row>
    <row r="688" spans="2:6" x14ac:dyDescent="0.2">
      <c r="B688" s="13">
        <f t="shared" si="32"/>
        <v>685</v>
      </c>
      <c r="C688" s="8">
        <f t="shared" si="33"/>
        <v>14</v>
      </c>
      <c r="D688" s="8">
        <f t="shared" si="34"/>
        <v>56</v>
      </c>
      <c r="E688" s="8">
        <f>IFERROR(VLOOKUP(D688,$H$4:$I$70,2,0),"")</f>
        <v>211</v>
      </c>
      <c r="F688" s="9">
        <f>IFERROR(VLOOKUP(C688,$H$4:$I$70,2,0),"")</f>
        <v>559</v>
      </c>
    </row>
    <row r="689" spans="2:6" x14ac:dyDescent="0.2">
      <c r="B689" s="13">
        <f t="shared" si="32"/>
        <v>686</v>
      </c>
      <c r="C689" s="8">
        <f t="shared" si="33"/>
        <v>15</v>
      </c>
      <c r="D689" s="8">
        <f t="shared" si="34"/>
        <v>56</v>
      </c>
      <c r="E689" s="8">
        <f>IFERROR(VLOOKUP(D689,$H$4:$I$70,2,0),"")</f>
        <v>211</v>
      </c>
      <c r="F689" s="9">
        <f>IFERROR(VLOOKUP(C689,$H$4:$I$70,2,0),"")</f>
        <v>556</v>
      </c>
    </row>
    <row r="690" spans="2:6" x14ac:dyDescent="0.2">
      <c r="B690" s="13">
        <f t="shared" si="32"/>
        <v>687</v>
      </c>
      <c r="C690" s="8">
        <f t="shared" si="33"/>
        <v>16</v>
      </c>
      <c r="D690" s="8">
        <f t="shared" si="34"/>
        <v>56</v>
      </c>
      <c r="E690" s="8">
        <f>IFERROR(VLOOKUP(D690,$H$4:$I$70,2,0),"")</f>
        <v>211</v>
      </c>
      <c r="F690" s="9">
        <f>IFERROR(VLOOKUP(C690,$H$4:$I$70,2,0),"")</f>
        <v>540</v>
      </c>
    </row>
    <row r="691" spans="2:6" x14ac:dyDescent="0.2">
      <c r="B691" s="13">
        <f t="shared" si="32"/>
        <v>688</v>
      </c>
      <c r="C691" s="8">
        <f t="shared" si="33"/>
        <v>17</v>
      </c>
      <c r="D691" s="8">
        <f t="shared" si="34"/>
        <v>56</v>
      </c>
      <c r="E691" s="8">
        <f>IFERROR(VLOOKUP(D691,$H$4:$I$70,2,0),"")</f>
        <v>211</v>
      </c>
      <c r="F691" s="9">
        <f>IFERROR(VLOOKUP(C691,$H$4:$I$70,2,0),"")</f>
        <v>536</v>
      </c>
    </row>
    <row r="692" spans="2:6" x14ac:dyDescent="0.2">
      <c r="B692" s="13">
        <f t="shared" si="32"/>
        <v>689</v>
      </c>
      <c r="C692" s="8">
        <f t="shared" si="33"/>
        <v>18</v>
      </c>
      <c r="D692" s="8">
        <f t="shared" si="34"/>
        <v>56</v>
      </c>
      <c r="E692" s="8">
        <f>IFERROR(VLOOKUP(D692,$H$4:$I$70,2,0),"")</f>
        <v>211</v>
      </c>
      <c r="F692" s="9">
        <f>IFERROR(VLOOKUP(C692,$H$4:$I$70,2,0),"")</f>
        <v>527</v>
      </c>
    </row>
    <row r="693" spans="2:6" x14ac:dyDescent="0.2">
      <c r="B693" s="13">
        <f t="shared" si="32"/>
        <v>690</v>
      </c>
      <c r="C693" s="8">
        <f t="shared" si="33"/>
        <v>19</v>
      </c>
      <c r="D693" s="8">
        <f t="shared" si="34"/>
        <v>56</v>
      </c>
      <c r="E693" s="8">
        <f>IFERROR(VLOOKUP(D693,$H$4:$I$70,2,0),"")</f>
        <v>211</v>
      </c>
      <c r="F693" s="9">
        <f>IFERROR(VLOOKUP(C693,$H$4:$I$70,2,0),"")</f>
        <v>478</v>
      </c>
    </row>
    <row r="694" spans="2:6" x14ac:dyDescent="0.2">
      <c r="B694" s="13">
        <f t="shared" si="32"/>
        <v>691</v>
      </c>
      <c r="C694" s="8">
        <f t="shared" si="33"/>
        <v>20</v>
      </c>
      <c r="D694" s="8">
        <f t="shared" si="34"/>
        <v>56</v>
      </c>
      <c r="E694" s="8">
        <f>IFERROR(VLOOKUP(D694,$H$4:$I$70,2,0),"")</f>
        <v>211</v>
      </c>
      <c r="F694" s="9">
        <f>IFERROR(VLOOKUP(C694,$H$4:$I$70,2,0),"")</f>
        <v>474</v>
      </c>
    </row>
    <row r="695" spans="2:6" x14ac:dyDescent="0.2">
      <c r="B695" s="13">
        <f t="shared" si="32"/>
        <v>692</v>
      </c>
      <c r="C695" s="8">
        <f t="shared" si="33"/>
        <v>21</v>
      </c>
      <c r="D695" s="8">
        <f t="shared" si="34"/>
        <v>56</v>
      </c>
      <c r="E695" s="8">
        <f>IFERROR(VLOOKUP(D695,$H$4:$I$70,2,0),"")</f>
        <v>211</v>
      </c>
      <c r="F695" s="9">
        <f>IFERROR(VLOOKUP(C695,$H$4:$I$70,2,0),"")</f>
        <v>468</v>
      </c>
    </row>
    <row r="696" spans="2:6" x14ac:dyDescent="0.2">
      <c r="B696" s="13">
        <f t="shared" si="32"/>
        <v>693</v>
      </c>
      <c r="C696" s="8">
        <f t="shared" si="33"/>
        <v>22</v>
      </c>
      <c r="D696" s="8">
        <f t="shared" si="34"/>
        <v>56</v>
      </c>
      <c r="E696" s="8">
        <f>IFERROR(VLOOKUP(D696,$H$4:$I$70,2,0),"")</f>
        <v>211</v>
      </c>
      <c r="F696" s="9">
        <f>IFERROR(VLOOKUP(C696,$H$4:$I$70,2,0),"")</f>
        <v>457</v>
      </c>
    </row>
    <row r="697" spans="2:6" x14ac:dyDescent="0.2">
      <c r="B697" s="13">
        <f t="shared" si="32"/>
        <v>694</v>
      </c>
      <c r="C697" s="8">
        <f t="shared" si="33"/>
        <v>23</v>
      </c>
      <c r="D697" s="8">
        <f t="shared" si="34"/>
        <v>56</v>
      </c>
      <c r="E697" s="8">
        <f>IFERROR(VLOOKUP(D697,$H$4:$I$70,2,0),"")</f>
        <v>211</v>
      </c>
      <c r="F697" s="9">
        <f>IFERROR(VLOOKUP(C697,$H$4:$I$70,2,0),"")</f>
        <v>452</v>
      </c>
    </row>
    <row r="698" spans="2:6" x14ac:dyDescent="0.2">
      <c r="B698" s="13">
        <f t="shared" si="32"/>
        <v>695</v>
      </c>
      <c r="C698" s="8">
        <f t="shared" si="33"/>
        <v>24</v>
      </c>
      <c r="D698" s="8">
        <f t="shared" si="34"/>
        <v>56</v>
      </c>
      <c r="E698" s="8">
        <f>IFERROR(VLOOKUP(D698,$H$4:$I$70,2,0),"")</f>
        <v>211</v>
      </c>
      <c r="F698" s="9">
        <f>IFERROR(VLOOKUP(C698,$H$4:$I$70,2,0),"")</f>
        <v>442</v>
      </c>
    </row>
    <row r="699" spans="2:6" x14ac:dyDescent="0.2">
      <c r="B699" s="13">
        <f t="shared" si="32"/>
        <v>696</v>
      </c>
      <c r="C699" s="8">
        <f t="shared" si="33"/>
        <v>25</v>
      </c>
      <c r="D699" s="8">
        <f t="shared" si="34"/>
        <v>56</v>
      </c>
      <c r="E699" s="8">
        <f>IFERROR(VLOOKUP(D699,$H$4:$I$70,2,0),"")</f>
        <v>211</v>
      </c>
      <c r="F699" s="9">
        <f>IFERROR(VLOOKUP(C699,$H$4:$I$70,2,0),"")</f>
        <v>420</v>
      </c>
    </row>
    <row r="700" spans="2:6" x14ac:dyDescent="0.2">
      <c r="B700" s="13">
        <f t="shared" si="32"/>
        <v>697</v>
      </c>
      <c r="C700" s="8">
        <f t="shared" si="33"/>
        <v>26</v>
      </c>
      <c r="D700" s="8">
        <f t="shared" si="34"/>
        <v>56</v>
      </c>
      <c r="E700" s="8">
        <f>IFERROR(VLOOKUP(D700,$H$4:$I$70,2,0),"")</f>
        <v>211</v>
      </c>
      <c r="F700" s="9">
        <f>IFERROR(VLOOKUP(C700,$H$4:$I$70,2,0),"")</f>
        <v>410</v>
      </c>
    </row>
    <row r="701" spans="2:6" x14ac:dyDescent="0.2">
      <c r="B701" s="13">
        <f t="shared" si="32"/>
        <v>698</v>
      </c>
      <c r="C701" s="8">
        <f t="shared" si="33"/>
        <v>27</v>
      </c>
      <c r="D701" s="8">
        <f t="shared" si="34"/>
        <v>56</v>
      </c>
      <c r="E701" s="8">
        <f>IFERROR(VLOOKUP(D701,$H$4:$I$70,2,0),"")</f>
        <v>211</v>
      </c>
      <c r="F701" s="9">
        <f>IFERROR(VLOOKUP(C701,$H$4:$I$70,2,0),"")</f>
        <v>409</v>
      </c>
    </row>
    <row r="702" spans="2:6" x14ac:dyDescent="0.2">
      <c r="B702" s="13">
        <f t="shared" si="32"/>
        <v>699</v>
      </c>
      <c r="C702" s="8">
        <f t="shared" si="33"/>
        <v>28</v>
      </c>
      <c r="D702" s="8">
        <f t="shared" si="34"/>
        <v>56</v>
      </c>
      <c r="E702" s="8">
        <f>IFERROR(VLOOKUP(D702,$H$4:$I$70,2,0),"")</f>
        <v>211</v>
      </c>
      <c r="F702" s="9">
        <f>IFERROR(VLOOKUP(C702,$H$4:$I$70,2,0),"")</f>
        <v>408</v>
      </c>
    </row>
    <row r="703" spans="2:6" x14ac:dyDescent="0.2">
      <c r="B703" s="13">
        <f t="shared" si="32"/>
        <v>700</v>
      </c>
      <c r="C703" s="8">
        <f t="shared" si="33"/>
        <v>29</v>
      </c>
      <c r="D703" s="8">
        <f t="shared" si="34"/>
        <v>56</v>
      </c>
      <c r="E703" s="8">
        <f>IFERROR(VLOOKUP(D703,$H$4:$I$70,2,0),"")</f>
        <v>211</v>
      </c>
      <c r="F703" s="9">
        <f>IFERROR(VLOOKUP(C703,$H$4:$I$70,2,0),"")</f>
        <v>404</v>
      </c>
    </row>
    <row r="704" spans="2:6" x14ac:dyDescent="0.2">
      <c r="B704" s="13">
        <f t="shared" si="32"/>
        <v>701</v>
      </c>
      <c r="C704" s="8">
        <f t="shared" si="33"/>
        <v>30</v>
      </c>
      <c r="D704" s="8">
        <f t="shared" si="34"/>
        <v>56</v>
      </c>
      <c r="E704" s="8">
        <f>IFERROR(VLOOKUP(D704,$H$4:$I$70,2,0),"")</f>
        <v>211</v>
      </c>
      <c r="F704" s="9">
        <f>IFERROR(VLOOKUP(C704,$H$4:$I$70,2,0),"")</f>
        <v>399</v>
      </c>
    </row>
    <row r="705" spans="2:6" x14ac:dyDescent="0.2">
      <c r="B705" s="13">
        <f t="shared" si="32"/>
        <v>702</v>
      </c>
      <c r="C705" s="8">
        <f t="shared" si="33"/>
        <v>31</v>
      </c>
      <c r="D705" s="8">
        <f t="shared" si="34"/>
        <v>56</v>
      </c>
      <c r="E705" s="8">
        <f>IFERROR(VLOOKUP(D705,$H$4:$I$70,2,0),"")</f>
        <v>211</v>
      </c>
      <c r="F705" s="9">
        <f>IFERROR(VLOOKUP(C705,$H$4:$I$70,2,0),"")</f>
        <v>396</v>
      </c>
    </row>
    <row r="706" spans="2:6" x14ac:dyDescent="0.2">
      <c r="B706" s="13">
        <f t="shared" si="32"/>
        <v>703</v>
      </c>
      <c r="C706" s="8">
        <f t="shared" si="33"/>
        <v>32</v>
      </c>
      <c r="D706" s="8">
        <f t="shared" si="34"/>
        <v>56</v>
      </c>
      <c r="E706" s="8">
        <f>IFERROR(VLOOKUP(D706,$H$4:$I$70,2,0),"")</f>
        <v>211</v>
      </c>
      <c r="F706" s="9">
        <f>IFERROR(VLOOKUP(C706,$H$4:$I$70,2,0),"")</f>
        <v>384</v>
      </c>
    </row>
    <row r="707" spans="2:6" x14ac:dyDescent="0.2">
      <c r="B707" s="13">
        <f t="shared" si="32"/>
        <v>704</v>
      </c>
      <c r="C707" s="8">
        <f t="shared" si="33"/>
        <v>33</v>
      </c>
      <c r="D707" s="8">
        <f t="shared" si="34"/>
        <v>56</v>
      </c>
      <c r="E707" s="8">
        <f>IFERROR(VLOOKUP(D707,$H$4:$I$70,2,0),"")</f>
        <v>211</v>
      </c>
      <c r="F707" s="9">
        <f>IFERROR(VLOOKUP(C707,$H$4:$I$70,2,0),"")</f>
        <v>381</v>
      </c>
    </row>
    <row r="708" spans="2:6" x14ac:dyDescent="0.2">
      <c r="B708" s="13">
        <f t="shared" si="32"/>
        <v>705</v>
      </c>
      <c r="C708" s="8">
        <f t="shared" si="33"/>
        <v>34</v>
      </c>
      <c r="D708" s="8">
        <f t="shared" si="34"/>
        <v>56</v>
      </c>
      <c r="E708" s="8">
        <f>IFERROR(VLOOKUP(D708,$H$4:$I$70,2,0),"")</f>
        <v>211</v>
      </c>
      <c r="F708" s="9">
        <f>IFERROR(VLOOKUP(C708,$H$4:$I$70,2,0),"")</f>
        <v>376</v>
      </c>
    </row>
    <row r="709" spans="2:6" x14ac:dyDescent="0.2">
      <c r="B709" s="13">
        <f t="shared" ref="B709:B772" si="35">ROW()-3</f>
        <v>706</v>
      </c>
      <c r="C709" s="8">
        <f t="shared" si="33"/>
        <v>35</v>
      </c>
      <c r="D709" s="8">
        <f t="shared" si="34"/>
        <v>56</v>
      </c>
      <c r="E709" s="8">
        <f>IFERROR(VLOOKUP(D709,$H$4:$I$70,2,0),"")</f>
        <v>211</v>
      </c>
      <c r="F709" s="9">
        <f>IFERROR(VLOOKUP(C709,$H$4:$I$70,2,0),"")</f>
        <v>370</v>
      </c>
    </row>
    <row r="710" spans="2:6" x14ac:dyDescent="0.2">
      <c r="B710" s="13">
        <f t="shared" si="35"/>
        <v>707</v>
      </c>
      <c r="C710" s="8">
        <f t="shared" ref="C710:C773" si="36">IF((D709-C709)=1,1,C709+1)</f>
        <v>36</v>
      </c>
      <c r="D710" s="8">
        <f t="shared" ref="D710:D773" si="37">IF((D709-C709)=1,D709-1,D709)</f>
        <v>56</v>
      </c>
      <c r="E710" s="8">
        <f>IFERROR(VLOOKUP(D710,$H$4:$I$70,2,0),"")</f>
        <v>211</v>
      </c>
      <c r="F710" s="9">
        <f>IFERROR(VLOOKUP(C710,$H$4:$I$70,2,0),"")</f>
        <v>362</v>
      </c>
    </row>
    <row r="711" spans="2:6" x14ac:dyDescent="0.2">
      <c r="B711" s="13">
        <f t="shared" si="35"/>
        <v>708</v>
      </c>
      <c r="C711" s="8">
        <f t="shared" si="36"/>
        <v>37</v>
      </c>
      <c r="D711" s="8">
        <f t="shared" si="37"/>
        <v>56</v>
      </c>
      <c r="E711" s="8">
        <f>IFERROR(VLOOKUP(D711,$H$4:$I$70,2,0),"")</f>
        <v>211</v>
      </c>
      <c r="F711" s="9">
        <f>IFERROR(VLOOKUP(C711,$H$4:$I$70,2,0),"")</f>
        <v>357</v>
      </c>
    </row>
    <row r="712" spans="2:6" x14ac:dyDescent="0.2">
      <c r="B712" s="13">
        <f t="shared" si="35"/>
        <v>709</v>
      </c>
      <c r="C712" s="8">
        <f t="shared" si="36"/>
        <v>38</v>
      </c>
      <c r="D712" s="8">
        <f t="shared" si="37"/>
        <v>56</v>
      </c>
      <c r="E712" s="8">
        <f>IFERROR(VLOOKUP(D712,$H$4:$I$70,2,0),"")</f>
        <v>211</v>
      </c>
      <c r="F712" s="9">
        <f>IFERROR(VLOOKUP(C712,$H$4:$I$70,2,0),"")</f>
        <v>351</v>
      </c>
    </row>
    <row r="713" spans="2:6" x14ac:dyDescent="0.2">
      <c r="B713" s="13">
        <f t="shared" si="35"/>
        <v>710</v>
      </c>
      <c r="C713" s="8">
        <f t="shared" si="36"/>
        <v>39</v>
      </c>
      <c r="D713" s="8">
        <f t="shared" si="37"/>
        <v>56</v>
      </c>
      <c r="E713" s="8">
        <f>IFERROR(VLOOKUP(D713,$H$4:$I$70,2,0),"")</f>
        <v>211</v>
      </c>
      <c r="F713" s="9">
        <f>IFERROR(VLOOKUP(C713,$H$4:$I$70,2,0),"")</f>
        <v>339</v>
      </c>
    </row>
    <row r="714" spans="2:6" x14ac:dyDescent="0.2">
      <c r="B714" s="13">
        <f t="shared" si="35"/>
        <v>711</v>
      </c>
      <c r="C714" s="8">
        <f t="shared" si="36"/>
        <v>40</v>
      </c>
      <c r="D714" s="8">
        <f t="shared" si="37"/>
        <v>56</v>
      </c>
      <c r="E714" s="8">
        <f>IFERROR(VLOOKUP(D714,$H$4:$I$70,2,0),"")</f>
        <v>211</v>
      </c>
      <c r="F714" s="9">
        <f>IFERROR(VLOOKUP(C714,$H$4:$I$70,2,0),"")</f>
        <v>304</v>
      </c>
    </row>
    <row r="715" spans="2:6" x14ac:dyDescent="0.2">
      <c r="B715" s="13">
        <f t="shared" si="35"/>
        <v>712</v>
      </c>
      <c r="C715" s="8">
        <f t="shared" si="36"/>
        <v>41</v>
      </c>
      <c r="D715" s="8">
        <f t="shared" si="37"/>
        <v>56</v>
      </c>
      <c r="E715" s="8">
        <f>IFERROR(VLOOKUP(D715,$H$4:$I$70,2,0),"")</f>
        <v>211</v>
      </c>
      <c r="F715" s="9">
        <f>IFERROR(VLOOKUP(C715,$H$4:$I$70,2,0),"")</f>
        <v>301</v>
      </c>
    </row>
    <row r="716" spans="2:6" x14ac:dyDescent="0.2">
      <c r="B716" s="13">
        <f t="shared" si="35"/>
        <v>713</v>
      </c>
      <c r="C716" s="8">
        <f t="shared" si="36"/>
        <v>42</v>
      </c>
      <c r="D716" s="8">
        <f t="shared" si="37"/>
        <v>56</v>
      </c>
      <c r="E716" s="8">
        <f>IFERROR(VLOOKUP(D716,$H$4:$I$70,2,0),"")</f>
        <v>211</v>
      </c>
      <c r="F716" s="9">
        <f>IFERROR(VLOOKUP(C716,$H$4:$I$70,2,0),"")</f>
        <v>300</v>
      </c>
    </row>
    <row r="717" spans="2:6" x14ac:dyDescent="0.2">
      <c r="B717" s="13">
        <f t="shared" si="35"/>
        <v>714</v>
      </c>
      <c r="C717" s="8">
        <f t="shared" si="36"/>
        <v>43</v>
      </c>
      <c r="D717" s="8">
        <f t="shared" si="37"/>
        <v>56</v>
      </c>
      <c r="E717" s="8">
        <f>IFERROR(VLOOKUP(D717,$H$4:$I$70,2,0),"")</f>
        <v>211</v>
      </c>
      <c r="F717" s="9">
        <f>IFERROR(VLOOKUP(C717,$H$4:$I$70,2,0),"")</f>
        <v>288</v>
      </c>
    </row>
    <row r="718" spans="2:6" x14ac:dyDescent="0.2">
      <c r="B718" s="13">
        <f t="shared" si="35"/>
        <v>715</v>
      </c>
      <c r="C718" s="8">
        <f t="shared" si="36"/>
        <v>44</v>
      </c>
      <c r="D718" s="8">
        <f t="shared" si="37"/>
        <v>56</v>
      </c>
      <c r="E718" s="8">
        <f>IFERROR(VLOOKUP(D718,$H$4:$I$70,2,0),"")</f>
        <v>211</v>
      </c>
      <c r="F718" s="9">
        <f>IFERROR(VLOOKUP(C718,$H$4:$I$70,2,0),"")</f>
        <v>273</v>
      </c>
    </row>
    <row r="719" spans="2:6" x14ac:dyDescent="0.2">
      <c r="B719" s="13">
        <f t="shared" si="35"/>
        <v>716</v>
      </c>
      <c r="C719" s="8">
        <f t="shared" si="36"/>
        <v>45</v>
      </c>
      <c r="D719" s="8">
        <f t="shared" si="37"/>
        <v>56</v>
      </c>
      <c r="E719" s="8">
        <f>IFERROR(VLOOKUP(D719,$H$4:$I$70,2,0),"")</f>
        <v>211</v>
      </c>
      <c r="F719" s="9">
        <f>IFERROR(VLOOKUP(C719,$H$4:$I$70,2,0),"")</f>
        <v>268</v>
      </c>
    </row>
    <row r="720" spans="2:6" x14ac:dyDescent="0.2">
      <c r="B720" s="13">
        <f t="shared" si="35"/>
        <v>717</v>
      </c>
      <c r="C720" s="8">
        <f t="shared" si="36"/>
        <v>46</v>
      </c>
      <c r="D720" s="8">
        <f t="shared" si="37"/>
        <v>56</v>
      </c>
      <c r="E720" s="8">
        <f>IFERROR(VLOOKUP(D720,$H$4:$I$70,2,0),"")</f>
        <v>211</v>
      </c>
      <c r="F720" s="9">
        <f>IFERROR(VLOOKUP(C720,$H$4:$I$70,2,0),"")</f>
        <v>262</v>
      </c>
    </row>
    <row r="721" spans="2:6" x14ac:dyDescent="0.2">
      <c r="B721" s="13">
        <f t="shared" si="35"/>
        <v>718</v>
      </c>
      <c r="C721" s="8">
        <f t="shared" si="36"/>
        <v>47</v>
      </c>
      <c r="D721" s="8">
        <f t="shared" si="37"/>
        <v>56</v>
      </c>
      <c r="E721" s="8">
        <f>IFERROR(VLOOKUP(D721,$H$4:$I$70,2,0),"")</f>
        <v>211</v>
      </c>
      <c r="F721" s="9">
        <f>IFERROR(VLOOKUP(C721,$H$4:$I$70,2,0),"")</f>
        <v>248</v>
      </c>
    </row>
    <row r="722" spans="2:6" x14ac:dyDescent="0.2">
      <c r="B722" s="13">
        <f t="shared" si="35"/>
        <v>719</v>
      </c>
      <c r="C722" s="8">
        <f t="shared" si="36"/>
        <v>48</v>
      </c>
      <c r="D722" s="8">
        <f t="shared" si="37"/>
        <v>56</v>
      </c>
      <c r="E722" s="8">
        <f>IFERROR(VLOOKUP(D722,$H$4:$I$70,2,0),"")</f>
        <v>211</v>
      </c>
      <c r="F722" s="9">
        <f>IFERROR(VLOOKUP(C722,$H$4:$I$70,2,0),"")</f>
        <v>246</v>
      </c>
    </row>
    <row r="723" spans="2:6" x14ac:dyDescent="0.2">
      <c r="B723" s="13">
        <f t="shared" si="35"/>
        <v>720</v>
      </c>
      <c r="C723" s="8">
        <f t="shared" si="36"/>
        <v>49</v>
      </c>
      <c r="D723" s="8">
        <f t="shared" si="37"/>
        <v>56</v>
      </c>
      <c r="E723" s="8">
        <f>IFERROR(VLOOKUP(D723,$H$4:$I$70,2,0),"")</f>
        <v>211</v>
      </c>
      <c r="F723" s="9">
        <f>IFERROR(VLOOKUP(C723,$H$4:$I$70,2,0),"")</f>
        <v>236</v>
      </c>
    </row>
    <row r="724" spans="2:6" x14ac:dyDescent="0.2">
      <c r="B724" s="13">
        <f t="shared" si="35"/>
        <v>721</v>
      </c>
      <c r="C724" s="8">
        <f t="shared" si="36"/>
        <v>50</v>
      </c>
      <c r="D724" s="8">
        <f t="shared" si="37"/>
        <v>56</v>
      </c>
      <c r="E724" s="8">
        <f>IFERROR(VLOOKUP(D724,$H$4:$I$70,2,0),"")</f>
        <v>211</v>
      </c>
      <c r="F724" s="9">
        <f>IFERROR(VLOOKUP(C724,$H$4:$I$70,2,0),"")</f>
        <v>231</v>
      </c>
    </row>
    <row r="725" spans="2:6" x14ac:dyDescent="0.2">
      <c r="B725" s="13">
        <f t="shared" si="35"/>
        <v>722</v>
      </c>
      <c r="C725" s="8">
        <f t="shared" si="36"/>
        <v>51</v>
      </c>
      <c r="D725" s="8">
        <f t="shared" si="37"/>
        <v>56</v>
      </c>
      <c r="E725" s="8">
        <f>IFERROR(VLOOKUP(D725,$H$4:$I$70,2,0),"")</f>
        <v>211</v>
      </c>
      <c r="F725" s="9">
        <f>IFERROR(VLOOKUP(C725,$H$4:$I$70,2,0),"")</f>
        <v>227</v>
      </c>
    </row>
    <row r="726" spans="2:6" x14ac:dyDescent="0.2">
      <c r="B726" s="13">
        <f t="shared" si="35"/>
        <v>723</v>
      </c>
      <c r="C726" s="8">
        <f t="shared" si="36"/>
        <v>52</v>
      </c>
      <c r="D726" s="8">
        <f t="shared" si="37"/>
        <v>56</v>
      </c>
      <c r="E726" s="8">
        <f>IFERROR(VLOOKUP(D726,$H$4:$I$70,2,0),"")</f>
        <v>211</v>
      </c>
      <c r="F726" s="9">
        <f>IFERROR(VLOOKUP(C726,$H$4:$I$70,2,0),"")</f>
        <v>224</v>
      </c>
    </row>
    <row r="727" spans="2:6" x14ac:dyDescent="0.2">
      <c r="B727" s="13">
        <f t="shared" si="35"/>
        <v>724</v>
      </c>
      <c r="C727" s="8">
        <f t="shared" si="36"/>
        <v>53</v>
      </c>
      <c r="D727" s="8">
        <f t="shared" si="37"/>
        <v>56</v>
      </c>
      <c r="E727" s="8">
        <f>IFERROR(VLOOKUP(D727,$H$4:$I$70,2,0),"")</f>
        <v>211</v>
      </c>
      <c r="F727" s="9">
        <f>IFERROR(VLOOKUP(C727,$H$4:$I$70,2,0),"")</f>
        <v>217</v>
      </c>
    </row>
    <row r="728" spans="2:6" x14ac:dyDescent="0.2">
      <c r="B728" s="13">
        <f t="shared" si="35"/>
        <v>725</v>
      </c>
      <c r="C728" s="8">
        <f t="shared" si="36"/>
        <v>54</v>
      </c>
      <c r="D728" s="8">
        <f t="shared" si="37"/>
        <v>56</v>
      </c>
      <c r="E728" s="8">
        <f>IFERROR(VLOOKUP(D728,$H$4:$I$70,2,0),"")</f>
        <v>211</v>
      </c>
      <c r="F728" s="9">
        <f>IFERROR(VLOOKUP(C728,$H$4:$I$70,2,0),"")</f>
        <v>213</v>
      </c>
    </row>
    <row r="729" spans="2:6" x14ac:dyDescent="0.2">
      <c r="B729" s="13">
        <f t="shared" si="35"/>
        <v>726</v>
      </c>
      <c r="C729" s="8">
        <f t="shared" si="36"/>
        <v>55</v>
      </c>
      <c r="D729" s="8">
        <f t="shared" si="37"/>
        <v>56</v>
      </c>
      <c r="E729" s="8">
        <f>IFERROR(VLOOKUP(D729,$H$4:$I$70,2,0),"")</f>
        <v>211</v>
      </c>
      <c r="F729" s="9">
        <f>IFERROR(VLOOKUP(C729,$H$4:$I$70,2,0),"")</f>
        <v>212</v>
      </c>
    </row>
    <row r="730" spans="2:6" x14ac:dyDescent="0.2">
      <c r="B730" s="13">
        <f t="shared" si="35"/>
        <v>727</v>
      </c>
      <c r="C730" s="8">
        <f t="shared" si="36"/>
        <v>1</v>
      </c>
      <c r="D730" s="8">
        <f t="shared" si="37"/>
        <v>55</v>
      </c>
      <c r="E730" s="8">
        <f>IFERROR(VLOOKUP(D730,$H$4:$I$70,2,0),"")</f>
        <v>212</v>
      </c>
      <c r="F730" s="9">
        <f>IFERROR(VLOOKUP(C730,$H$4:$I$70,2,0),"")</f>
        <v>1344</v>
      </c>
    </row>
    <row r="731" spans="2:6" x14ac:dyDescent="0.2">
      <c r="B731" s="13">
        <f t="shared" si="35"/>
        <v>728</v>
      </c>
      <c r="C731" s="8">
        <f t="shared" si="36"/>
        <v>2</v>
      </c>
      <c r="D731" s="8">
        <f t="shared" si="37"/>
        <v>55</v>
      </c>
      <c r="E731" s="8">
        <f>IFERROR(VLOOKUP(D731,$H$4:$I$70,2,0),"")</f>
        <v>212</v>
      </c>
      <c r="F731" s="9">
        <f>IFERROR(VLOOKUP(C731,$H$4:$I$70,2,0),"")</f>
        <v>1048</v>
      </c>
    </row>
    <row r="732" spans="2:6" x14ac:dyDescent="0.2">
      <c r="B732" s="13">
        <f t="shared" si="35"/>
        <v>729</v>
      </c>
      <c r="C732" s="8">
        <f t="shared" si="36"/>
        <v>3</v>
      </c>
      <c r="D732" s="8">
        <f t="shared" si="37"/>
        <v>55</v>
      </c>
      <c r="E732" s="8">
        <f>IFERROR(VLOOKUP(D732,$H$4:$I$70,2,0),"")</f>
        <v>212</v>
      </c>
      <c r="F732" s="9">
        <f>IFERROR(VLOOKUP(C732,$H$4:$I$70,2,0),"")</f>
        <v>1025</v>
      </c>
    </row>
    <row r="733" spans="2:6" x14ac:dyDescent="0.2">
      <c r="B733" s="13">
        <f t="shared" si="35"/>
        <v>730</v>
      </c>
      <c r="C733" s="8">
        <f t="shared" si="36"/>
        <v>4</v>
      </c>
      <c r="D733" s="8">
        <f t="shared" si="37"/>
        <v>55</v>
      </c>
      <c r="E733" s="8">
        <f>IFERROR(VLOOKUP(D733,$H$4:$I$70,2,0),"")</f>
        <v>212</v>
      </c>
      <c r="F733" s="9">
        <f>IFERROR(VLOOKUP(C733,$H$4:$I$70,2,0),"")</f>
        <v>805</v>
      </c>
    </row>
    <row r="734" spans="2:6" x14ac:dyDescent="0.2">
      <c r="B734" s="13">
        <f t="shared" si="35"/>
        <v>731</v>
      </c>
      <c r="C734" s="8">
        <f t="shared" si="36"/>
        <v>5</v>
      </c>
      <c r="D734" s="8">
        <f t="shared" si="37"/>
        <v>55</v>
      </c>
      <c r="E734" s="8">
        <f>IFERROR(VLOOKUP(D734,$H$4:$I$70,2,0),"")</f>
        <v>212</v>
      </c>
      <c r="F734" s="9">
        <f>IFERROR(VLOOKUP(C734,$H$4:$I$70,2,0),"")</f>
        <v>666</v>
      </c>
    </row>
    <row r="735" spans="2:6" x14ac:dyDescent="0.2">
      <c r="B735" s="13">
        <f t="shared" si="35"/>
        <v>732</v>
      </c>
      <c r="C735" s="8">
        <f t="shared" si="36"/>
        <v>6</v>
      </c>
      <c r="D735" s="8">
        <f t="shared" si="37"/>
        <v>55</v>
      </c>
      <c r="E735" s="8">
        <f>IFERROR(VLOOKUP(D735,$H$4:$I$70,2,0),"")</f>
        <v>212</v>
      </c>
      <c r="F735" s="9">
        <f>IFERROR(VLOOKUP(C735,$H$4:$I$70,2,0),"")</f>
        <v>655</v>
      </c>
    </row>
    <row r="736" spans="2:6" x14ac:dyDescent="0.2">
      <c r="B736" s="13">
        <f t="shared" si="35"/>
        <v>733</v>
      </c>
      <c r="C736" s="8">
        <f t="shared" si="36"/>
        <v>7</v>
      </c>
      <c r="D736" s="8">
        <f t="shared" si="37"/>
        <v>55</v>
      </c>
      <c r="E736" s="8">
        <f>IFERROR(VLOOKUP(D736,$H$4:$I$70,2,0),"")</f>
        <v>212</v>
      </c>
      <c r="F736" s="9">
        <f>IFERROR(VLOOKUP(C736,$H$4:$I$70,2,0),"")</f>
        <v>652</v>
      </c>
    </row>
    <row r="737" spans="2:6" x14ac:dyDescent="0.2">
      <c r="B737" s="13">
        <f t="shared" si="35"/>
        <v>734</v>
      </c>
      <c r="C737" s="8">
        <f t="shared" si="36"/>
        <v>8</v>
      </c>
      <c r="D737" s="8">
        <f t="shared" si="37"/>
        <v>55</v>
      </c>
      <c r="E737" s="8">
        <f>IFERROR(VLOOKUP(D737,$H$4:$I$70,2,0),"")</f>
        <v>212</v>
      </c>
      <c r="F737" s="9">
        <f>IFERROR(VLOOKUP(C737,$H$4:$I$70,2,0),"")</f>
        <v>633</v>
      </c>
    </row>
    <row r="738" spans="2:6" x14ac:dyDescent="0.2">
      <c r="B738" s="13">
        <f t="shared" si="35"/>
        <v>735</v>
      </c>
      <c r="C738" s="8">
        <f t="shared" si="36"/>
        <v>9</v>
      </c>
      <c r="D738" s="8">
        <f t="shared" si="37"/>
        <v>55</v>
      </c>
      <c r="E738" s="8">
        <f>IFERROR(VLOOKUP(D738,$H$4:$I$70,2,0),"")</f>
        <v>212</v>
      </c>
      <c r="F738" s="9">
        <f>IFERROR(VLOOKUP(C738,$H$4:$I$70,2,0),"")</f>
        <v>632</v>
      </c>
    </row>
    <row r="739" spans="2:6" x14ac:dyDescent="0.2">
      <c r="B739" s="13">
        <f t="shared" si="35"/>
        <v>736</v>
      </c>
      <c r="C739" s="8">
        <f t="shared" si="36"/>
        <v>10</v>
      </c>
      <c r="D739" s="8">
        <f t="shared" si="37"/>
        <v>55</v>
      </c>
      <c r="E739" s="8">
        <f>IFERROR(VLOOKUP(D739,$H$4:$I$70,2,0),"")</f>
        <v>212</v>
      </c>
      <c r="F739" s="9">
        <f>IFERROR(VLOOKUP(C739,$H$4:$I$70,2,0),"")</f>
        <v>625</v>
      </c>
    </row>
    <row r="740" spans="2:6" x14ac:dyDescent="0.2">
      <c r="B740" s="13">
        <f t="shared" si="35"/>
        <v>737</v>
      </c>
      <c r="C740" s="8">
        <f t="shared" si="36"/>
        <v>11</v>
      </c>
      <c r="D740" s="8">
        <f t="shared" si="37"/>
        <v>55</v>
      </c>
      <c r="E740" s="8">
        <f>IFERROR(VLOOKUP(D740,$H$4:$I$70,2,0),"")</f>
        <v>212</v>
      </c>
      <c r="F740" s="9">
        <f>IFERROR(VLOOKUP(C740,$H$4:$I$70,2,0),"")</f>
        <v>619</v>
      </c>
    </row>
    <row r="741" spans="2:6" x14ac:dyDescent="0.2">
      <c r="B741" s="13">
        <f t="shared" si="35"/>
        <v>738</v>
      </c>
      <c r="C741" s="8">
        <f t="shared" si="36"/>
        <v>12</v>
      </c>
      <c r="D741" s="8">
        <f t="shared" si="37"/>
        <v>55</v>
      </c>
      <c r="E741" s="8">
        <f>IFERROR(VLOOKUP(D741,$H$4:$I$70,2,0),"")</f>
        <v>212</v>
      </c>
      <c r="F741" s="9">
        <f>IFERROR(VLOOKUP(C741,$H$4:$I$70,2,0),"")</f>
        <v>610</v>
      </c>
    </row>
    <row r="742" spans="2:6" x14ac:dyDescent="0.2">
      <c r="B742" s="13">
        <f t="shared" si="35"/>
        <v>739</v>
      </c>
      <c r="C742" s="8">
        <f t="shared" si="36"/>
        <v>13</v>
      </c>
      <c r="D742" s="8">
        <f t="shared" si="37"/>
        <v>55</v>
      </c>
      <c r="E742" s="8">
        <f>IFERROR(VLOOKUP(D742,$H$4:$I$70,2,0),"")</f>
        <v>212</v>
      </c>
      <c r="F742" s="9">
        <f>IFERROR(VLOOKUP(C742,$H$4:$I$70,2,0),"")</f>
        <v>599</v>
      </c>
    </row>
    <row r="743" spans="2:6" x14ac:dyDescent="0.2">
      <c r="B743" s="13">
        <f t="shared" si="35"/>
        <v>740</v>
      </c>
      <c r="C743" s="8">
        <f t="shared" si="36"/>
        <v>14</v>
      </c>
      <c r="D743" s="8">
        <f t="shared" si="37"/>
        <v>55</v>
      </c>
      <c r="E743" s="8">
        <f>IFERROR(VLOOKUP(D743,$H$4:$I$70,2,0),"")</f>
        <v>212</v>
      </c>
      <c r="F743" s="9">
        <f>IFERROR(VLOOKUP(C743,$H$4:$I$70,2,0),"")</f>
        <v>559</v>
      </c>
    </row>
    <row r="744" spans="2:6" x14ac:dyDescent="0.2">
      <c r="B744" s="13">
        <f t="shared" si="35"/>
        <v>741</v>
      </c>
      <c r="C744" s="8">
        <f t="shared" si="36"/>
        <v>15</v>
      </c>
      <c r="D744" s="8">
        <f t="shared" si="37"/>
        <v>55</v>
      </c>
      <c r="E744" s="8">
        <f>IFERROR(VLOOKUP(D744,$H$4:$I$70,2,0),"")</f>
        <v>212</v>
      </c>
      <c r="F744" s="9">
        <f>IFERROR(VLOOKUP(C744,$H$4:$I$70,2,0),"")</f>
        <v>556</v>
      </c>
    </row>
    <row r="745" spans="2:6" x14ac:dyDescent="0.2">
      <c r="B745" s="13">
        <f t="shared" si="35"/>
        <v>742</v>
      </c>
      <c r="C745" s="8">
        <f t="shared" si="36"/>
        <v>16</v>
      </c>
      <c r="D745" s="8">
        <f t="shared" si="37"/>
        <v>55</v>
      </c>
      <c r="E745" s="8">
        <f>IFERROR(VLOOKUP(D745,$H$4:$I$70,2,0),"")</f>
        <v>212</v>
      </c>
      <c r="F745" s="9">
        <f>IFERROR(VLOOKUP(C745,$H$4:$I$70,2,0),"")</f>
        <v>540</v>
      </c>
    </row>
    <row r="746" spans="2:6" x14ac:dyDescent="0.2">
      <c r="B746" s="13">
        <f t="shared" si="35"/>
        <v>743</v>
      </c>
      <c r="C746" s="8">
        <f t="shared" si="36"/>
        <v>17</v>
      </c>
      <c r="D746" s="8">
        <f t="shared" si="37"/>
        <v>55</v>
      </c>
      <c r="E746" s="8">
        <f>IFERROR(VLOOKUP(D746,$H$4:$I$70,2,0),"")</f>
        <v>212</v>
      </c>
      <c r="F746" s="9">
        <f>IFERROR(VLOOKUP(C746,$H$4:$I$70,2,0),"")</f>
        <v>536</v>
      </c>
    </row>
    <row r="747" spans="2:6" x14ac:dyDescent="0.2">
      <c r="B747" s="13">
        <f t="shared" si="35"/>
        <v>744</v>
      </c>
      <c r="C747" s="8">
        <f t="shared" si="36"/>
        <v>18</v>
      </c>
      <c r="D747" s="8">
        <f t="shared" si="37"/>
        <v>55</v>
      </c>
      <c r="E747" s="8">
        <f>IFERROR(VLOOKUP(D747,$H$4:$I$70,2,0),"")</f>
        <v>212</v>
      </c>
      <c r="F747" s="9">
        <f>IFERROR(VLOOKUP(C747,$H$4:$I$70,2,0),"")</f>
        <v>527</v>
      </c>
    </row>
    <row r="748" spans="2:6" x14ac:dyDescent="0.2">
      <c r="B748" s="13">
        <f t="shared" si="35"/>
        <v>745</v>
      </c>
      <c r="C748" s="8">
        <f t="shared" si="36"/>
        <v>19</v>
      </c>
      <c r="D748" s="8">
        <f t="shared" si="37"/>
        <v>55</v>
      </c>
      <c r="E748" s="8">
        <f>IFERROR(VLOOKUP(D748,$H$4:$I$70,2,0),"")</f>
        <v>212</v>
      </c>
      <c r="F748" s="9">
        <f>IFERROR(VLOOKUP(C748,$H$4:$I$70,2,0),"")</f>
        <v>478</v>
      </c>
    </row>
    <row r="749" spans="2:6" x14ac:dyDescent="0.2">
      <c r="B749" s="13">
        <f t="shared" si="35"/>
        <v>746</v>
      </c>
      <c r="C749" s="8">
        <f t="shared" si="36"/>
        <v>20</v>
      </c>
      <c r="D749" s="8">
        <f t="shared" si="37"/>
        <v>55</v>
      </c>
      <c r="E749" s="8">
        <f>IFERROR(VLOOKUP(D749,$H$4:$I$70,2,0),"")</f>
        <v>212</v>
      </c>
      <c r="F749" s="9">
        <f>IFERROR(VLOOKUP(C749,$H$4:$I$70,2,0),"")</f>
        <v>474</v>
      </c>
    </row>
    <row r="750" spans="2:6" x14ac:dyDescent="0.2">
      <c r="B750" s="13">
        <f t="shared" si="35"/>
        <v>747</v>
      </c>
      <c r="C750" s="8">
        <f t="shared" si="36"/>
        <v>21</v>
      </c>
      <c r="D750" s="8">
        <f t="shared" si="37"/>
        <v>55</v>
      </c>
      <c r="E750" s="8">
        <f>IFERROR(VLOOKUP(D750,$H$4:$I$70,2,0),"")</f>
        <v>212</v>
      </c>
      <c r="F750" s="9">
        <f>IFERROR(VLOOKUP(C750,$H$4:$I$70,2,0),"")</f>
        <v>468</v>
      </c>
    </row>
    <row r="751" spans="2:6" x14ac:dyDescent="0.2">
      <c r="B751" s="13">
        <f t="shared" si="35"/>
        <v>748</v>
      </c>
      <c r="C751" s="8">
        <f t="shared" si="36"/>
        <v>22</v>
      </c>
      <c r="D751" s="8">
        <f t="shared" si="37"/>
        <v>55</v>
      </c>
      <c r="E751" s="8">
        <f>IFERROR(VLOOKUP(D751,$H$4:$I$70,2,0),"")</f>
        <v>212</v>
      </c>
      <c r="F751" s="9">
        <f>IFERROR(VLOOKUP(C751,$H$4:$I$70,2,0),"")</f>
        <v>457</v>
      </c>
    </row>
    <row r="752" spans="2:6" x14ac:dyDescent="0.2">
      <c r="B752" s="13">
        <f t="shared" si="35"/>
        <v>749</v>
      </c>
      <c r="C752" s="8">
        <f t="shared" si="36"/>
        <v>23</v>
      </c>
      <c r="D752" s="8">
        <f t="shared" si="37"/>
        <v>55</v>
      </c>
      <c r="E752" s="8">
        <f>IFERROR(VLOOKUP(D752,$H$4:$I$70,2,0),"")</f>
        <v>212</v>
      </c>
      <c r="F752" s="9">
        <f>IFERROR(VLOOKUP(C752,$H$4:$I$70,2,0),"")</f>
        <v>452</v>
      </c>
    </row>
    <row r="753" spans="2:6" x14ac:dyDescent="0.2">
      <c r="B753" s="13">
        <f t="shared" si="35"/>
        <v>750</v>
      </c>
      <c r="C753" s="8">
        <f t="shared" si="36"/>
        <v>24</v>
      </c>
      <c r="D753" s="8">
        <f t="shared" si="37"/>
        <v>55</v>
      </c>
      <c r="E753" s="8">
        <f>IFERROR(VLOOKUP(D753,$H$4:$I$70,2,0),"")</f>
        <v>212</v>
      </c>
      <c r="F753" s="9">
        <f>IFERROR(VLOOKUP(C753,$H$4:$I$70,2,0),"")</f>
        <v>442</v>
      </c>
    </row>
    <row r="754" spans="2:6" x14ac:dyDescent="0.2">
      <c r="B754" s="13">
        <f t="shared" si="35"/>
        <v>751</v>
      </c>
      <c r="C754" s="8">
        <f t="shared" si="36"/>
        <v>25</v>
      </c>
      <c r="D754" s="8">
        <f t="shared" si="37"/>
        <v>55</v>
      </c>
      <c r="E754" s="8">
        <f>IFERROR(VLOOKUP(D754,$H$4:$I$70,2,0),"")</f>
        <v>212</v>
      </c>
      <c r="F754" s="9">
        <f>IFERROR(VLOOKUP(C754,$H$4:$I$70,2,0),"")</f>
        <v>420</v>
      </c>
    </row>
    <row r="755" spans="2:6" x14ac:dyDescent="0.2">
      <c r="B755" s="13">
        <f t="shared" si="35"/>
        <v>752</v>
      </c>
      <c r="C755" s="8">
        <f t="shared" si="36"/>
        <v>26</v>
      </c>
      <c r="D755" s="8">
        <f t="shared" si="37"/>
        <v>55</v>
      </c>
      <c r="E755" s="8">
        <f>IFERROR(VLOOKUP(D755,$H$4:$I$70,2,0),"")</f>
        <v>212</v>
      </c>
      <c r="F755" s="9">
        <f>IFERROR(VLOOKUP(C755,$H$4:$I$70,2,0),"")</f>
        <v>410</v>
      </c>
    </row>
    <row r="756" spans="2:6" x14ac:dyDescent="0.2">
      <c r="B756" s="13">
        <f t="shared" si="35"/>
        <v>753</v>
      </c>
      <c r="C756" s="8">
        <f t="shared" si="36"/>
        <v>27</v>
      </c>
      <c r="D756" s="8">
        <f t="shared" si="37"/>
        <v>55</v>
      </c>
      <c r="E756" s="8">
        <f>IFERROR(VLOOKUP(D756,$H$4:$I$70,2,0),"")</f>
        <v>212</v>
      </c>
      <c r="F756" s="9">
        <f>IFERROR(VLOOKUP(C756,$H$4:$I$70,2,0),"")</f>
        <v>409</v>
      </c>
    </row>
    <row r="757" spans="2:6" x14ac:dyDescent="0.2">
      <c r="B757" s="13">
        <f t="shared" si="35"/>
        <v>754</v>
      </c>
      <c r="C757" s="8">
        <f t="shared" si="36"/>
        <v>28</v>
      </c>
      <c r="D757" s="8">
        <f t="shared" si="37"/>
        <v>55</v>
      </c>
      <c r="E757" s="8">
        <f>IFERROR(VLOOKUP(D757,$H$4:$I$70,2,0),"")</f>
        <v>212</v>
      </c>
      <c r="F757" s="9">
        <f>IFERROR(VLOOKUP(C757,$H$4:$I$70,2,0),"")</f>
        <v>408</v>
      </c>
    </row>
    <row r="758" spans="2:6" x14ac:dyDescent="0.2">
      <c r="B758" s="13">
        <f t="shared" si="35"/>
        <v>755</v>
      </c>
      <c r="C758" s="8">
        <f t="shared" si="36"/>
        <v>29</v>
      </c>
      <c r="D758" s="8">
        <f t="shared" si="37"/>
        <v>55</v>
      </c>
      <c r="E758" s="8">
        <f>IFERROR(VLOOKUP(D758,$H$4:$I$70,2,0),"")</f>
        <v>212</v>
      </c>
      <c r="F758" s="9">
        <f>IFERROR(VLOOKUP(C758,$H$4:$I$70,2,0),"")</f>
        <v>404</v>
      </c>
    </row>
    <row r="759" spans="2:6" x14ac:dyDescent="0.2">
      <c r="B759" s="13">
        <f t="shared" si="35"/>
        <v>756</v>
      </c>
      <c r="C759" s="8">
        <f t="shared" si="36"/>
        <v>30</v>
      </c>
      <c r="D759" s="8">
        <f t="shared" si="37"/>
        <v>55</v>
      </c>
      <c r="E759" s="8">
        <f>IFERROR(VLOOKUP(D759,$H$4:$I$70,2,0),"")</f>
        <v>212</v>
      </c>
      <c r="F759" s="9">
        <f>IFERROR(VLOOKUP(C759,$H$4:$I$70,2,0),"")</f>
        <v>399</v>
      </c>
    </row>
    <row r="760" spans="2:6" x14ac:dyDescent="0.2">
      <c r="B760" s="13">
        <f t="shared" si="35"/>
        <v>757</v>
      </c>
      <c r="C760" s="8">
        <f t="shared" si="36"/>
        <v>31</v>
      </c>
      <c r="D760" s="8">
        <f t="shared" si="37"/>
        <v>55</v>
      </c>
      <c r="E760" s="8">
        <f>IFERROR(VLOOKUP(D760,$H$4:$I$70,2,0),"")</f>
        <v>212</v>
      </c>
      <c r="F760" s="9">
        <f>IFERROR(VLOOKUP(C760,$H$4:$I$70,2,0),"")</f>
        <v>396</v>
      </c>
    </row>
    <row r="761" spans="2:6" x14ac:dyDescent="0.2">
      <c r="B761" s="13">
        <f t="shared" si="35"/>
        <v>758</v>
      </c>
      <c r="C761" s="8">
        <f t="shared" si="36"/>
        <v>32</v>
      </c>
      <c r="D761" s="8">
        <f t="shared" si="37"/>
        <v>55</v>
      </c>
      <c r="E761" s="8">
        <f>IFERROR(VLOOKUP(D761,$H$4:$I$70,2,0),"")</f>
        <v>212</v>
      </c>
      <c r="F761" s="9">
        <f>IFERROR(VLOOKUP(C761,$H$4:$I$70,2,0),"")</f>
        <v>384</v>
      </c>
    </row>
    <row r="762" spans="2:6" x14ac:dyDescent="0.2">
      <c r="B762" s="13">
        <f t="shared" si="35"/>
        <v>759</v>
      </c>
      <c r="C762" s="8">
        <f t="shared" si="36"/>
        <v>33</v>
      </c>
      <c r="D762" s="8">
        <f t="shared" si="37"/>
        <v>55</v>
      </c>
      <c r="E762" s="8">
        <f>IFERROR(VLOOKUP(D762,$H$4:$I$70,2,0),"")</f>
        <v>212</v>
      </c>
      <c r="F762" s="9">
        <f>IFERROR(VLOOKUP(C762,$H$4:$I$70,2,0),"")</f>
        <v>381</v>
      </c>
    </row>
    <row r="763" spans="2:6" x14ac:dyDescent="0.2">
      <c r="B763" s="13">
        <f t="shared" si="35"/>
        <v>760</v>
      </c>
      <c r="C763" s="8">
        <f t="shared" si="36"/>
        <v>34</v>
      </c>
      <c r="D763" s="8">
        <f t="shared" si="37"/>
        <v>55</v>
      </c>
      <c r="E763" s="8">
        <f>IFERROR(VLOOKUP(D763,$H$4:$I$70,2,0),"")</f>
        <v>212</v>
      </c>
      <c r="F763" s="9">
        <f>IFERROR(VLOOKUP(C763,$H$4:$I$70,2,0),"")</f>
        <v>376</v>
      </c>
    </row>
    <row r="764" spans="2:6" x14ac:dyDescent="0.2">
      <c r="B764" s="13">
        <f t="shared" si="35"/>
        <v>761</v>
      </c>
      <c r="C764" s="8">
        <f t="shared" si="36"/>
        <v>35</v>
      </c>
      <c r="D764" s="8">
        <f t="shared" si="37"/>
        <v>55</v>
      </c>
      <c r="E764" s="8">
        <f>IFERROR(VLOOKUP(D764,$H$4:$I$70,2,0),"")</f>
        <v>212</v>
      </c>
      <c r="F764" s="9">
        <f>IFERROR(VLOOKUP(C764,$H$4:$I$70,2,0),"")</f>
        <v>370</v>
      </c>
    </row>
    <row r="765" spans="2:6" x14ac:dyDescent="0.2">
      <c r="B765" s="13">
        <f t="shared" si="35"/>
        <v>762</v>
      </c>
      <c r="C765" s="8">
        <f t="shared" si="36"/>
        <v>36</v>
      </c>
      <c r="D765" s="8">
        <f t="shared" si="37"/>
        <v>55</v>
      </c>
      <c r="E765" s="8">
        <f>IFERROR(VLOOKUP(D765,$H$4:$I$70,2,0),"")</f>
        <v>212</v>
      </c>
      <c r="F765" s="9">
        <f>IFERROR(VLOOKUP(C765,$H$4:$I$70,2,0),"")</f>
        <v>362</v>
      </c>
    </row>
    <row r="766" spans="2:6" x14ac:dyDescent="0.2">
      <c r="B766" s="13">
        <f t="shared" si="35"/>
        <v>763</v>
      </c>
      <c r="C766" s="8">
        <f t="shared" si="36"/>
        <v>37</v>
      </c>
      <c r="D766" s="8">
        <f t="shared" si="37"/>
        <v>55</v>
      </c>
      <c r="E766" s="8">
        <f>IFERROR(VLOOKUP(D766,$H$4:$I$70,2,0),"")</f>
        <v>212</v>
      </c>
      <c r="F766" s="9">
        <f>IFERROR(VLOOKUP(C766,$H$4:$I$70,2,0),"")</f>
        <v>357</v>
      </c>
    </row>
    <row r="767" spans="2:6" x14ac:dyDescent="0.2">
      <c r="B767" s="13">
        <f t="shared" si="35"/>
        <v>764</v>
      </c>
      <c r="C767" s="8">
        <f t="shared" si="36"/>
        <v>38</v>
      </c>
      <c r="D767" s="8">
        <f t="shared" si="37"/>
        <v>55</v>
      </c>
      <c r="E767" s="8">
        <f>IFERROR(VLOOKUP(D767,$H$4:$I$70,2,0),"")</f>
        <v>212</v>
      </c>
      <c r="F767" s="9">
        <f>IFERROR(VLOOKUP(C767,$H$4:$I$70,2,0),"")</f>
        <v>351</v>
      </c>
    </row>
    <row r="768" spans="2:6" x14ac:dyDescent="0.2">
      <c r="B768" s="13">
        <f t="shared" si="35"/>
        <v>765</v>
      </c>
      <c r="C768" s="8">
        <f t="shared" si="36"/>
        <v>39</v>
      </c>
      <c r="D768" s="8">
        <f t="shared" si="37"/>
        <v>55</v>
      </c>
      <c r="E768" s="8">
        <f>IFERROR(VLOOKUP(D768,$H$4:$I$70,2,0),"")</f>
        <v>212</v>
      </c>
      <c r="F768" s="9">
        <f>IFERROR(VLOOKUP(C768,$H$4:$I$70,2,0),"")</f>
        <v>339</v>
      </c>
    </row>
    <row r="769" spans="2:6" x14ac:dyDescent="0.2">
      <c r="B769" s="13">
        <f t="shared" si="35"/>
        <v>766</v>
      </c>
      <c r="C769" s="8">
        <f t="shared" si="36"/>
        <v>40</v>
      </c>
      <c r="D769" s="8">
        <f t="shared" si="37"/>
        <v>55</v>
      </c>
      <c r="E769" s="8">
        <f>IFERROR(VLOOKUP(D769,$H$4:$I$70,2,0),"")</f>
        <v>212</v>
      </c>
      <c r="F769" s="9">
        <f>IFERROR(VLOOKUP(C769,$H$4:$I$70,2,0),"")</f>
        <v>304</v>
      </c>
    </row>
    <row r="770" spans="2:6" x14ac:dyDescent="0.2">
      <c r="B770" s="13">
        <f t="shared" si="35"/>
        <v>767</v>
      </c>
      <c r="C770" s="8">
        <f t="shared" si="36"/>
        <v>41</v>
      </c>
      <c r="D770" s="8">
        <f t="shared" si="37"/>
        <v>55</v>
      </c>
      <c r="E770" s="8">
        <f>IFERROR(VLOOKUP(D770,$H$4:$I$70,2,0),"")</f>
        <v>212</v>
      </c>
      <c r="F770" s="9">
        <f>IFERROR(VLOOKUP(C770,$H$4:$I$70,2,0),"")</f>
        <v>301</v>
      </c>
    </row>
    <row r="771" spans="2:6" x14ac:dyDescent="0.2">
      <c r="B771" s="13">
        <f t="shared" si="35"/>
        <v>768</v>
      </c>
      <c r="C771" s="8">
        <f t="shared" si="36"/>
        <v>42</v>
      </c>
      <c r="D771" s="8">
        <f t="shared" si="37"/>
        <v>55</v>
      </c>
      <c r="E771" s="8">
        <f>IFERROR(VLOOKUP(D771,$H$4:$I$70,2,0),"")</f>
        <v>212</v>
      </c>
      <c r="F771" s="9">
        <f>IFERROR(VLOOKUP(C771,$H$4:$I$70,2,0),"")</f>
        <v>300</v>
      </c>
    </row>
    <row r="772" spans="2:6" x14ac:dyDescent="0.2">
      <c r="B772" s="13">
        <f t="shared" si="35"/>
        <v>769</v>
      </c>
      <c r="C772" s="8">
        <f t="shared" si="36"/>
        <v>43</v>
      </c>
      <c r="D772" s="8">
        <f t="shared" si="37"/>
        <v>55</v>
      </c>
      <c r="E772" s="8">
        <f>IFERROR(VLOOKUP(D772,$H$4:$I$70,2,0),"")</f>
        <v>212</v>
      </c>
      <c r="F772" s="9">
        <f>IFERROR(VLOOKUP(C772,$H$4:$I$70,2,0),"")</f>
        <v>288</v>
      </c>
    </row>
    <row r="773" spans="2:6" x14ac:dyDescent="0.2">
      <c r="B773" s="13">
        <f t="shared" ref="B773:B836" si="38">ROW()-3</f>
        <v>770</v>
      </c>
      <c r="C773" s="8">
        <f t="shared" si="36"/>
        <v>44</v>
      </c>
      <c r="D773" s="8">
        <f t="shared" si="37"/>
        <v>55</v>
      </c>
      <c r="E773" s="8">
        <f>IFERROR(VLOOKUP(D773,$H$4:$I$70,2,0),"")</f>
        <v>212</v>
      </c>
      <c r="F773" s="9">
        <f>IFERROR(VLOOKUP(C773,$H$4:$I$70,2,0),"")</f>
        <v>273</v>
      </c>
    </row>
    <row r="774" spans="2:6" x14ac:dyDescent="0.2">
      <c r="B774" s="13">
        <f t="shared" si="38"/>
        <v>771</v>
      </c>
      <c r="C774" s="8">
        <f t="shared" ref="C774:C837" si="39">IF((D773-C773)=1,1,C773+1)</f>
        <v>45</v>
      </c>
      <c r="D774" s="8">
        <f t="shared" ref="D774:D837" si="40">IF((D773-C773)=1,D773-1,D773)</f>
        <v>55</v>
      </c>
      <c r="E774" s="8">
        <f>IFERROR(VLOOKUP(D774,$H$4:$I$70,2,0),"")</f>
        <v>212</v>
      </c>
      <c r="F774" s="9">
        <f>IFERROR(VLOOKUP(C774,$H$4:$I$70,2,0),"")</f>
        <v>268</v>
      </c>
    </row>
    <row r="775" spans="2:6" x14ac:dyDescent="0.2">
      <c r="B775" s="13">
        <f t="shared" si="38"/>
        <v>772</v>
      </c>
      <c r="C775" s="8">
        <f t="shared" si="39"/>
        <v>46</v>
      </c>
      <c r="D775" s="8">
        <f t="shared" si="40"/>
        <v>55</v>
      </c>
      <c r="E775" s="8">
        <f>IFERROR(VLOOKUP(D775,$H$4:$I$70,2,0),"")</f>
        <v>212</v>
      </c>
      <c r="F775" s="9">
        <f>IFERROR(VLOOKUP(C775,$H$4:$I$70,2,0),"")</f>
        <v>262</v>
      </c>
    </row>
    <row r="776" spans="2:6" x14ac:dyDescent="0.2">
      <c r="B776" s="13">
        <f t="shared" si="38"/>
        <v>773</v>
      </c>
      <c r="C776" s="8">
        <f t="shared" si="39"/>
        <v>47</v>
      </c>
      <c r="D776" s="8">
        <f t="shared" si="40"/>
        <v>55</v>
      </c>
      <c r="E776" s="8">
        <f>IFERROR(VLOOKUP(D776,$H$4:$I$70,2,0),"")</f>
        <v>212</v>
      </c>
      <c r="F776" s="9">
        <f>IFERROR(VLOOKUP(C776,$H$4:$I$70,2,0),"")</f>
        <v>248</v>
      </c>
    </row>
    <row r="777" spans="2:6" x14ac:dyDescent="0.2">
      <c r="B777" s="13">
        <f t="shared" si="38"/>
        <v>774</v>
      </c>
      <c r="C777" s="8">
        <f t="shared" si="39"/>
        <v>48</v>
      </c>
      <c r="D777" s="8">
        <f t="shared" si="40"/>
        <v>55</v>
      </c>
      <c r="E777" s="8">
        <f>IFERROR(VLOOKUP(D777,$H$4:$I$70,2,0),"")</f>
        <v>212</v>
      </c>
      <c r="F777" s="9">
        <f>IFERROR(VLOOKUP(C777,$H$4:$I$70,2,0),"")</f>
        <v>246</v>
      </c>
    </row>
    <row r="778" spans="2:6" x14ac:dyDescent="0.2">
      <c r="B778" s="13">
        <f t="shared" si="38"/>
        <v>775</v>
      </c>
      <c r="C778" s="8">
        <f t="shared" si="39"/>
        <v>49</v>
      </c>
      <c r="D778" s="8">
        <f t="shared" si="40"/>
        <v>55</v>
      </c>
      <c r="E778" s="8">
        <f>IFERROR(VLOOKUP(D778,$H$4:$I$70,2,0),"")</f>
        <v>212</v>
      </c>
      <c r="F778" s="9">
        <f>IFERROR(VLOOKUP(C778,$H$4:$I$70,2,0),"")</f>
        <v>236</v>
      </c>
    </row>
    <row r="779" spans="2:6" x14ac:dyDescent="0.2">
      <c r="B779" s="13">
        <f t="shared" si="38"/>
        <v>776</v>
      </c>
      <c r="C779" s="8">
        <f t="shared" si="39"/>
        <v>50</v>
      </c>
      <c r="D779" s="8">
        <f t="shared" si="40"/>
        <v>55</v>
      </c>
      <c r="E779" s="8">
        <f>IFERROR(VLOOKUP(D779,$H$4:$I$70,2,0),"")</f>
        <v>212</v>
      </c>
      <c r="F779" s="9">
        <f>IFERROR(VLOOKUP(C779,$H$4:$I$70,2,0),"")</f>
        <v>231</v>
      </c>
    </row>
    <row r="780" spans="2:6" x14ac:dyDescent="0.2">
      <c r="B780" s="13">
        <f t="shared" si="38"/>
        <v>777</v>
      </c>
      <c r="C780" s="8">
        <f t="shared" si="39"/>
        <v>51</v>
      </c>
      <c r="D780" s="8">
        <f t="shared" si="40"/>
        <v>55</v>
      </c>
      <c r="E780" s="8">
        <f>IFERROR(VLOOKUP(D780,$H$4:$I$70,2,0),"")</f>
        <v>212</v>
      </c>
      <c r="F780" s="9">
        <f>IFERROR(VLOOKUP(C780,$H$4:$I$70,2,0),"")</f>
        <v>227</v>
      </c>
    </row>
    <row r="781" spans="2:6" x14ac:dyDescent="0.2">
      <c r="B781" s="13">
        <f t="shared" si="38"/>
        <v>778</v>
      </c>
      <c r="C781" s="8">
        <f t="shared" si="39"/>
        <v>52</v>
      </c>
      <c r="D781" s="8">
        <f t="shared" si="40"/>
        <v>55</v>
      </c>
      <c r="E781" s="8">
        <f>IFERROR(VLOOKUP(D781,$H$4:$I$70,2,0),"")</f>
        <v>212</v>
      </c>
      <c r="F781" s="9">
        <f>IFERROR(VLOOKUP(C781,$H$4:$I$70,2,0),"")</f>
        <v>224</v>
      </c>
    </row>
    <row r="782" spans="2:6" x14ac:dyDescent="0.2">
      <c r="B782" s="13">
        <f t="shared" si="38"/>
        <v>779</v>
      </c>
      <c r="C782" s="8">
        <f t="shared" si="39"/>
        <v>53</v>
      </c>
      <c r="D782" s="8">
        <f t="shared" si="40"/>
        <v>55</v>
      </c>
      <c r="E782" s="8">
        <f>IFERROR(VLOOKUP(D782,$H$4:$I$70,2,0),"")</f>
        <v>212</v>
      </c>
      <c r="F782" s="9">
        <f>IFERROR(VLOOKUP(C782,$H$4:$I$70,2,0),"")</f>
        <v>217</v>
      </c>
    </row>
    <row r="783" spans="2:6" x14ac:dyDescent="0.2">
      <c r="B783" s="13">
        <f t="shared" si="38"/>
        <v>780</v>
      </c>
      <c r="C783" s="8">
        <f t="shared" si="39"/>
        <v>54</v>
      </c>
      <c r="D783" s="8">
        <f t="shared" si="40"/>
        <v>55</v>
      </c>
      <c r="E783" s="8">
        <f>IFERROR(VLOOKUP(D783,$H$4:$I$70,2,0),"")</f>
        <v>212</v>
      </c>
      <c r="F783" s="9">
        <f>IFERROR(VLOOKUP(C783,$H$4:$I$70,2,0),"")</f>
        <v>213</v>
      </c>
    </row>
    <row r="784" spans="2:6" x14ac:dyDescent="0.2">
      <c r="B784" s="13">
        <f t="shared" si="38"/>
        <v>781</v>
      </c>
      <c r="C784" s="8">
        <f t="shared" si="39"/>
        <v>1</v>
      </c>
      <c r="D784" s="8">
        <f t="shared" si="40"/>
        <v>54</v>
      </c>
      <c r="E784" s="8">
        <f>IFERROR(VLOOKUP(D784,$H$4:$I$70,2,0),"")</f>
        <v>213</v>
      </c>
      <c r="F784" s="9">
        <f>IFERROR(VLOOKUP(C784,$H$4:$I$70,2,0),"")</f>
        <v>1344</v>
      </c>
    </row>
    <row r="785" spans="2:6" x14ac:dyDescent="0.2">
      <c r="B785" s="13">
        <f t="shared" si="38"/>
        <v>782</v>
      </c>
      <c r="C785" s="8">
        <f t="shared" si="39"/>
        <v>2</v>
      </c>
      <c r="D785" s="8">
        <f t="shared" si="40"/>
        <v>54</v>
      </c>
      <c r="E785" s="8">
        <f>IFERROR(VLOOKUP(D785,$H$4:$I$70,2,0),"")</f>
        <v>213</v>
      </c>
      <c r="F785" s="9">
        <f>IFERROR(VLOOKUP(C785,$H$4:$I$70,2,0),"")</f>
        <v>1048</v>
      </c>
    </row>
    <row r="786" spans="2:6" x14ac:dyDescent="0.2">
      <c r="B786" s="13">
        <f t="shared" si="38"/>
        <v>783</v>
      </c>
      <c r="C786" s="8">
        <f t="shared" si="39"/>
        <v>3</v>
      </c>
      <c r="D786" s="8">
        <f t="shared" si="40"/>
        <v>54</v>
      </c>
      <c r="E786" s="8">
        <f>IFERROR(VLOOKUP(D786,$H$4:$I$70,2,0),"")</f>
        <v>213</v>
      </c>
      <c r="F786" s="9">
        <f>IFERROR(VLOOKUP(C786,$H$4:$I$70,2,0),"")</f>
        <v>1025</v>
      </c>
    </row>
    <row r="787" spans="2:6" x14ac:dyDescent="0.2">
      <c r="B787" s="13">
        <f t="shared" si="38"/>
        <v>784</v>
      </c>
      <c r="C787" s="8">
        <f t="shared" si="39"/>
        <v>4</v>
      </c>
      <c r="D787" s="8">
        <f t="shared" si="40"/>
        <v>54</v>
      </c>
      <c r="E787" s="8">
        <f>IFERROR(VLOOKUP(D787,$H$4:$I$70,2,0),"")</f>
        <v>213</v>
      </c>
      <c r="F787" s="9">
        <f>IFERROR(VLOOKUP(C787,$H$4:$I$70,2,0),"")</f>
        <v>805</v>
      </c>
    </row>
    <row r="788" spans="2:6" x14ac:dyDescent="0.2">
      <c r="B788" s="13">
        <f t="shared" si="38"/>
        <v>785</v>
      </c>
      <c r="C788" s="8">
        <f t="shared" si="39"/>
        <v>5</v>
      </c>
      <c r="D788" s="8">
        <f t="shared" si="40"/>
        <v>54</v>
      </c>
      <c r="E788" s="8">
        <f>IFERROR(VLOOKUP(D788,$H$4:$I$70,2,0),"")</f>
        <v>213</v>
      </c>
      <c r="F788" s="9">
        <f>IFERROR(VLOOKUP(C788,$H$4:$I$70,2,0),"")</f>
        <v>666</v>
      </c>
    </row>
    <row r="789" spans="2:6" x14ac:dyDescent="0.2">
      <c r="B789" s="13">
        <f t="shared" si="38"/>
        <v>786</v>
      </c>
      <c r="C789" s="8">
        <f t="shared" si="39"/>
        <v>6</v>
      </c>
      <c r="D789" s="8">
        <f t="shared" si="40"/>
        <v>54</v>
      </c>
      <c r="E789" s="8">
        <f>IFERROR(VLOOKUP(D789,$H$4:$I$70,2,0),"")</f>
        <v>213</v>
      </c>
      <c r="F789" s="9">
        <f>IFERROR(VLOOKUP(C789,$H$4:$I$70,2,0),"")</f>
        <v>655</v>
      </c>
    </row>
    <row r="790" spans="2:6" x14ac:dyDescent="0.2">
      <c r="B790" s="13">
        <f t="shared" si="38"/>
        <v>787</v>
      </c>
      <c r="C790" s="8">
        <f t="shared" si="39"/>
        <v>7</v>
      </c>
      <c r="D790" s="8">
        <f t="shared" si="40"/>
        <v>54</v>
      </c>
      <c r="E790" s="8">
        <f>IFERROR(VLOOKUP(D790,$H$4:$I$70,2,0),"")</f>
        <v>213</v>
      </c>
      <c r="F790" s="9">
        <f>IFERROR(VLOOKUP(C790,$H$4:$I$70,2,0),"")</f>
        <v>652</v>
      </c>
    </row>
    <row r="791" spans="2:6" x14ac:dyDescent="0.2">
      <c r="B791" s="13">
        <f t="shared" si="38"/>
        <v>788</v>
      </c>
      <c r="C791" s="8">
        <f t="shared" si="39"/>
        <v>8</v>
      </c>
      <c r="D791" s="8">
        <f t="shared" si="40"/>
        <v>54</v>
      </c>
      <c r="E791" s="8">
        <f>IFERROR(VLOOKUP(D791,$H$4:$I$70,2,0),"")</f>
        <v>213</v>
      </c>
      <c r="F791" s="9">
        <f>IFERROR(VLOOKUP(C791,$H$4:$I$70,2,0),"")</f>
        <v>633</v>
      </c>
    </row>
    <row r="792" spans="2:6" x14ac:dyDescent="0.2">
      <c r="B792" s="13">
        <f t="shared" si="38"/>
        <v>789</v>
      </c>
      <c r="C792" s="8">
        <f t="shared" si="39"/>
        <v>9</v>
      </c>
      <c r="D792" s="8">
        <f t="shared" si="40"/>
        <v>54</v>
      </c>
      <c r="E792" s="8">
        <f>IFERROR(VLOOKUP(D792,$H$4:$I$70,2,0),"")</f>
        <v>213</v>
      </c>
      <c r="F792" s="9">
        <f>IFERROR(VLOOKUP(C792,$H$4:$I$70,2,0),"")</f>
        <v>632</v>
      </c>
    </row>
    <row r="793" spans="2:6" x14ac:dyDescent="0.2">
      <c r="B793" s="13">
        <f t="shared" si="38"/>
        <v>790</v>
      </c>
      <c r="C793" s="8">
        <f t="shared" si="39"/>
        <v>10</v>
      </c>
      <c r="D793" s="8">
        <f t="shared" si="40"/>
        <v>54</v>
      </c>
      <c r="E793" s="8">
        <f>IFERROR(VLOOKUP(D793,$H$4:$I$70,2,0),"")</f>
        <v>213</v>
      </c>
      <c r="F793" s="9">
        <f>IFERROR(VLOOKUP(C793,$H$4:$I$70,2,0),"")</f>
        <v>625</v>
      </c>
    </row>
    <row r="794" spans="2:6" x14ac:dyDescent="0.2">
      <c r="B794" s="13">
        <f t="shared" si="38"/>
        <v>791</v>
      </c>
      <c r="C794" s="8">
        <f t="shared" si="39"/>
        <v>11</v>
      </c>
      <c r="D794" s="8">
        <f t="shared" si="40"/>
        <v>54</v>
      </c>
      <c r="E794" s="8">
        <f>IFERROR(VLOOKUP(D794,$H$4:$I$70,2,0),"")</f>
        <v>213</v>
      </c>
      <c r="F794" s="9">
        <f>IFERROR(VLOOKUP(C794,$H$4:$I$70,2,0),"")</f>
        <v>619</v>
      </c>
    </row>
    <row r="795" spans="2:6" x14ac:dyDescent="0.2">
      <c r="B795" s="13">
        <f t="shared" si="38"/>
        <v>792</v>
      </c>
      <c r="C795" s="8">
        <f t="shared" si="39"/>
        <v>12</v>
      </c>
      <c r="D795" s="8">
        <f t="shared" si="40"/>
        <v>54</v>
      </c>
      <c r="E795" s="8">
        <f>IFERROR(VLOOKUP(D795,$H$4:$I$70,2,0),"")</f>
        <v>213</v>
      </c>
      <c r="F795" s="9">
        <f>IFERROR(VLOOKUP(C795,$H$4:$I$70,2,0),"")</f>
        <v>610</v>
      </c>
    </row>
    <row r="796" spans="2:6" x14ac:dyDescent="0.2">
      <c r="B796" s="13">
        <f t="shared" si="38"/>
        <v>793</v>
      </c>
      <c r="C796" s="8">
        <f t="shared" si="39"/>
        <v>13</v>
      </c>
      <c r="D796" s="8">
        <f t="shared" si="40"/>
        <v>54</v>
      </c>
      <c r="E796" s="8">
        <f>IFERROR(VLOOKUP(D796,$H$4:$I$70,2,0),"")</f>
        <v>213</v>
      </c>
      <c r="F796" s="9">
        <f>IFERROR(VLOOKUP(C796,$H$4:$I$70,2,0),"")</f>
        <v>599</v>
      </c>
    </row>
    <row r="797" spans="2:6" x14ac:dyDescent="0.2">
      <c r="B797" s="13">
        <f t="shared" si="38"/>
        <v>794</v>
      </c>
      <c r="C797" s="8">
        <f t="shared" si="39"/>
        <v>14</v>
      </c>
      <c r="D797" s="8">
        <f t="shared" si="40"/>
        <v>54</v>
      </c>
      <c r="E797" s="8">
        <f>IFERROR(VLOOKUP(D797,$H$4:$I$70,2,0),"")</f>
        <v>213</v>
      </c>
      <c r="F797" s="9">
        <f>IFERROR(VLOOKUP(C797,$H$4:$I$70,2,0),"")</f>
        <v>559</v>
      </c>
    </row>
    <row r="798" spans="2:6" x14ac:dyDescent="0.2">
      <c r="B798" s="13">
        <f t="shared" si="38"/>
        <v>795</v>
      </c>
      <c r="C798" s="8">
        <f t="shared" si="39"/>
        <v>15</v>
      </c>
      <c r="D798" s="8">
        <f t="shared" si="40"/>
        <v>54</v>
      </c>
      <c r="E798" s="8">
        <f>IFERROR(VLOOKUP(D798,$H$4:$I$70,2,0),"")</f>
        <v>213</v>
      </c>
      <c r="F798" s="9">
        <f>IFERROR(VLOOKUP(C798,$H$4:$I$70,2,0),"")</f>
        <v>556</v>
      </c>
    </row>
    <row r="799" spans="2:6" x14ac:dyDescent="0.2">
      <c r="B799" s="13">
        <f t="shared" si="38"/>
        <v>796</v>
      </c>
      <c r="C799" s="8">
        <f t="shared" si="39"/>
        <v>16</v>
      </c>
      <c r="D799" s="8">
        <f t="shared" si="40"/>
        <v>54</v>
      </c>
      <c r="E799" s="8">
        <f>IFERROR(VLOOKUP(D799,$H$4:$I$70,2,0),"")</f>
        <v>213</v>
      </c>
      <c r="F799" s="9">
        <f>IFERROR(VLOOKUP(C799,$H$4:$I$70,2,0),"")</f>
        <v>540</v>
      </c>
    </row>
    <row r="800" spans="2:6" x14ac:dyDescent="0.2">
      <c r="B800" s="13">
        <f t="shared" si="38"/>
        <v>797</v>
      </c>
      <c r="C800" s="8">
        <f t="shared" si="39"/>
        <v>17</v>
      </c>
      <c r="D800" s="8">
        <f t="shared" si="40"/>
        <v>54</v>
      </c>
      <c r="E800" s="8">
        <f>IFERROR(VLOOKUP(D800,$H$4:$I$70,2,0),"")</f>
        <v>213</v>
      </c>
      <c r="F800" s="9">
        <f>IFERROR(VLOOKUP(C800,$H$4:$I$70,2,0),"")</f>
        <v>536</v>
      </c>
    </row>
    <row r="801" spans="2:6" x14ac:dyDescent="0.2">
      <c r="B801" s="13">
        <f t="shared" si="38"/>
        <v>798</v>
      </c>
      <c r="C801" s="8">
        <f t="shared" si="39"/>
        <v>18</v>
      </c>
      <c r="D801" s="8">
        <f t="shared" si="40"/>
        <v>54</v>
      </c>
      <c r="E801" s="8">
        <f>IFERROR(VLOOKUP(D801,$H$4:$I$70,2,0),"")</f>
        <v>213</v>
      </c>
      <c r="F801" s="9">
        <f>IFERROR(VLOOKUP(C801,$H$4:$I$70,2,0),"")</f>
        <v>527</v>
      </c>
    </row>
    <row r="802" spans="2:6" x14ac:dyDescent="0.2">
      <c r="B802" s="13">
        <f t="shared" si="38"/>
        <v>799</v>
      </c>
      <c r="C802" s="8">
        <f t="shared" si="39"/>
        <v>19</v>
      </c>
      <c r="D802" s="8">
        <f t="shared" si="40"/>
        <v>54</v>
      </c>
      <c r="E802" s="8">
        <f>IFERROR(VLOOKUP(D802,$H$4:$I$70,2,0),"")</f>
        <v>213</v>
      </c>
      <c r="F802" s="9">
        <f>IFERROR(VLOOKUP(C802,$H$4:$I$70,2,0),"")</f>
        <v>478</v>
      </c>
    </row>
    <row r="803" spans="2:6" x14ac:dyDescent="0.2">
      <c r="B803" s="13">
        <f t="shared" si="38"/>
        <v>800</v>
      </c>
      <c r="C803" s="8">
        <f t="shared" si="39"/>
        <v>20</v>
      </c>
      <c r="D803" s="8">
        <f t="shared" si="40"/>
        <v>54</v>
      </c>
      <c r="E803" s="8">
        <f>IFERROR(VLOOKUP(D803,$H$4:$I$70,2,0),"")</f>
        <v>213</v>
      </c>
      <c r="F803" s="9">
        <f>IFERROR(VLOOKUP(C803,$H$4:$I$70,2,0),"")</f>
        <v>474</v>
      </c>
    </row>
    <row r="804" spans="2:6" x14ac:dyDescent="0.2">
      <c r="B804" s="13">
        <f t="shared" si="38"/>
        <v>801</v>
      </c>
      <c r="C804" s="8">
        <f t="shared" si="39"/>
        <v>21</v>
      </c>
      <c r="D804" s="8">
        <f t="shared" si="40"/>
        <v>54</v>
      </c>
      <c r="E804" s="8">
        <f>IFERROR(VLOOKUP(D804,$H$4:$I$70,2,0),"")</f>
        <v>213</v>
      </c>
      <c r="F804" s="9">
        <f>IFERROR(VLOOKUP(C804,$H$4:$I$70,2,0),"")</f>
        <v>468</v>
      </c>
    </row>
    <row r="805" spans="2:6" x14ac:dyDescent="0.2">
      <c r="B805" s="13">
        <f t="shared" si="38"/>
        <v>802</v>
      </c>
      <c r="C805" s="8">
        <f t="shared" si="39"/>
        <v>22</v>
      </c>
      <c r="D805" s="8">
        <f t="shared" si="40"/>
        <v>54</v>
      </c>
      <c r="E805" s="8">
        <f>IFERROR(VLOOKUP(D805,$H$4:$I$70,2,0),"")</f>
        <v>213</v>
      </c>
      <c r="F805" s="9">
        <f>IFERROR(VLOOKUP(C805,$H$4:$I$70,2,0),"")</f>
        <v>457</v>
      </c>
    </row>
    <row r="806" spans="2:6" x14ac:dyDescent="0.2">
      <c r="B806" s="13">
        <f t="shared" si="38"/>
        <v>803</v>
      </c>
      <c r="C806" s="8">
        <f t="shared" si="39"/>
        <v>23</v>
      </c>
      <c r="D806" s="8">
        <f t="shared" si="40"/>
        <v>54</v>
      </c>
      <c r="E806" s="8">
        <f>IFERROR(VLOOKUP(D806,$H$4:$I$70,2,0),"")</f>
        <v>213</v>
      </c>
      <c r="F806" s="9">
        <f>IFERROR(VLOOKUP(C806,$H$4:$I$70,2,0),"")</f>
        <v>452</v>
      </c>
    </row>
    <row r="807" spans="2:6" x14ac:dyDescent="0.2">
      <c r="B807" s="13">
        <f t="shared" si="38"/>
        <v>804</v>
      </c>
      <c r="C807" s="8">
        <f t="shared" si="39"/>
        <v>24</v>
      </c>
      <c r="D807" s="8">
        <f t="shared" si="40"/>
        <v>54</v>
      </c>
      <c r="E807" s="8">
        <f>IFERROR(VLOOKUP(D807,$H$4:$I$70,2,0),"")</f>
        <v>213</v>
      </c>
      <c r="F807" s="9">
        <f>IFERROR(VLOOKUP(C807,$H$4:$I$70,2,0),"")</f>
        <v>442</v>
      </c>
    </row>
    <row r="808" spans="2:6" x14ac:dyDescent="0.2">
      <c r="B808" s="13">
        <f t="shared" si="38"/>
        <v>805</v>
      </c>
      <c r="C808" s="8">
        <f t="shared" si="39"/>
        <v>25</v>
      </c>
      <c r="D808" s="8">
        <f t="shared" si="40"/>
        <v>54</v>
      </c>
      <c r="E808" s="8">
        <f>IFERROR(VLOOKUP(D808,$H$4:$I$70,2,0),"")</f>
        <v>213</v>
      </c>
      <c r="F808" s="9">
        <f>IFERROR(VLOOKUP(C808,$H$4:$I$70,2,0),"")</f>
        <v>420</v>
      </c>
    </row>
    <row r="809" spans="2:6" x14ac:dyDescent="0.2">
      <c r="B809" s="13">
        <f t="shared" si="38"/>
        <v>806</v>
      </c>
      <c r="C809" s="8">
        <f t="shared" si="39"/>
        <v>26</v>
      </c>
      <c r="D809" s="8">
        <f t="shared" si="40"/>
        <v>54</v>
      </c>
      <c r="E809" s="8">
        <f>IFERROR(VLOOKUP(D809,$H$4:$I$70,2,0),"")</f>
        <v>213</v>
      </c>
      <c r="F809" s="9">
        <f>IFERROR(VLOOKUP(C809,$H$4:$I$70,2,0),"")</f>
        <v>410</v>
      </c>
    </row>
    <row r="810" spans="2:6" x14ac:dyDescent="0.2">
      <c r="B810" s="13">
        <f t="shared" si="38"/>
        <v>807</v>
      </c>
      <c r="C810" s="8">
        <f t="shared" si="39"/>
        <v>27</v>
      </c>
      <c r="D810" s="8">
        <f t="shared" si="40"/>
        <v>54</v>
      </c>
      <c r="E810" s="8">
        <f>IFERROR(VLOOKUP(D810,$H$4:$I$70,2,0),"")</f>
        <v>213</v>
      </c>
      <c r="F810" s="9">
        <f>IFERROR(VLOOKUP(C810,$H$4:$I$70,2,0),"")</f>
        <v>409</v>
      </c>
    </row>
    <row r="811" spans="2:6" x14ac:dyDescent="0.2">
      <c r="B811" s="13">
        <f t="shared" si="38"/>
        <v>808</v>
      </c>
      <c r="C811" s="8">
        <f t="shared" si="39"/>
        <v>28</v>
      </c>
      <c r="D811" s="8">
        <f t="shared" si="40"/>
        <v>54</v>
      </c>
      <c r="E811" s="8">
        <f>IFERROR(VLOOKUP(D811,$H$4:$I$70,2,0),"")</f>
        <v>213</v>
      </c>
      <c r="F811" s="9">
        <f>IFERROR(VLOOKUP(C811,$H$4:$I$70,2,0),"")</f>
        <v>408</v>
      </c>
    </row>
    <row r="812" spans="2:6" x14ac:dyDescent="0.2">
      <c r="B812" s="13">
        <f t="shared" si="38"/>
        <v>809</v>
      </c>
      <c r="C812" s="8">
        <f t="shared" si="39"/>
        <v>29</v>
      </c>
      <c r="D812" s="8">
        <f t="shared" si="40"/>
        <v>54</v>
      </c>
      <c r="E812" s="8">
        <f>IFERROR(VLOOKUP(D812,$H$4:$I$70,2,0),"")</f>
        <v>213</v>
      </c>
      <c r="F812" s="9">
        <f>IFERROR(VLOOKUP(C812,$H$4:$I$70,2,0),"")</f>
        <v>404</v>
      </c>
    </row>
    <row r="813" spans="2:6" x14ac:dyDescent="0.2">
      <c r="B813" s="13">
        <f t="shared" si="38"/>
        <v>810</v>
      </c>
      <c r="C813" s="8">
        <f t="shared" si="39"/>
        <v>30</v>
      </c>
      <c r="D813" s="8">
        <f t="shared" si="40"/>
        <v>54</v>
      </c>
      <c r="E813" s="8">
        <f>IFERROR(VLOOKUP(D813,$H$4:$I$70,2,0),"")</f>
        <v>213</v>
      </c>
      <c r="F813" s="9">
        <f>IFERROR(VLOOKUP(C813,$H$4:$I$70,2,0),"")</f>
        <v>399</v>
      </c>
    </row>
    <row r="814" spans="2:6" x14ac:dyDescent="0.2">
      <c r="B814" s="13">
        <f t="shared" si="38"/>
        <v>811</v>
      </c>
      <c r="C814" s="8">
        <f t="shared" si="39"/>
        <v>31</v>
      </c>
      <c r="D814" s="8">
        <f t="shared" si="40"/>
        <v>54</v>
      </c>
      <c r="E814" s="8">
        <f>IFERROR(VLOOKUP(D814,$H$4:$I$70,2,0),"")</f>
        <v>213</v>
      </c>
      <c r="F814" s="9">
        <f>IFERROR(VLOOKUP(C814,$H$4:$I$70,2,0),"")</f>
        <v>396</v>
      </c>
    </row>
    <row r="815" spans="2:6" x14ac:dyDescent="0.2">
      <c r="B815" s="13">
        <f t="shared" si="38"/>
        <v>812</v>
      </c>
      <c r="C815" s="8">
        <f t="shared" si="39"/>
        <v>32</v>
      </c>
      <c r="D815" s="8">
        <f t="shared" si="40"/>
        <v>54</v>
      </c>
      <c r="E815" s="8">
        <f>IFERROR(VLOOKUP(D815,$H$4:$I$70,2,0),"")</f>
        <v>213</v>
      </c>
      <c r="F815" s="9">
        <f>IFERROR(VLOOKUP(C815,$H$4:$I$70,2,0),"")</f>
        <v>384</v>
      </c>
    </row>
    <row r="816" spans="2:6" x14ac:dyDescent="0.2">
      <c r="B816" s="13">
        <f t="shared" si="38"/>
        <v>813</v>
      </c>
      <c r="C816" s="8">
        <f t="shared" si="39"/>
        <v>33</v>
      </c>
      <c r="D816" s="8">
        <f t="shared" si="40"/>
        <v>54</v>
      </c>
      <c r="E816" s="8">
        <f>IFERROR(VLOOKUP(D816,$H$4:$I$70,2,0),"")</f>
        <v>213</v>
      </c>
      <c r="F816" s="9">
        <f>IFERROR(VLOOKUP(C816,$H$4:$I$70,2,0),"")</f>
        <v>381</v>
      </c>
    </row>
    <row r="817" spans="2:6" x14ac:dyDescent="0.2">
      <c r="B817" s="13">
        <f t="shared" si="38"/>
        <v>814</v>
      </c>
      <c r="C817" s="8">
        <f t="shared" si="39"/>
        <v>34</v>
      </c>
      <c r="D817" s="8">
        <f t="shared" si="40"/>
        <v>54</v>
      </c>
      <c r="E817" s="8">
        <f>IFERROR(VLOOKUP(D817,$H$4:$I$70,2,0),"")</f>
        <v>213</v>
      </c>
      <c r="F817" s="9">
        <f>IFERROR(VLOOKUP(C817,$H$4:$I$70,2,0),"")</f>
        <v>376</v>
      </c>
    </row>
    <row r="818" spans="2:6" x14ac:dyDescent="0.2">
      <c r="B818" s="13">
        <f t="shared" si="38"/>
        <v>815</v>
      </c>
      <c r="C818" s="8">
        <f t="shared" si="39"/>
        <v>35</v>
      </c>
      <c r="D818" s="8">
        <f t="shared" si="40"/>
        <v>54</v>
      </c>
      <c r="E818" s="8">
        <f>IFERROR(VLOOKUP(D818,$H$4:$I$70,2,0),"")</f>
        <v>213</v>
      </c>
      <c r="F818" s="9">
        <f>IFERROR(VLOOKUP(C818,$H$4:$I$70,2,0),"")</f>
        <v>370</v>
      </c>
    </row>
    <row r="819" spans="2:6" x14ac:dyDescent="0.2">
      <c r="B819" s="13">
        <f t="shared" si="38"/>
        <v>816</v>
      </c>
      <c r="C819" s="8">
        <f t="shared" si="39"/>
        <v>36</v>
      </c>
      <c r="D819" s="8">
        <f t="shared" si="40"/>
        <v>54</v>
      </c>
      <c r="E819" s="8">
        <f>IFERROR(VLOOKUP(D819,$H$4:$I$70,2,0),"")</f>
        <v>213</v>
      </c>
      <c r="F819" s="9">
        <f>IFERROR(VLOOKUP(C819,$H$4:$I$70,2,0),"")</f>
        <v>362</v>
      </c>
    </row>
    <row r="820" spans="2:6" x14ac:dyDescent="0.2">
      <c r="B820" s="13">
        <f t="shared" si="38"/>
        <v>817</v>
      </c>
      <c r="C820" s="8">
        <f t="shared" si="39"/>
        <v>37</v>
      </c>
      <c r="D820" s="8">
        <f t="shared" si="40"/>
        <v>54</v>
      </c>
      <c r="E820" s="8">
        <f>IFERROR(VLOOKUP(D820,$H$4:$I$70,2,0),"")</f>
        <v>213</v>
      </c>
      <c r="F820" s="9">
        <f>IFERROR(VLOOKUP(C820,$H$4:$I$70,2,0),"")</f>
        <v>357</v>
      </c>
    </row>
    <row r="821" spans="2:6" x14ac:dyDescent="0.2">
      <c r="B821" s="13">
        <f t="shared" si="38"/>
        <v>818</v>
      </c>
      <c r="C821" s="8">
        <f t="shared" si="39"/>
        <v>38</v>
      </c>
      <c r="D821" s="8">
        <f t="shared" si="40"/>
        <v>54</v>
      </c>
      <c r="E821" s="8">
        <f>IFERROR(VLOOKUP(D821,$H$4:$I$70,2,0),"")</f>
        <v>213</v>
      </c>
      <c r="F821" s="9">
        <f>IFERROR(VLOOKUP(C821,$H$4:$I$70,2,0),"")</f>
        <v>351</v>
      </c>
    </row>
    <row r="822" spans="2:6" x14ac:dyDescent="0.2">
      <c r="B822" s="13">
        <f t="shared" si="38"/>
        <v>819</v>
      </c>
      <c r="C822" s="8">
        <f t="shared" si="39"/>
        <v>39</v>
      </c>
      <c r="D822" s="8">
        <f t="shared" si="40"/>
        <v>54</v>
      </c>
      <c r="E822" s="8">
        <f>IFERROR(VLOOKUP(D822,$H$4:$I$70,2,0),"")</f>
        <v>213</v>
      </c>
      <c r="F822" s="9">
        <f>IFERROR(VLOOKUP(C822,$H$4:$I$70,2,0),"")</f>
        <v>339</v>
      </c>
    </row>
    <row r="823" spans="2:6" x14ac:dyDescent="0.2">
      <c r="B823" s="13">
        <f t="shared" si="38"/>
        <v>820</v>
      </c>
      <c r="C823" s="8">
        <f t="shared" si="39"/>
        <v>40</v>
      </c>
      <c r="D823" s="8">
        <f t="shared" si="40"/>
        <v>54</v>
      </c>
      <c r="E823" s="8">
        <f>IFERROR(VLOOKUP(D823,$H$4:$I$70,2,0),"")</f>
        <v>213</v>
      </c>
      <c r="F823" s="9">
        <f>IFERROR(VLOOKUP(C823,$H$4:$I$70,2,0),"")</f>
        <v>304</v>
      </c>
    </row>
    <row r="824" spans="2:6" x14ac:dyDescent="0.2">
      <c r="B824" s="13">
        <f t="shared" si="38"/>
        <v>821</v>
      </c>
      <c r="C824" s="8">
        <f t="shared" si="39"/>
        <v>41</v>
      </c>
      <c r="D824" s="8">
        <f t="shared" si="40"/>
        <v>54</v>
      </c>
      <c r="E824" s="8">
        <f>IFERROR(VLOOKUP(D824,$H$4:$I$70,2,0),"")</f>
        <v>213</v>
      </c>
      <c r="F824" s="9">
        <f>IFERROR(VLOOKUP(C824,$H$4:$I$70,2,0),"")</f>
        <v>301</v>
      </c>
    </row>
    <row r="825" spans="2:6" x14ac:dyDescent="0.2">
      <c r="B825" s="13">
        <f t="shared" si="38"/>
        <v>822</v>
      </c>
      <c r="C825" s="8">
        <f t="shared" si="39"/>
        <v>42</v>
      </c>
      <c r="D825" s="8">
        <f t="shared" si="40"/>
        <v>54</v>
      </c>
      <c r="E825" s="8">
        <f>IFERROR(VLOOKUP(D825,$H$4:$I$70,2,0),"")</f>
        <v>213</v>
      </c>
      <c r="F825" s="9">
        <f>IFERROR(VLOOKUP(C825,$H$4:$I$70,2,0),"")</f>
        <v>300</v>
      </c>
    </row>
    <row r="826" spans="2:6" x14ac:dyDescent="0.2">
      <c r="B826" s="13">
        <f t="shared" si="38"/>
        <v>823</v>
      </c>
      <c r="C826" s="8">
        <f t="shared" si="39"/>
        <v>43</v>
      </c>
      <c r="D826" s="8">
        <f t="shared" si="40"/>
        <v>54</v>
      </c>
      <c r="E826" s="8">
        <f>IFERROR(VLOOKUP(D826,$H$4:$I$70,2,0),"")</f>
        <v>213</v>
      </c>
      <c r="F826" s="9">
        <f>IFERROR(VLOOKUP(C826,$H$4:$I$70,2,0),"")</f>
        <v>288</v>
      </c>
    </row>
    <row r="827" spans="2:6" x14ac:dyDescent="0.2">
      <c r="B827" s="13">
        <f t="shared" si="38"/>
        <v>824</v>
      </c>
      <c r="C827" s="8">
        <f t="shared" si="39"/>
        <v>44</v>
      </c>
      <c r="D827" s="8">
        <f t="shared" si="40"/>
        <v>54</v>
      </c>
      <c r="E827" s="8">
        <f>IFERROR(VLOOKUP(D827,$H$4:$I$70,2,0),"")</f>
        <v>213</v>
      </c>
      <c r="F827" s="9">
        <f>IFERROR(VLOOKUP(C827,$H$4:$I$70,2,0),"")</f>
        <v>273</v>
      </c>
    </row>
    <row r="828" spans="2:6" x14ac:dyDescent="0.2">
      <c r="B828" s="13">
        <f t="shared" si="38"/>
        <v>825</v>
      </c>
      <c r="C828" s="8">
        <f t="shared" si="39"/>
        <v>45</v>
      </c>
      <c r="D828" s="8">
        <f t="shared" si="40"/>
        <v>54</v>
      </c>
      <c r="E828" s="8">
        <f>IFERROR(VLOOKUP(D828,$H$4:$I$70,2,0),"")</f>
        <v>213</v>
      </c>
      <c r="F828" s="9">
        <f>IFERROR(VLOOKUP(C828,$H$4:$I$70,2,0),"")</f>
        <v>268</v>
      </c>
    </row>
    <row r="829" spans="2:6" x14ac:dyDescent="0.2">
      <c r="B829" s="13">
        <f t="shared" si="38"/>
        <v>826</v>
      </c>
      <c r="C829" s="8">
        <f t="shared" si="39"/>
        <v>46</v>
      </c>
      <c r="D829" s="8">
        <f t="shared" si="40"/>
        <v>54</v>
      </c>
      <c r="E829" s="8">
        <f>IFERROR(VLOOKUP(D829,$H$4:$I$70,2,0),"")</f>
        <v>213</v>
      </c>
      <c r="F829" s="9">
        <f>IFERROR(VLOOKUP(C829,$H$4:$I$70,2,0),"")</f>
        <v>262</v>
      </c>
    </row>
    <row r="830" spans="2:6" x14ac:dyDescent="0.2">
      <c r="B830" s="13">
        <f t="shared" si="38"/>
        <v>827</v>
      </c>
      <c r="C830" s="8">
        <f t="shared" si="39"/>
        <v>47</v>
      </c>
      <c r="D830" s="8">
        <f t="shared" si="40"/>
        <v>54</v>
      </c>
      <c r="E830" s="8">
        <f>IFERROR(VLOOKUP(D830,$H$4:$I$70,2,0),"")</f>
        <v>213</v>
      </c>
      <c r="F830" s="9">
        <f>IFERROR(VLOOKUP(C830,$H$4:$I$70,2,0),"")</f>
        <v>248</v>
      </c>
    </row>
    <row r="831" spans="2:6" x14ac:dyDescent="0.2">
      <c r="B831" s="13">
        <f t="shared" si="38"/>
        <v>828</v>
      </c>
      <c r="C831" s="8">
        <f t="shared" si="39"/>
        <v>48</v>
      </c>
      <c r="D831" s="8">
        <f t="shared" si="40"/>
        <v>54</v>
      </c>
      <c r="E831" s="8">
        <f>IFERROR(VLOOKUP(D831,$H$4:$I$70,2,0),"")</f>
        <v>213</v>
      </c>
      <c r="F831" s="9">
        <f>IFERROR(VLOOKUP(C831,$H$4:$I$70,2,0),"")</f>
        <v>246</v>
      </c>
    </row>
    <row r="832" spans="2:6" x14ac:dyDescent="0.2">
      <c r="B832" s="13">
        <f t="shared" si="38"/>
        <v>829</v>
      </c>
      <c r="C832" s="8">
        <f t="shared" si="39"/>
        <v>49</v>
      </c>
      <c r="D832" s="8">
        <f t="shared" si="40"/>
        <v>54</v>
      </c>
      <c r="E832" s="8">
        <f>IFERROR(VLOOKUP(D832,$H$4:$I$70,2,0),"")</f>
        <v>213</v>
      </c>
      <c r="F832" s="9">
        <f>IFERROR(VLOOKUP(C832,$H$4:$I$70,2,0),"")</f>
        <v>236</v>
      </c>
    </row>
    <row r="833" spans="2:6" x14ac:dyDescent="0.2">
      <c r="B833" s="13">
        <f t="shared" si="38"/>
        <v>830</v>
      </c>
      <c r="C833" s="8">
        <f t="shared" si="39"/>
        <v>50</v>
      </c>
      <c r="D833" s="8">
        <f t="shared" si="40"/>
        <v>54</v>
      </c>
      <c r="E833" s="8">
        <f>IFERROR(VLOOKUP(D833,$H$4:$I$70,2,0),"")</f>
        <v>213</v>
      </c>
      <c r="F833" s="9">
        <f>IFERROR(VLOOKUP(C833,$H$4:$I$70,2,0),"")</f>
        <v>231</v>
      </c>
    </row>
    <row r="834" spans="2:6" x14ac:dyDescent="0.2">
      <c r="B834" s="13">
        <f t="shared" si="38"/>
        <v>831</v>
      </c>
      <c r="C834" s="8">
        <f t="shared" si="39"/>
        <v>51</v>
      </c>
      <c r="D834" s="8">
        <f t="shared" si="40"/>
        <v>54</v>
      </c>
      <c r="E834" s="8">
        <f>IFERROR(VLOOKUP(D834,$H$4:$I$70,2,0),"")</f>
        <v>213</v>
      </c>
      <c r="F834" s="9">
        <f>IFERROR(VLOOKUP(C834,$H$4:$I$70,2,0),"")</f>
        <v>227</v>
      </c>
    </row>
    <row r="835" spans="2:6" x14ac:dyDescent="0.2">
      <c r="B835" s="13">
        <f t="shared" si="38"/>
        <v>832</v>
      </c>
      <c r="C835" s="8">
        <f t="shared" si="39"/>
        <v>52</v>
      </c>
      <c r="D835" s="8">
        <f t="shared" si="40"/>
        <v>54</v>
      </c>
      <c r="E835" s="8">
        <f>IFERROR(VLOOKUP(D835,$H$4:$I$70,2,0),"")</f>
        <v>213</v>
      </c>
      <c r="F835" s="9">
        <f>IFERROR(VLOOKUP(C835,$H$4:$I$70,2,0),"")</f>
        <v>224</v>
      </c>
    </row>
    <row r="836" spans="2:6" x14ac:dyDescent="0.2">
      <c r="B836" s="13">
        <f t="shared" si="38"/>
        <v>833</v>
      </c>
      <c r="C836" s="8">
        <f t="shared" si="39"/>
        <v>53</v>
      </c>
      <c r="D836" s="8">
        <f t="shared" si="40"/>
        <v>54</v>
      </c>
      <c r="E836" s="8">
        <f>IFERROR(VLOOKUP(D836,$H$4:$I$70,2,0),"")</f>
        <v>213</v>
      </c>
      <c r="F836" s="9">
        <f>IFERROR(VLOOKUP(C836,$H$4:$I$70,2,0),"")</f>
        <v>217</v>
      </c>
    </row>
    <row r="837" spans="2:6" x14ac:dyDescent="0.2">
      <c r="B837" s="13">
        <f t="shared" ref="B837:B900" si="41">ROW()-3</f>
        <v>834</v>
      </c>
      <c r="C837" s="8">
        <f t="shared" si="39"/>
        <v>1</v>
      </c>
      <c r="D837" s="8">
        <f t="shared" si="40"/>
        <v>53</v>
      </c>
      <c r="E837" s="8">
        <f>IFERROR(VLOOKUP(D837,$H$4:$I$70,2,0),"")</f>
        <v>217</v>
      </c>
      <c r="F837" s="9">
        <f>IFERROR(VLOOKUP(C837,$H$4:$I$70,2,0),"")</f>
        <v>1344</v>
      </c>
    </row>
    <row r="838" spans="2:6" x14ac:dyDescent="0.2">
      <c r="B838" s="13">
        <f t="shared" si="41"/>
        <v>835</v>
      </c>
      <c r="C838" s="8">
        <f t="shared" ref="C838:C901" si="42">IF((D837-C837)=1,1,C837+1)</f>
        <v>2</v>
      </c>
      <c r="D838" s="8">
        <f t="shared" ref="D838:D901" si="43">IF((D837-C837)=1,D837-1,D837)</f>
        <v>53</v>
      </c>
      <c r="E838" s="8">
        <f>IFERROR(VLOOKUP(D838,$H$4:$I$70,2,0),"")</f>
        <v>217</v>
      </c>
      <c r="F838" s="9">
        <f>IFERROR(VLOOKUP(C838,$H$4:$I$70,2,0),"")</f>
        <v>1048</v>
      </c>
    </row>
    <row r="839" spans="2:6" x14ac:dyDescent="0.2">
      <c r="B839" s="13">
        <f t="shared" si="41"/>
        <v>836</v>
      </c>
      <c r="C839" s="8">
        <f t="shared" si="42"/>
        <v>3</v>
      </c>
      <c r="D839" s="8">
        <f t="shared" si="43"/>
        <v>53</v>
      </c>
      <c r="E839" s="8">
        <f>IFERROR(VLOOKUP(D839,$H$4:$I$70,2,0),"")</f>
        <v>217</v>
      </c>
      <c r="F839" s="9">
        <f>IFERROR(VLOOKUP(C839,$H$4:$I$70,2,0),"")</f>
        <v>1025</v>
      </c>
    </row>
    <row r="840" spans="2:6" x14ac:dyDescent="0.2">
      <c r="B840" s="13">
        <f t="shared" si="41"/>
        <v>837</v>
      </c>
      <c r="C840" s="8">
        <f t="shared" si="42"/>
        <v>4</v>
      </c>
      <c r="D840" s="8">
        <f t="shared" si="43"/>
        <v>53</v>
      </c>
      <c r="E840" s="8">
        <f>IFERROR(VLOOKUP(D840,$H$4:$I$70,2,0),"")</f>
        <v>217</v>
      </c>
      <c r="F840" s="9">
        <f>IFERROR(VLOOKUP(C840,$H$4:$I$70,2,0),"")</f>
        <v>805</v>
      </c>
    </row>
    <row r="841" spans="2:6" x14ac:dyDescent="0.2">
      <c r="B841" s="13">
        <f t="shared" si="41"/>
        <v>838</v>
      </c>
      <c r="C841" s="8">
        <f t="shared" si="42"/>
        <v>5</v>
      </c>
      <c r="D841" s="8">
        <f t="shared" si="43"/>
        <v>53</v>
      </c>
      <c r="E841" s="8">
        <f>IFERROR(VLOOKUP(D841,$H$4:$I$70,2,0),"")</f>
        <v>217</v>
      </c>
      <c r="F841" s="9">
        <f>IFERROR(VLOOKUP(C841,$H$4:$I$70,2,0),"")</f>
        <v>666</v>
      </c>
    </row>
    <row r="842" spans="2:6" x14ac:dyDescent="0.2">
      <c r="B842" s="13">
        <f t="shared" si="41"/>
        <v>839</v>
      </c>
      <c r="C842" s="8">
        <f t="shared" si="42"/>
        <v>6</v>
      </c>
      <c r="D842" s="8">
        <f t="shared" si="43"/>
        <v>53</v>
      </c>
      <c r="E842" s="8">
        <f>IFERROR(VLOOKUP(D842,$H$4:$I$70,2,0),"")</f>
        <v>217</v>
      </c>
      <c r="F842" s="9">
        <f>IFERROR(VLOOKUP(C842,$H$4:$I$70,2,0),"")</f>
        <v>655</v>
      </c>
    </row>
    <row r="843" spans="2:6" x14ac:dyDescent="0.2">
      <c r="B843" s="13">
        <f t="shared" si="41"/>
        <v>840</v>
      </c>
      <c r="C843" s="8">
        <f t="shared" si="42"/>
        <v>7</v>
      </c>
      <c r="D843" s="8">
        <f t="shared" si="43"/>
        <v>53</v>
      </c>
      <c r="E843" s="8">
        <f>IFERROR(VLOOKUP(D843,$H$4:$I$70,2,0),"")</f>
        <v>217</v>
      </c>
      <c r="F843" s="9">
        <f>IFERROR(VLOOKUP(C843,$H$4:$I$70,2,0),"")</f>
        <v>652</v>
      </c>
    </row>
    <row r="844" spans="2:6" x14ac:dyDescent="0.2">
      <c r="B844" s="13">
        <f t="shared" si="41"/>
        <v>841</v>
      </c>
      <c r="C844" s="8">
        <f t="shared" si="42"/>
        <v>8</v>
      </c>
      <c r="D844" s="8">
        <f t="shared" si="43"/>
        <v>53</v>
      </c>
      <c r="E844" s="8">
        <f>IFERROR(VLOOKUP(D844,$H$4:$I$70,2,0),"")</f>
        <v>217</v>
      </c>
      <c r="F844" s="9">
        <f>IFERROR(VLOOKUP(C844,$H$4:$I$70,2,0),"")</f>
        <v>633</v>
      </c>
    </row>
    <row r="845" spans="2:6" x14ac:dyDescent="0.2">
      <c r="B845" s="13">
        <f t="shared" si="41"/>
        <v>842</v>
      </c>
      <c r="C845" s="8">
        <f t="shared" si="42"/>
        <v>9</v>
      </c>
      <c r="D845" s="8">
        <f t="shared" si="43"/>
        <v>53</v>
      </c>
      <c r="E845" s="8">
        <f>IFERROR(VLOOKUP(D845,$H$4:$I$70,2,0),"")</f>
        <v>217</v>
      </c>
      <c r="F845" s="9">
        <f>IFERROR(VLOOKUP(C845,$H$4:$I$70,2,0),"")</f>
        <v>632</v>
      </c>
    </row>
    <row r="846" spans="2:6" x14ac:dyDescent="0.2">
      <c r="B846" s="13">
        <f t="shared" si="41"/>
        <v>843</v>
      </c>
      <c r="C846" s="8">
        <f t="shared" si="42"/>
        <v>10</v>
      </c>
      <c r="D846" s="8">
        <f t="shared" si="43"/>
        <v>53</v>
      </c>
      <c r="E846" s="8">
        <f>IFERROR(VLOOKUP(D846,$H$4:$I$70,2,0),"")</f>
        <v>217</v>
      </c>
      <c r="F846" s="9">
        <f>IFERROR(VLOOKUP(C846,$H$4:$I$70,2,0),"")</f>
        <v>625</v>
      </c>
    </row>
    <row r="847" spans="2:6" x14ac:dyDescent="0.2">
      <c r="B847" s="13">
        <f t="shared" si="41"/>
        <v>844</v>
      </c>
      <c r="C847" s="8">
        <f t="shared" si="42"/>
        <v>11</v>
      </c>
      <c r="D847" s="8">
        <f t="shared" si="43"/>
        <v>53</v>
      </c>
      <c r="E847" s="8">
        <f>IFERROR(VLOOKUP(D847,$H$4:$I$70,2,0),"")</f>
        <v>217</v>
      </c>
      <c r="F847" s="9">
        <f>IFERROR(VLOOKUP(C847,$H$4:$I$70,2,0),"")</f>
        <v>619</v>
      </c>
    </row>
    <row r="848" spans="2:6" x14ac:dyDescent="0.2">
      <c r="B848" s="13">
        <f t="shared" si="41"/>
        <v>845</v>
      </c>
      <c r="C848" s="8">
        <f t="shared" si="42"/>
        <v>12</v>
      </c>
      <c r="D848" s="8">
        <f t="shared" si="43"/>
        <v>53</v>
      </c>
      <c r="E848" s="8">
        <f>IFERROR(VLOOKUP(D848,$H$4:$I$70,2,0),"")</f>
        <v>217</v>
      </c>
      <c r="F848" s="9">
        <f>IFERROR(VLOOKUP(C848,$H$4:$I$70,2,0),"")</f>
        <v>610</v>
      </c>
    </row>
    <row r="849" spans="2:6" x14ac:dyDescent="0.2">
      <c r="B849" s="13">
        <f t="shared" si="41"/>
        <v>846</v>
      </c>
      <c r="C849" s="8">
        <f t="shared" si="42"/>
        <v>13</v>
      </c>
      <c r="D849" s="8">
        <f t="shared" si="43"/>
        <v>53</v>
      </c>
      <c r="E849" s="8">
        <f>IFERROR(VLOOKUP(D849,$H$4:$I$70,2,0),"")</f>
        <v>217</v>
      </c>
      <c r="F849" s="9">
        <f>IFERROR(VLOOKUP(C849,$H$4:$I$70,2,0),"")</f>
        <v>599</v>
      </c>
    </row>
    <row r="850" spans="2:6" x14ac:dyDescent="0.2">
      <c r="B850" s="13">
        <f t="shared" si="41"/>
        <v>847</v>
      </c>
      <c r="C850" s="8">
        <f t="shared" si="42"/>
        <v>14</v>
      </c>
      <c r="D850" s="8">
        <f t="shared" si="43"/>
        <v>53</v>
      </c>
      <c r="E850" s="8">
        <f>IFERROR(VLOOKUP(D850,$H$4:$I$70,2,0),"")</f>
        <v>217</v>
      </c>
      <c r="F850" s="9">
        <f>IFERROR(VLOOKUP(C850,$H$4:$I$70,2,0),"")</f>
        <v>559</v>
      </c>
    </row>
    <row r="851" spans="2:6" x14ac:dyDescent="0.2">
      <c r="B851" s="13">
        <f t="shared" si="41"/>
        <v>848</v>
      </c>
      <c r="C851" s="8">
        <f t="shared" si="42"/>
        <v>15</v>
      </c>
      <c r="D851" s="8">
        <f t="shared" si="43"/>
        <v>53</v>
      </c>
      <c r="E851" s="8">
        <f>IFERROR(VLOOKUP(D851,$H$4:$I$70,2,0),"")</f>
        <v>217</v>
      </c>
      <c r="F851" s="9">
        <f>IFERROR(VLOOKUP(C851,$H$4:$I$70,2,0),"")</f>
        <v>556</v>
      </c>
    </row>
    <row r="852" spans="2:6" x14ac:dyDescent="0.2">
      <c r="B852" s="13">
        <f t="shared" si="41"/>
        <v>849</v>
      </c>
      <c r="C852" s="8">
        <f t="shared" si="42"/>
        <v>16</v>
      </c>
      <c r="D852" s="8">
        <f t="shared" si="43"/>
        <v>53</v>
      </c>
      <c r="E852" s="8">
        <f>IFERROR(VLOOKUP(D852,$H$4:$I$70,2,0),"")</f>
        <v>217</v>
      </c>
      <c r="F852" s="9">
        <f>IFERROR(VLOOKUP(C852,$H$4:$I$70,2,0),"")</f>
        <v>540</v>
      </c>
    </row>
    <row r="853" spans="2:6" x14ac:dyDescent="0.2">
      <c r="B853" s="13">
        <f t="shared" si="41"/>
        <v>850</v>
      </c>
      <c r="C853" s="8">
        <f t="shared" si="42"/>
        <v>17</v>
      </c>
      <c r="D853" s="8">
        <f t="shared" si="43"/>
        <v>53</v>
      </c>
      <c r="E853" s="8">
        <f>IFERROR(VLOOKUP(D853,$H$4:$I$70,2,0),"")</f>
        <v>217</v>
      </c>
      <c r="F853" s="9">
        <f>IFERROR(VLOOKUP(C853,$H$4:$I$70,2,0),"")</f>
        <v>536</v>
      </c>
    </row>
    <row r="854" spans="2:6" x14ac:dyDescent="0.2">
      <c r="B854" s="13">
        <f t="shared" si="41"/>
        <v>851</v>
      </c>
      <c r="C854" s="8">
        <f t="shared" si="42"/>
        <v>18</v>
      </c>
      <c r="D854" s="8">
        <f t="shared" si="43"/>
        <v>53</v>
      </c>
      <c r="E854" s="8">
        <f>IFERROR(VLOOKUP(D854,$H$4:$I$70,2,0),"")</f>
        <v>217</v>
      </c>
      <c r="F854" s="9">
        <f>IFERROR(VLOOKUP(C854,$H$4:$I$70,2,0),"")</f>
        <v>527</v>
      </c>
    </row>
    <row r="855" spans="2:6" x14ac:dyDescent="0.2">
      <c r="B855" s="13">
        <f t="shared" si="41"/>
        <v>852</v>
      </c>
      <c r="C855" s="8">
        <f t="shared" si="42"/>
        <v>19</v>
      </c>
      <c r="D855" s="8">
        <f t="shared" si="43"/>
        <v>53</v>
      </c>
      <c r="E855" s="8">
        <f>IFERROR(VLOOKUP(D855,$H$4:$I$70,2,0),"")</f>
        <v>217</v>
      </c>
      <c r="F855" s="9">
        <f>IFERROR(VLOOKUP(C855,$H$4:$I$70,2,0),"")</f>
        <v>478</v>
      </c>
    </row>
    <row r="856" spans="2:6" x14ac:dyDescent="0.2">
      <c r="B856" s="13">
        <f t="shared" si="41"/>
        <v>853</v>
      </c>
      <c r="C856" s="8">
        <f t="shared" si="42"/>
        <v>20</v>
      </c>
      <c r="D856" s="8">
        <f t="shared" si="43"/>
        <v>53</v>
      </c>
      <c r="E856" s="8">
        <f>IFERROR(VLOOKUP(D856,$H$4:$I$70,2,0),"")</f>
        <v>217</v>
      </c>
      <c r="F856" s="9">
        <f>IFERROR(VLOOKUP(C856,$H$4:$I$70,2,0),"")</f>
        <v>474</v>
      </c>
    </row>
    <row r="857" spans="2:6" x14ac:dyDescent="0.2">
      <c r="B857" s="13">
        <f t="shared" si="41"/>
        <v>854</v>
      </c>
      <c r="C857" s="8">
        <f t="shared" si="42"/>
        <v>21</v>
      </c>
      <c r="D857" s="8">
        <f t="shared" si="43"/>
        <v>53</v>
      </c>
      <c r="E857" s="8">
        <f>IFERROR(VLOOKUP(D857,$H$4:$I$70,2,0),"")</f>
        <v>217</v>
      </c>
      <c r="F857" s="9">
        <f>IFERROR(VLOOKUP(C857,$H$4:$I$70,2,0),"")</f>
        <v>468</v>
      </c>
    </row>
    <row r="858" spans="2:6" x14ac:dyDescent="0.2">
      <c r="B858" s="13">
        <f t="shared" si="41"/>
        <v>855</v>
      </c>
      <c r="C858" s="8">
        <f t="shared" si="42"/>
        <v>22</v>
      </c>
      <c r="D858" s="8">
        <f t="shared" si="43"/>
        <v>53</v>
      </c>
      <c r="E858" s="8">
        <f>IFERROR(VLOOKUP(D858,$H$4:$I$70,2,0),"")</f>
        <v>217</v>
      </c>
      <c r="F858" s="9">
        <f>IFERROR(VLOOKUP(C858,$H$4:$I$70,2,0),"")</f>
        <v>457</v>
      </c>
    </row>
    <row r="859" spans="2:6" x14ac:dyDescent="0.2">
      <c r="B859" s="13">
        <f t="shared" si="41"/>
        <v>856</v>
      </c>
      <c r="C859" s="8">
        <f t="shared" si="42"/>
        <v>23</v>
      </c>
      <c r="D859" s="8">
        <f t="shared" si="43"/>
        <v>53</v>
      </c>
      <c r="E859" s="8">
        <f>IFERROR(VLOOKUP(D859,$H$4:$I$70,2,0),"")</f>
        <v>217</v>
      </c>
      <c r="F859" s="9">
        <f>IFERROR(VLOOKUP(C859,$H$4:$I$70,2,0),"")</f>
        <v>452</v>
      </c>
    </row>
    <row r="860" spans="2:6" x14ac:dyDescent="0.2">
      <c r="B860" s="13">
        <f t="shared" si="41"/>
        <v>857</v>
      </c>
      <c r="C860" s="8">
        <f t="shared" si="42"/>
        <v>24</v>
      </c>
      <c r="D860" s="8">
        <f t="shared" si="43"/>
        <v>53</v>
      </c>
      <c r="E860" s="8">
        <f>IFERROR(VLOOKUP(D860,$H$4:$I$70,2,0),"")</f>
        <v>217</v>
      </c>
      <c r="F860" s="9">
        <f>IFERROR(VLOOKUP(C860,$H$4:$I$70,2,0),"")</f>
        <v>442</v>
      </c>
    </row>
    <row r="861" spans="2:6" x14ac:dyDescent="0.2">
      <c r="B861" s="13">
        <f t="shared" si="41"/>
        <v>858</v>
      </c>
      <c r="C861" s="8">
        <f t="shared" si="42"/>
        <v>25</v>
      </c>
      <c r="D861" s="8">
        <f t="shared" si="43"/>
        <v>53</v>
      </c>
      <c r="E861" s="8">
        <f>IFERROR(VLOOKUP(D861,$H$4:$I$70,2,0),"")</f>
        <v>217</v>
      </c>
      <c r="F861" s="9">
        <f>IFERROR(VLOOKUP(C861,$H$4:$I$70,2,0),"")</f>
        <v>420</v>
      </c>
    </row>
    <row r="862" spans="2:6" x14ac:dyDescent="0.2">
      <c r="B862" s="13">
        <f t="shared" si="41"/>
        <v>859</v>
      </c>
      <c r="C862" s="8">
        <f t="shared" si="42"/>
        <v>26</v>
      </c>
      <c r="D862" s="8">
        <f t="shared" si="43"/>
        <v>53</v>
      </c>
      <c r="E862" s="8">
        <f>IFERROR(VLOOKUP(D862,$H$4:$I$70,2,0),"")</f>
        <v>217</v>
      </c>
      <c r="F862" s="9">
        <f>IFERROR(VLOOKUP(C862,$H$4:$I$70,2,0),"")</f>
        <v>410</v>
      </c>
    </row>
    <row r="863" spans="2:6" x14ac:dyDescent="0.2">
      <c r="B863" s="13">
        <f t="shared" si="41"/>
        <v>860</v>
      </c>
      <c r="C863" s="8">
        <f t="shared" si="42"/>
        <v>27</v>
      </c>
      <c r="D863" s="8">
        <f t="shared" si="43"/>
        <v>53</v>
      </c>
      <c r="E863" s="8">
        <f>IFERROR(VLOOKUP(D863,$H$4:$I$70,2,0),"")</f>
        <v>217</v>
      </c>
      <c r="F863" s="9">
        <f>IFERROR(VLOOKUP(C863,$H$4:$I$70,2,0),"")</f>
        <v>409</v>
      </c>
    </row>
    <row r="864" spans="2:6" x14ac:dyDescent="0.2">
      <c r="B864" s="13">
        <f t="shared" si="41"/>
        <v>861</v>
      </c>
      <c r="C864" s="8">
        <f t="shared" si="42"/>
        <v>28</v>
      </c>
      <c r="D864" s="8">
        <f t="shared" si="43"/>
        <v>53</v>
      </c>
      <c r="E864" s="8">
        <f>IFERROR(VLOOKUP(D864,$H$4:$I$70,2,0),"")</f>
        <v>217</v>
      </c>
      <c r="F864" s="9">
        <f>IFERROR(VLOOKUP(C864,$H$4:$I$70,2,0),"")</f>
        <v>408</v>
      </c>
    </row>
    <row r="865" spans="2:6" x14ac:dyDescent="0.2">
      <c r="B865" s="13">
        <f t="shared" si="41"/>
        <v>862</v>
      </c>
      <c r="C865" s="8">
        <f t="shared" si="42"/>
        <v>29</v>
      </c>
      <c r="D865" s="8">
        <f t="shared" si="43"/>
        <v>53</v>
      </c>
      <c r="E865" s="8">
        <f>IFERROR(VLOOKUP(D865,$H$4:$I$70,2,0),"")</f>
        <v>217</v>
      </c>
      <c r="F865" s="9">
        <f>IFERROR(VLOOKUP(C865,$H$4:$I$70,2,0),"")</f>
        <v>404</v>
      </c>
    </row>
    <row r="866" spans="2:6" x14ac:dyDescent="0.2">
      <c r="B866" s="13">
        <f t="shared" si="41"/>
        <v>863</v>
      </c>
      <c r="C866" s="8">
        <f t="shared" si="42"/>
        <v>30</v>
      </c>
      <c r="D866" s="8">
        <f t="shared" si="43"/>
        <v>53</v>
      </c>
      <c r="E866" s="8">
        <f>IFERROR(VLOOKUP(D866,$H$4:$I$70,2,0),"")</f>
        <v>217</v>
      </c>
      <c r="F866" s="9">
        <f>IFERROR(VLOOKUP(C866,$H$4:$I$70,2,0),"")</f>
        <v>399</v>
      </c>
    </row>
    <row r="867" spans="2:6" x14ac:dyDescent="0.2">
      <c r="B867" s="13">
        <f t="shared" si="41"/>
        <v>864</v>
      </c>
      <c r="C867" s="8">
        <f t="shared" si="42"/>
        <v>31</v>
      </c>
      <c r="D867" s="8">
        <f t="shared" si="43"/>
        <v>53</v>
      </c>
      <c r="E867" s="8">
        <f>IFERROR(VLOOKUP(D867,$H$4:$I$70,2,0),"")</f>
        <v>217</v>
      </c>
      <c r="F867" s="9">
        <f>IFERROR(VLOOKUP(C867,$H$4:$I$70,2,0),"")</f>
        <v>396</v>
      </c>
    </row>
    <row r="868" spans="2:6" x14ac:dyDescent="0.2">
      <c r="B868" s="13">
        <f t="shared" si="41"/>
        <v>865</v>
      </c>
      <c r="C868" s="8">
        <f t="shared" si="42"/>
        <v>32</v>
      </c>
      <c r="D868" s="8">
        <f t="shared" si="43"/>
        <v>53</v>
      </c>
      <c r="E868" s="8">
        <f>IFERROR(VLOOKUP(D868,$H$4:$I$70,2,0),"")</f>
        <v>217</v>
      </c>
      <c r="F868" s="9">
        <f>IFERROR(VLOOKUP(C868,$H$4:$I$70,2,0),"")</f>
        <v>384</v>
      </c>
    </row>
    <row r="869" spans="2:6" x14ac:dyDescent="0.2">
      <c r="B869" s="13">
        <f t="shared" si="41"/>
        <v>866</v>
      </c>
      <c r="C869" s="8">
        <f t="shared" si="42"/>
        <v>33</v>
      </c>
      <c r="D869" s="8">
        <f t="shared" si="43"/>
        <v>53</v>
      </c>
      <c r="E869" s="8">
        <f>IFERROR(VLOOKUP(D869,$H$4:$I$70,2,0),"")</f>
        <v>217</v>
      </c>
      <c r="F869" s="9">
        <f>IFERROR(VLOOKUP(C869,$H$4:$I$70,2,0),"")</f>
        <v>381</v>
      </c>
    </row>
    <row r="870" spans="2:6" x14ac:dyDescent="0.2">
      <c r="B870" s="13">
        <f t="shared" si="41"/>
        <v>867</v>
      </c>
      <c r="C870" s="8">
        <f t="shared" si="42"/>
        <v>34</v>
      </c>
      <c r="D870" s="8">
        <f t="shared" si="43"/>
        <v>53</v>
      </c>
      <c r="E870" s="8">
        <f>IFERROR(VLOOKUP(D870,$H$4:$I$70,2,0),"")</f>
        <v>217</v>
      </c>
      <c r="F870" s="9">
        <f>IFERROR(VLOOKUP(C870,$H$4:$I$70,2,0),"")</f>
        <v>376</v>
      </c>
    </row>
    <row r="871" spans="2:6" x14ac:dyDescent="0.2">
      <c r="B871" s="13">
        <f t="shared" si="41"/>
        <v>868</v>
      </c>
      <c r="C871" s="8">
        <f t="shared" si="42"/>
        <v>35</v>
      </c>
      <c r="D871" s="8">
        <f t="shared" si="43"/>
        <v>53</v>
      </c>
      <c r="E871" s="8">
        <f>IFERROR(VLOOKUP(D871,$H$4:$I$70,2,0),"")</f>
        <v>217</v>
      </c>
      <c r="F871" s="9">
        <f>IFERROR(VLOOKUP(C871,$H$4:$I$70,2,0),"")</f>
        <v>370</v>
      </c>
    </row>
    <row r="872" spans="2:6" x14ac:dyDescent="0.2">
      <c r="B872" s="13">
        <f t="shared" si="41"/>
        <v>869</v>
      </c>
      <c r="C872" s="8">
        <f t="shared" si="42"/>
        <v>36</v>
      </c>
      <c r="D872" s="8">
        <f t="shared" si="43"/>
        <v>53</v>
      </c>
      <c r="E872" s="8">
        <f>IFERROR(VLOOKUP(D872,$H$4:$I$70,2,0),"")</f>
        <v>217</v>
      </c>
      <c r="F872" s="9">
        <f>IFERROR(VLOOKUP(C872,$H$4:$I$70,2,0),"")</f>
        <v>362</v>
      </c>
    </row>
    <row r="873" spans="2:6" x14ac:dyDescent="0.2">
      <c r="B873" s="13">
        <f t="shared" si="41"/>
        <v>870</v>
      </c>
      <c r="C873" s="8">
        <f t="shared" si="42"/>
        <v>37</v>
      </c>
      <c r="D873" s="8">
        <f t="shared" si="43"/>
        <v>53</v>
      </c>
      <c r="E873" s="8">
        <f>IFERROR(VLOOKUP(D873,$H$4:$I$70,2,0),"")</f>
        <v>217</v>
      </c>
      <c r="F873" s="9">
        <f>IFERROR(VLOOKUP(C873,$H$4:$I$70,2,0),"")</f>
        <v>357</v>
      </c>
    </row>
    <row r="874" spans="2:6" x14ac:dyDescent="0.2">
      <c r="B874" s="13">
        <f t="shared" si="41"/>
        <v>871</v>
      </c>
      <c r="C874" s="8">
        <f t="shared" si="42"/>
        <v>38</v>
      </c>
      <c r="D874" s="8">
        <f t="shared" si="43"/>
        <v>53</v>
      </c>
      <c r="E874" s="8">
        <f>IFERROR(VLOOKUP(D874,$H$4:$I$70,2,0),"")</f>
        <v>217</v>
      </c>
      <c r="F874" s="9">
        <f>IFERROR(VLOOKUP(C874,$H$4:$I$70,2,0),"")</f>
        <v>351</v>
      </c>
    </row>
    <row r="875" spans="2:6" x14ac:dyDescent="0.2">
      <c r="B875" s="13">
        <f t="shared" si="41"/>
        <v>872</v>
      </c>
      <c r="C875" s="8">
        <f t="shared" si="42"/>
        <v>39</v>
      </c>
      <c r="D875" s="8">
        <f t="shared" si="43"/>
        <v>53</v>
      </c>
      <c r="E875" s="8">
        <f>IFERROR(VLOOKUP(D875,$H$4:$I$70,2,0),"")</f>
        <v>217</v>
      </c>
      <c r="F875" s="9">
        <f>IFERROR(VLOOKUP(C875,$H$4:$I$70,2,0),"")</f>
        <v>339</v>
      </c>
    </row>
    <row r="876" spans="2:6" x14ac:dyDescent="0.2">
      <c r="B876" s="13">
        <f t="shared" si="41"/>
        <v>873</v>
      </c>
      <c r="C876" s="8">
        <f t="shared" si="42"/>
        <v>40</v>
      </c>
      <c r="D876" s="8">
        <f t="shared" si="43"/>
        <v>53</v>
      </c>
      <c r="E876" s="8">
        <f>IFERROR(VLOOKUP(D876,$H$4:$I$70,2,0),"")</f>
        <v>217</v>
      </c>
      <c r="F876" s="9">
        <f>IFERROR(VLOOKUP(C876,$H$4:$I$70,2,0),"")</f>
        <v>304</v>
      </c>
    </row>
    <row r="877" spans="2:6" x14ac:dyDescent="0.2">
      <c r="B877" s="13">
        <f t="shared" si="41"/>
        <v>874</v>
      </c>
      <c r="C877" s="8">
        <f t="shared" si="42"/>
        <v>41</v>
      </c>
      <c r="D877" s="8">
        <f t="shared" si="43"/>
        <v>53</v>
      </c>
      <c r="E877" s="8">
        <f>IFERROR(VLOOKUP(D877,$H$4:$I$70,2,0),"")</f>
        <v>217</v>
      </c>
      <c r="F877" s="9">
        <f>IFERROR(VLOOKUP(C877,$H$4:$I$70,2,0),"")</f>
        <v>301</v>
      </c>
    </row>
    <row r="878" spans="2:6" x14ac:dyDescent="0.2">
      <c r="B878" s="13">
        <f t="shared" si="41"/>
        <v>875</v>
      </c>
      <c r="C878" s="8">
        <f t="shared" si="42"/>
        <v>42</v>
      </c>
      <c r="D878" s="8">
        <f t="shared" si="43"/>
        <v>53</v>
      </c>
      <c r="E878" s="8">
        <f>IFERROR(VLOOKUP(D878,$H$4:$I$70,2,0),"")</f>
        <v>217</v>
      </c>
      <c r="F878" s="9">
        <f>IFERROR(VLOOKUP(C878,$H$4:$I$70,2,0),"")</f>
        <v>300</v>
      </c>
    </row>
    <row r="879" spans="2:6" x14ac:dyDescent="0.2">
      <c r="B879" s="13">
        <f t="shared" si="41"/>
        <v>876</v>
      </c>
      <c r="C879" s="8">
        <f t="shared" si="42"/>
        <v>43</v>
      </c>
      <c r="D879" s="8">
        <f t="shared" si="43"/>
        <v>53</v>
      </c>
      <c r="E879" s="8">
        <f>IFERROR(VLOOKUP(D879,$H$4:$I$70,2,0),"")</f>
        <v>217</v>
      </c>
      <c r="F879" s="9">
        <f>IFERROR(VLOOKUP(C879,$H$4:$I$70,2,0),"")</f>
        <v>288</v>
      </c>
    </row>
    <row r="880" spans="2:6" x14ac:dyDescent="0.2">
      <c r="B880" s="13">
        <f t="shared" si="41"/>
        <v>877</v>
      </c>
      <c r="C880" s="8">
        <f t="shared" si="42"/>
        <v>44</v>
      </c>
      <c r="D880" s="8">
        <f t="shared" si="43"/>
        <v>53</v>
      </c>
      <c r="E880" s="8">
        <f>IFERROR(VLOOKUP(D880,$H$4:$I$70,2,0),"")</f>
        <v>217</v>
      </c>
      <c r="F880" s="9">
        <f>IFERROR(VLOOKUP(C880,$H$4:$I$70,2,0),"")</f>
        <v>273</v>
      </c>
    </row>
    <row r="881" spans="2:6" x14ac:dyDescent="0.2">
      <c r="B881" s="13">
        <f t="shared" si="41"/>
        <v>878</v>
      </c>
      <c r="C881" s="8">
        <f t="shared" si="42"/>
        <v>45</v>
      </c>
      <c r="D881" s="8">
        <f t="shared" si="43"/>
        <v>53</v>
      </c>
      <c r="E881" s="8">
        <f>IFERROR(VLOOKUP(D881,$H$4:$I$70,2,0),"")</f>
        <v>217</v>
      </c>
      <c r="F881" s="9">
        <f>IFERROR(VLOOKUP(C881,$H$4:$I$70,2,0),"")</f>
        <v>268</v>
      </c>
    </row>
    <row r="882" spans="2:6" x14ac:dyDescent="0.2">
      <c r="B882" s="13">
        <f t="shared" si="41"/>
        <v>879</v>
      </c>
      <c r="C882" s="8">
        <f t="shared" si="42"/>
        <v>46</v>
      </c>
      <c r="D882" s="8">
        <f t="shared" si="43"/>
        <v>53</v>
      </c>
      <c r="E882" s="8">
        <f>IFERROR(VLOOKUP(D882,$H$4:$I$70,2,0),"")</f>
        <v>217</v>
      </c>
      <c r="F882" s="9">
        <f>IFERROR(VLOOKUP(C882,$H$4:$I$70,2,0),"")</f>
        <v>262</v>
      </c>
    </row>
    <row r="883" spans="2:6" x14ac:dyDescent="0.2">
      <c r="B883" s="13">
        <f t="shared" si="41"/>
        <v>880</v>
      </c>
      <c r="C883" s="8">
        <f t="shared" si="42"/>
        <v>47</v>
      </c>
      <c r="D883" s="8">
        <f t="shared" si="43"/>
        <v>53</v>
      </c>
      <c r="E883" s="8">
        <f>IFERROR(VLOOKUP(D883,$H$4:$I$70,2,0),"")</f>
        <v>217</v>
      </c>
      <c r="F883" s="9">
        <f>IFERROR(VLOOKUP(C883,$H$4:$I$70,2,0),"")</f>
        <v>248</v>
      </c>
    </row>
    <row r="884" spans="2:6" x14ac:dyDescent="0.2">
      <c r="B884" s="13">
        <f t="shared" si="41"/>
        <v>881</v>
      </c>
      <c r="C884" s="8">
        <f t="shared" si="42"/>
        <v>48</v>
      </c>
      <c r="D884" s="8">
        <f t="shared" si="43"/>
        <v>53</v>
      </c>
      <c r="E884" s="8">
        <f>IFERROR(VLOOKUP(D884,$H$4:$I$70,2,0),"")</f>
        <v>217</v>
      </c>
      <c r="F884" s="9">
        <f>IFERROR(VLOOKUP(C884,$H$4:$I$70,2,0),"")</f>
        <v>246</v>
      </c>
    </row>
    <row r="885" spans="2:6" x14ac:dyDescent="0.2">
      <c r="B885" s="13">
        <f t="shared" si="41"/>
        <v>882</v>
      </c>
      <c r="C885" s="8">
        <f t="shared" si="42"/>
        <v>49</v>
      </c>
      <c r="D885" s="8">
        <f t="shared" si="43"/>
        <v>53</v>
      </c>
      <c r="E885" s="8">
        <f>IFERROR(VLOOKUP(D885,$H$4:$I$70,2,0),"")</f>
        <v>217</v>
      </c>
      <c r="F885" s="9">
        <f>IFERROR(VLOOKUP(C885,$H$4:$I$70,2,0),"")</f>
        <v>236</v>
      </c>
    </row>
    <row r="886" spans="2:6" x14ac:dyDescent="0.2">
      <c r="B886" s="13">
        <f t="shared" si="41"/>
        <v>883</v>
      </c>
      <c r="C886" s="8">
        <f t="shared" si="42"/>
        <v>50</v>
      </c>
      <c r="D886" s="8">
        <f t="shared" si="43"/>
        <v>53</v>
      </c>
      <c r="E886" s="8">
        <f>IFERROR(VLOOKUP(D886,$H$4:$I$70,2,0),"")</f>
        <v>217</v>
      </c>
      <c r="F886" s="9">
        <f>IFERROR(VLOOKUP(C886,$H$4:$I$70,2,0),"")</f>
        <v>231</v>
      </c>
    </row>
    <row r="887" spans="2:6" x14ac:dyDescent="0.2">
      <c r="B887" s="13">
        <f t="shared" si="41"/>
        <v>884</v>
      </c>
      <c r="C887" s="8">
        <f t="shared" si="42"/>
        <v>51</v>
      </c>
      <c r="D887" s="8">
        <f t="shared" si="43"/>
        <v>53</v>
      </c>
      <c r="E887" s="8">
        <f>IFERROR(VLOOKUP(D887,$H$4:$I$70,2,0),"")</f>
        <v>217</v>
      </c>
      <c r="F887" s="9">
        <f>IFERROR(VLOOKUP(C887,$H$4:$I$70,2,0),"")</f>
        <v>227</v>
      </c>
    </row>
    <row r="888" spans="2:6" x14ac:dyDescent="0.2">
      <c r="B888" s="13">
        <f t="shared" si="41"/>
        <v>885</v>
      </c>
      <c r="C888" s="8">
        <f t="shared" si="42"/>
        <v>52</v>
      </c>
      <c r="D888" s="8">
        <f t="shared" si="43"/>
        <v>53</v>
      </c>
      <c r="E888" s="8">
        <f>IFERROR(VLOOKUP(D888,$H$4:$I$70,2,0),"")</f>
        <v>217</v>
      </c>
      <c r="F888" s="9">
        <f>IFERROR(VLOOKUP(C888,$H$4:$I$70,2,0),"")</f>
        <v>224</v>
      </c>
    </row>
    <row r="889" spans="2:6" x14ac:dyDescent="0.2">
      <c r="B889" s="13">
        <f t="shared" si="41"/>
        <v>886</v>
      </c>
      <c r="C889" s="8">
        <f t="shared" si="42"/>
        <v>1</v>
      </c>
      <c r="D889" s="8">
        <f t="shared" si="43"/>
        <v>52</v>
      </c>
      <c r="E889" s="8">
        <f>IFERROR(VLOOKUP(D889,$H$4:$I$70,2,0),"")</f>
        <v>224</v>
      </c>
      <c r="F889" s="9">
        <f>IFERROR(VLOOKUP(C889,$H$4:$I$70,2,0),"")</f>
        <v>1344</v>
      </c>
    </row>
    <row r="890" spans="2:6" x14ac:dyDescent="0.2">
      <c r="B890" s="13">
        <f t="shared" si="41"/>
        <v>887</v>
      </c>
      <c r="C890" s="8">
        <f t="shared" si="42"/>
        <v>2</v>
      </c>
      <c r="D890" s="8">
        <f t="shared" si="43"/>
        <v>52</v>
      </c>
      <c r="E890" s="8">
        <f>IFERROR(VLOOKUP(D890,$H$4:$I$70,2,0),"")</f>
        <v>224</v>
      </c>
      <c r="F890" s="9">
        <f>IFERROR(VLOOKUP(C890,$H$4:$I$70,2,0),"")</f>
        <v>1048</v>
      </c>
    </row>
    <row r="891" spans="2:6" x14ac:dyDescent="0.2">
      <c r="B891" s="13">
        <f t="shared" si="41"/>
        <v>888</v>
      </c>
      <c r="C891" s="8">
        <f t="shared" si="42"/>
        <v>3</v>
      </c>
      <c r="D891" s="8">
        <f t="shared" si="43"/>
        <v>52</v>
      </c>
      <c r="E891" s="8">
        <f>IFERROR(VLOOKUP(D891,$H$4:$I$70,2,0),"")</f>
        <v>224</v>
      </c>
      <c r="F891" s="9">
        <f>IFERROR(VLOOKUP(C891,$H$4:$I$70,2,0),"")</f>
        <v>1025</v>
      </c>
    </row>
    <row r="892" spans="2:6" x14ac:dyDescent="0.2">
      <c r="B892" s="13">
        <f t="shared" si="41"/>
        <v>889</v>
      </c>
      <c r="C892" s="8">
        <f t="shared" si="42"/>
        <v>4</v>
      </c>
      <c r="D892" s="8">
        <f t="shared" si="43"/>
        <v>52</v>
      </c>
      <c r="E892" s="8">
        <f>IFERROR(VLOOKUP(D892,$H$4:$I$70,2,0),"")</f>
        <v>224</v>
      </c>
      <c r="F892" s="9">
        <f>IFERROR(VLOOKUP(C892,$H$4:$I$70,2,0),"")</f>
        <v>805</v>
      </c>
    </row>
    <row r="893" spans="2:6" x14ac:dyDescent="0.2">
      <c r="B893" s="13">
        <f t="shared" si="41"/>
        <v>890</v>
      </c>
      <c r="C893" s="8">
        <f t="shared" si="42"/>
        <v>5</v>
      </c>
      <c r="D893" s="8">
        <f t="shared" si="43"/>
        <v>52</v>
      </c>
      <c r="E893" s="8">
        <f>IFERROR(VLOOKUP(D893,$H$4:$I$70,2,0),"")</f>
        <v>224</v>
      </c>
      <c r="F893" s="9">
        <f>IFERROR(VLOOKUP(C893,$H$4:$I$70,2,0),"")</f>
        <v>666</v>
      </c>
    </row>
    <row r="894" spans="2:6" x14ac:dyDescent="0.2">
      <c r="B894" s="13">
        <f t="shared" si="41"/>
        <v>891</v>
      </c>
      <c r="C894" s="8">
        <f t="shared" si="42"/>
        <v>6</v>
      </c>
      <c r="D894" s="8">
        <f t="shared" si="43"/>
        <v>52</v>
      </c>
      <c r="E894" s="8">
        <f>IFERROR(VLOOKUP(D894,$H$4:$I$70,2,0),"")</f>
        <v>224</v>
      </c>
      <c r="F894" s="9">
        <f>IFERROR(VLOOKUP(C894,$H$4:$I$70,2,0),"")</f>
        <v>655</v>
      </c>
    </row>
    <row r="895" spans="2:6" x14ac:dyDescent="0.2">
      <c r="B895" s="13">
        <f t="shared" si="41"/>
        <v>892</v>
      </c>
      <c r="C895" s="8">
        <f t="shared" si="42"/>
        <v>7</v>
      </c>
      <c r="D895" s="8">
        <f t="shared" si="43"/>
        <v>52</v>
      </c>
      <c r="E895" s="8">
        <f>IFERROR(VLOOKUP(D895,$H$4:$I$70,2,0),"")</f>
        <v>224</v>
      </c>
      <c r="F895" s="9">
        <f>IFERROR(VLOOKUP(C895,$H$4:$I$70,2,0),"")</f>
        <v>652</v>
      </c>
    </row>
    <row r="896" spans="2:6" x14ac:dyDescent="0.2">
      <c r="B896" s="13">
        <f t="shared" si="41"/>
        <v>893</v>
      </c>
      <c r="C896" s="8">
        <f t="shared" si="42"/>
        <v>8</v>
      </c>
      <c r="D896" s="8">
        <f t="shared" si="43"/>
        <v>52</v>
      </c>
      <c r="E896" s="8">
        <f>IFERROR(VLOOKUP(D896,$H$4:$I$70,2,0),"")</f>
        <v>224</v>
      </c>
      <c r="F896" s="9">
        <f>IFERROR(VLOOKUP(C896,$H$4:$I$70,2,0),"")</f>
        <v>633</v>
      </c>
    </row>
    <row r="897" spans="2:6" x14ac:dyDescent="0.2">
      <c r="B897" s="13">
        <f t="shared" si="41"/>
        <v>894</v>
      </c>
      <c r="C897" s="8">
        <f t="shared" si="42"/>
        <v>9</v>
      </c>
      <c r="D897" s="8">
        <f t="shared" si="43"/>
        <v>52</v>
      </c>
      <c r="E897" s="8">
        <f>IFERROR(VLOOKUP(D897,$H$4:$I$70,2,0),"")</f>
        <v>224</v>
      </c>
      <c r="F897" s="9">
        <f>IFERROR(VLOOKUP(C897,$H$4:$I$70,2,0),"")</f>
        <v>632</v>
      </c>
    </row>
    <row r="898" spans="2:6" x14ac:dyDescent="0.2">
      <c r="B898" s="13">
        <f t="shared" si="41"/>
        <v>895</v>
      </c>
      <c r="C898" s="8">
        <f t="shared" si="42"/>
        <v>10</v>
      </c>
      <c r="D898" s="8">
        <f t="shared" si="43"/>
        <v>52</v>
      </c>
      <c r="E898" s="8">
        <f>IFERROR(VLOOKUP(D898,$H$4:$I$70,2,0),"")</f>
        <v>224</v>
      </c>
      <c r="F898" s="9">
        <f>IFERROR(VLOOKUP(C898,$H$4:$I$70,2,0),"")</f>
        <v>625</v>
      </c>
    </row>
    <row r="899" spans="2:6" x14ac:dyDescent="0.2">
      <c r="B899" s="13">
        <f t="shared" si="41"/>
        <v>896</v>
      </c>
      <c r="C899" s="8">
        <f t="shared" si="42"/>
        <v>11</v>
      </c>
      <c r="D899" s="8">
        <f t="shared" si="43"/>
        <v>52</v>
      </c>
      <c r="E899" s="8">
        <f>IFERROR(VLOOKUP(D899,$H$4:$I$70,2,0),"")</f>
        <v>224</v>
      </c>
      <c r="F899" s="9">
        <f>IFERROR(VLOOKUP(C899,$H$4:$I$70,2,0),"")</f>
        <v>619</v>
      </c>
    </row>
    <row r="900" spans="2:6" x14ac:dyDescent="0.2">
      <c r="B900" s="13">
        <f t="shared" si="41"/>
        <v>897</v>
      </c>
      <c r="C900" s="8">
        <f t="shared" si="42"/>
        <v>12</v>
      </c>
      <c r="D900" s="8">
        <f t="shared" si="43"/>
        <v>52</v>
      </c>
      <c r="E900" s="8">
        <f>IFERROR(VLOOKUP(D900,$H$4:$I$70,2,0),"")</f>
        <v>224</v>
      </c>
      <c r="F900" s="9">
        <f>IFERROR(VLOOKUP(C900,$H$4:$I$70,2,0),"")</f>
        <v>610</v>
      </c>
    </row>
    <row r="901" spans="2:6" x14ac:dyDescent="0.2">
      <c r="B901" s="13">
        <f t="shared" ref="B901:B964" si="44">ROW()-3</f>
        <v>898</v>
      </c>
      <c r="C901" s="8">
        <f t="shared" si="42"/>
        <v>13</v>
      </c>
      <c r="D901" s="8">
        <f t="shared" si="43"/>
        <v>52</v>
      </c>
      <c r="E901" s="8">
        <f>IFERROR(VLOOKUP(D901,$H$4:$I$70,2,0),"")</f>
        <v>224</v>
      </c>
      <c r="F901" s="9">
        <f>IFERROR(VLOOKUP(C901,$H$4:$I$70,2,0),"")</f>
        <v>599</v>
      </c>
    </row>
    <row r="902" spans="2:6" x14ac:dyDescent="0.2">
      <c r="B902" s="13">
        <f t="shared" si="44"/>
        <v>899</v>
      </c>
      <c r="C902" s="8">
        <f t="shared" ref="C902:C965" si="45">IF((D901-C901)=1,1,C901+1)</f>
        <v>14</v>
      </c>
      <c r="D902" s="8">
        <f t="shared" ref="D902:D965" si="46">IF((D901-C901)=1,D901-1,D901)</f>
        <v>52</v>
      </c>
      <c r="E902" s="8">
        <f>IFERROR(VLOOKUP(D902,$H$4:$I$70,2,0),"")</f>
        <v>224</v>
      </c>
      <c r="F902" s="9">
        <f>IFERROR(VLOOKUP(C902,$H$4:$I$70,2,0),"")</f>
        <v>559</v>
      </c>
    </row>
    <row r="903" spans="2:6" x14ac:dyDescent="0.2">
      <c r="B903" s="13">
        <f t="shared" si="44"/>
        <v>900</v>
      </c>
      <c r="C903" s="8">
        <f t="shared" si="45"/>
        <v>15</v>
      </c>
      <c r="D903" s="8">
        <f t="shared" si="46"/>
        <v>52</v>
      </c>
      <c r="E903" s="8">
        <f>IFERROR(VLOOKUP(D903,$H$4:$I$70,2,0),"")</f>
        <v>224</v>
      </c>
      <c r="F903" s="9">
        <f>IFERROR(VLOOKUP(C903,$H$4:$I$70,2,0),"")</f>
        <v>556</v>
      </c>
    </row>
    <row r="904" spans="2:6" x14ac:dyDescent="0.2">
      <c r="B904" s="13">
        <f t="shared" si="44"/>
        <v>901</v>
      </c>
      <c r="C904" s="8">
        <f t="shared" si="45"/>
        <v>16</v>
      </c>
      <c r="D904" s="8">
        <f t="shared" si="46"/>
        <v>52</v>
      </c>
      <c r="E904" s="8">
        <f>IFERROR(VLOOKUP(D904,$H$4:$I$70,2,0),"")</f>
        <v>224</v>
      </c>
      <c r="F904" s="9">
        <f>IFERROR(VLOOKUP(C904,$H$4:$I$70,2,0),"")</f>
        <v>540</v>
      </c>
    </row>
    <row r="905" spans="2:6" x14ac:dyDescent="0.2">
      <c r="B905" s="13">
        <f t="shared" si="44"/>
        <v>902</v>
      </c>
      <c r="C905" s="8">
        <f t="shared" si="45"/>
        <v>17</v>
      </c>
      <c r="D905" s="8">
        <f t="shared" si="46"/>
        <v>52</v>
      </c>
      <c r="E905" s="8">
        <f>IFERROR(VLOOKUP(D905,$H$4:$I$70,2,0),"")</f>
        <v>224</v>
      </c>
      <c r="F905" s="9">
        <f>IFERROR(VLOOKUP(C905,$H$4:$I$70,2,0),"")</f>
        <v>536</v>
      </c>
    </row>
    <row r="906" spans="2:6" x14ac:dyDescent="0.2">
      <c r="B906" s="13">
        <f t="shared" si="44"/>
        <v>903</v>
      </c>
      <c r="C906" s="8">
        <f t="shared" si="45"/>
        <v>18</v>
      </c>
      <c r="D906" s="8">
        <f t="shared" si="46"/>
        <v>52</v>
      </c>
      <c r="E906" s="8">
        <f>IFERROR(VLOOKUP(D906,$H$4:$I$70,2,0),"")</f>
        <v>224</v>
      </c>
      <c r="F906" s="9">
        <f>IFERROR(VLOOKUP(C906,$H$4:$I$70,2,0),"")</f>
        <v>527</v>
      </c>
    </row>
    <row r="907" spans="2:6" x14ac:dyDescent="0.2">
      <c r="B907" s="13">
        <f t="shared" si="44"/>
        <v>904</v>
      </c>
      <c r="C907" s="8">
        <f t="shared" si="45"/>
        <v>19</v>
      </c>
      <c r="D907" s="8">
        <f t="shared" si="46"/>
        <v>52</v>
      </c>
      <c r="E907" s="8">
        <f>IFERROR(VLOOKUP(D907,$H$4:$I$70,2,0),"")</f>
        <v>224</v>
      </c>
      <c r="F907" s="9">
        <f>IFERROR(VLOOKUP(C907,$H$4:$I$70,2,0),"")</f>
        <v>478</v>
      </c>
    </row>
    <row r="908" spans="2:6" x14ac:dyDescent="0.2">
      <c r="B908" s="13">
        <f t="shared" si="44"/>
        <v>905</v>
      </c>
      <c r="C908" s="8">
        <f t="shared" si="45"/>
        <v>20</v>
      </c>
      <c r="D908" s="8">
        <f t="shared" si="46"/>
        <v>52</v>
      </c>
      <c r="E908" s="8">
        <f>IFERROR(VLOOKUP(D908,$H$4:$I$70,2,0),"")</f>
        <v>224</v>
      </c>
      <c r="F908" s="9">
        <f>IFERROR(VLOOKUP(C908,$H$4:$I$70,2,0),"")</f>
        <v>474</v>
      </c>
    </row>
    <row r="909" spans="2:6" x14ac:dyDescent="0.2">
      <c r="B909" s="13">
        <f t="shared" si="44"/>
        <v>906</v>
      </c>
      <c r="C909" s="8">
        <f t="shared" si="45"/>
        <v>21</v>
      </c>
      <c r="D909" s="8">
        <f t="shared" si="46"/>
        <v>52</v>
      </c>
      <c r="E909" s="8">
        <f>IFERROR(VLOOKUP(D909,$H$4:$I$70,2,0),"")</f>
        <v>224</v>
      </c>
      <c r="F909" s="9">
        <f>IFERROR(VLOOKUP(C909,$H$4:$I$70,2,0),"")</f>
        <v>468</v>
      </c>
    </row>
    <row r="910" spans="2:6" x14ac:dyDescent="0.2">
      <c r="B910" s="13">
        <f t="shared" si="44"/>
        <v>907</v>
      </c>
      <c r="C910" s="8">
        <f t="shared" si="45"/>
        <v>22</v>
      </c>
      <c r="D910" s="8">
        <f t="shared" si="46"/>
        <v>52</v>
      </c>
      <c r="E910" s="8">
        <f>IFERROR(VLOOKUP(D910,$H$4:$I$70,2,0),"")</f>
        <v>224</v>
      </c>
      <c r="F910" s="9">
        <f>IFERROR(VLOOKUP(C910,$H$4:$I$70,2,0),"")</f>
        <v>457</v>
      </c>
    </row>
    <row r="911" spans="2:6" x14ac:dyDescent="0.2">
      <c r="B911" s="13">
        <f t="shared" si="44"/>
        <v>908</v>
      </c>
      <c r="C911" s="8">
        <f t="shared" si="45"/>
        <v>23</v>
      </c>
      <c r="D911" s="8">
        <f t="shared" si="46"/>
        <v>52</v>
      </c>
      <c r="E911" s="8">
        <f>IFERROR(VLOOKUP(D911,$H$4:$I$70,2,0),"")</f>
        <v>224</v>
      </c>
      <c r="F911" s="9">
        <f>IFERROR(VLOOKUP(C911,$H$4:$I$70,2,0),"")</f>
        <v>452</v>
      </c>
    </row>
    <row r="912" spans="2:6" x14ac:dyDescent="0.2">
      <c r="B912" s="13">
        <f t="shared" si="44"/>
        <v>909</v>
      </c>
      <c r="C912" s="8">
        <f t="shared" si="45"/>
        <v>24</v>
      </c>
      <c r="D912" s="8">
        <f t="shared" si="46"/>
        <v>52</v>
      </c>
      <c r="E912" s="8">
        <f>IFERROR(VLOOKUP(D912,$H$4:$I$70,2,0),"")</f>
        <v>224</v>
      </c>
      <c r="F912" s="9">
        <f>IFERROR(VLOOKUP(C912,$H$4:$I$70,2,0),"")</f>
        <v>442</v>
      </c>
    </row>
    <row r="913" spans="2:6" x14ac:dyDescent="0.2">
      <c r="B913" s="13">
        <f t="shared" si="44"/>
        <v>910</v>
      </c>
      <c r="C913" s="8">
        <f t="shared" si="45"/>
        <v>25</v>
      </c>
      <c r="D913" s="8">
        <f t="shared" si="46"/>
        <v>52</v>
      </c>
      <c r="E913" s="8">
        <f>IFERROR(VLOOKUP(D913,$H$4:$I$70,2,0),"")</f>
        <v>224</v>
      </c>
      <c r="F913" s="9">
        <f>IFERROR(VLOOKUP(C913,$H$4:$I$70,2,0),"")</f>
        <v>420</v>
      </c>
    </row>
    <row r="914" spans="2:6" x14ac:dyDescent="0.2">
      <c r="B914" s="13">
        <f t="shared" si="44"/>
        <v>911</v>
      </c>
      <c r="C914" s="8">
        <f t="shared" si="45"/>
        <v>26</v>
      </c>
      <c r="D914" s="8">
        <f t="shared" si="46"/>
        <v>52</v>
      </c>
      <c r="E914" s="8">
        <f>IFERROR(VLOOKUP(D914,$H$4:$I$70,2,0),"")</f>
        <v>224</v>
      </c>
      <c r="F914" s="9">
        <f>IFERROR(VLOOKUP(C914,$H$4:$I$70,2,0),"")</f>
        <v>410</v>
      </c>
    </row>
    <row r="915" spans="2:6" x14ac:dyDescent="0.2">
      <c r="B915" s="13">
        <f t="shared" si="44"/>
        <v>912</v>
      </c>
      <c r="C915" s="8">
        <f t="shared" si="45"/>
        <v>27</v>
      </c>
      <c r="D915" s="8">
        <f t="shared" si="46"/>
        <v>52</v>
      </c>
      <c r="E915" s="8">
        <f>IFERROR(VLOOKUP(D915,$H$4:$I$70,2,0),"")</f>
        <v>224</v>
      </c>
      <c r="F915" s="9">
        <f>IFERROR(VLOOKUP(C915,$H$4:$I$70,2,0),"")</f>
        <v>409</v>
      </c>
    </row>
    <row r="916" spans="2:6" x14ac:dyDescent="0.2">
      <c r="B916" s="13">
        <f t="shared" si="44"/>
        <v>913</v>
      </c>
      <c r="C916" s="8">
        <f t="shared" si="45"/>
        <v>28</v>
      </c>
      <c r="D916" s="8">
        <f t="shared" si="46"/>
        <v>52</v>
      </c>
      <c r="E916" s="8">
        <f>IFERROR(VLOOKUP(D916,$H$4:$I$70,2,0),"")</f>
        <v>224</v>
      </c>
      <c r="F916" s="9">
        <f>IFERROR(VLOOKUP(C916,$H$4:$I$70,2,0),"")</f>
        <v>408</v>
      </c>
    </row>
    <row r="917" spans="2:6" x14ac:dyDescent="0.2">
      <c r="B917" s="13">
        <f t="shared" si="44"/>
        <v>914</v>
      </c>
      <c r="C917" s="8">
        <f t="shared" si="45"/>
        <v>29</v>
      </c>
      <c r="D917" s="8">
        <f t="shared" si="46"/>
        <v>52</v>
      </c>
      <c r="E917" s="8">
        <f>IFERROR(VLOOKUP(D917,$H$4:$I$70,2,0),"")</f>
        <v>224</v>
      </c>
      <c r="F917" s="9">
        <f>IFERROR(VLOOKUP(C917,$H$4:$I$70,2,0),"")</f>
        <v>404</v>
      </c>
    </row>
    <row r="918" spans="2:6" x14ac:dyDescent="0.2">
      <c r="B918" s="13">
        <f t="shared" si="44"/>
        <v>915</v>
      </c>
      <c r="C918" s="8">
        <f t="shared" si="45"/>
        <v>30</v>
      </c>
      <c r="D918" s="8">
        <f t="shared" si="46"/>
        <v>52</v>
      </c>
      <c r="E918" s="8">
        <f>IFERROR(VLOOKUP(D918,$H$4:$I$70,2,0),"")</f>
        <v>224</v>
      </c>
      <c r="F918" s="9">
        <f>IFERROR(VLOOKUP(C918,$H$4:$I$70,2,0),"")</f>
        <v>399</v>
      </c>
    </row>
    <row r="919" spans="2:6" x14ac:dyDescent="0.2">
      <c r="B919" s="13">
        <f t="shared" si="44"/>
        <v>916</v>
      </c>
      <c r="C919" s="8">
        <f t="shared" si="45"/>
        <v>31</v>
      </c>
      <c r="D919" s="8">
        <f t="shared" si="46"/>
        <v>52</v>
      </c>
      <c r="E919" s="8">
        <f>IFERROR(VLOOKUP(D919,$H$4:$I$70,2,0),"")</f>
        <v>224</v>
      </c>
      <c r="F919" s="9">
        <f>IFERROR(VLOOKUP(C919,$H$4:$I$70,2,0),"")</f>
        <v>396</v>
      </c>
    </row>
    <row r="920" spans="2:6" x14ac:dyDescent="0.2">
      <c r="B920" s="13">
        <f t="shared" si="44"/>
        <v>917</v>
      </c>
      <c r="C920" s="8">
        <f t="shared" si="45"/>
        <v>32</v>
      </c>
      <c r="D920" s="8">
        <f t="shared" si="46"/>
        <v>52</v>
      </c>
      <c r="E920" s="8">
        <f>IFERROR(VLOOKUP(D920,$H$4:$I$70,2,0),"")</f>
        <v>224</v>
      </c>
      <c r="F920" s="9">
        <f>IFERROR(VLOOKUP(C920,$H$4:$I$70,2,0),"")</f>
        <v>384</v>
      </c>
    </row>
    <row r="921" spans="2:6" x14ac:dyDescent="0.2">
      <c r="B921" s="13">
        <f t="shared" si="44"/>
        <v>918</v>
      </c>
      <c r="C921" s="8">
        <f t="shared" si="45"/>
        <v>33</v>
      </c>
      <c r="D921" s="8">
        <f t="shared" si="46"/>
        <v>52</v>
      </c>
      <c r="E921" s="8">
        <f>IFERROR(VLOOKUP(D921,$H$4:$I$70,2,0),"")</f>
        <v>224</v>
      </c>
      <c r="F921" s="9">
        <f>IFERROR(VLOOKUP(C921,$H$4:$I$70,2,0),"")</f>
        <v>381</v>
      </c>
    </row>
    <row r="922" spans="2:6" x14ac:dyDescent="0.2">
      <c r="B922" s="13">
        <f t="shared" si="44"/>
        <v>919</v>
      </c>
      <c r="C922" s="8">
        <f t="shared" si="45"/>
        <v>34</v>
      </c>
      <c r="D922" s="8">
        <f t="shared" si="46"/>
        <v>52</v>
      </c>
      <c r="E922" s="8">
        <f>IFERROR(VLOOKUP(D922,$H$4:$I$70,2,0),"")</f>
        <v>224</v>
      </c>
      <c r="F922" s="9">
        <f>IFERROR(VLOOKUP(C922,$H$4:$I$70,2,0),"")</f>
        <v>376</v>
      </c>
    </row>
    <row r="923" spans="2:6" x14ac:dyDescent="0.2">
      <c r="B923" s="13">
        <f t="shared" si="44"/>
        <v>920</v>
      </c>
      <c r="C923" s="8">
        <f t="shared" si="45"/>
        <v>35</v>
      </c>
      <c r="D923" s="8">
        <f t="shared" si="46"/>
        <v>52</v>
      </c>
      <c r="E923" s="8">
        <f>IFERROR(VLOOKUP(D923,$H$4:$I$70,2,0),"")</f>
        <v>224</v>
      </c>
      <c r="F923" s="9">
        <f>IFERROR(VLOOKUP(C923,$H$4:$I$70,2,0),"")</f>
        <v>370</v>
      </c>
    </row>
    <row r="924" spans="2:6" x14ac:dyDescent="0.2">
      <c r="B924" s="13">
        <f t="shared" si="44"/>
        <v>921</v>
      </c>
      <c r="C924" s="8">
        <f t="shared" si="45"/>
        <v>36</v>
      </c>
      <c r="D924" s="8">
        <f t="shared" si="46"/>
        <v>52</v>
      </c>
      <c r="E924" s="8">
        <f>IFERROR(VLOOKUP(D924,$H$4:$I$70,2,0),"")</f>
        <v>224</v>
      </c>
      <c r="F924" s="9">
        <f>IFERROR(VLOOKUP(C924,$H$4:$I$70,2,0),"")</f>
        <v>362</v>
      </c>
    </row>
    <row r="925" spans="2:6" x14ac:dyDescent="0.2">
      <c r="B925" s="13">
        <f t="shared" si="44"/>
        <v>922</v>
      </c>
      <c r="C925" s="8">
        <f t="shared" si="45"/>
        <v>37</v>
      </c>
      <c r="D925" s="8">
        <f t="shared" si="46"/>
        <v>52</v>
      </c>
      <c r="E925" s="8">
        <f>IFERROR(VLOOKUP(D925,$H$4:$I$70,2,0),"")</f>
        <v>224</v>
      </c>
      <c r="F925" s="9">
        <f>IFERROR(VLOOKUP(C925,$H$4:$I$70,2,0),"")</f>
        <v>357</v>
      </c>
    </row>
    <row r="926" spans="2:6" x14ac:dyDescent="0.2">
      <c r="B926" s="13">
        <f t="shared" si="44"/>
        <v>923</v>
      </c>
      <c r="C926" s="8">
        <f t="shared" si="45"/>
        <v>38</v>
      </c>
      <c r="D926" s="8">
        <f t="shared" si="46"/>
        <v>52</v>
      </c>
      <c r="E926" s="8">
        <f>IFERROR(VLOOKUP(D926,$H$4:$I$70,2,0),"")</f>
        <v>224</v>
      </c>
      <c r="F926" s="9">
        <f>IFERROR(VLOOKUP(C926,$H$4:$I$70,2,0),"")</f>
        <v>351</v>
      </c>
    </row>
    <row r="927" spans="2:6" x14ac:dyDescent="0.2">
      <c r="B927" s="13">
        <f t="shared" si="44"/>
        <v>924</v>
      </c>
      <c r="C927" s="8">
        <f t="shared" si="45"/>
        <v>39</v>
      </c>
      <c r="D927" s="8">
        <f t="shared" si="46"/>
        <v>52</v>
      </c>
      <c r="E927" s="8">
        <f>IFERROR(VLOOKUP(D927,$H$4:$I$70,2,0),"")</f>
        <v>224</v>
      </c>
      <c r="F927" s="9">
        <f>IFERROR(VLOOKUP(C927,$H$4:$I$70,2,0),"")</f>
        <v>339</v>
      </c>
    </row>
    <row r="928" spans="2:6" x14ac:dyDescent="0.2">
      <c r="B928" s="13">
        <f t="shared" si="44"/>
        <v>925</v>
      </c>
      <c r="C928" s="8">
        <f t="shared" si="45"/>
        <v>40</v>
      </c>
      <c r="D928" s="8">
        <f t="shared" si="46"/>
        <v>52</v>
      </c>
      <c r="E928" s="8">
        <f>IFERROR(VLOOKUP(D928,$H$4:$I$70,2,0),"")</f>
        <v>224</v>
      </c>
      <c r="F928" s="9">
        <f>IFERROR(VLOOKUP(C928,$H$4:$I$70,2,0),"")</f>
        <v>304</v>
      </c>
    </row>
    <row r="929" spans="2:6" x14ac:dyDescent="0.2">
      <c r="B929" s="13">
        <f t="shared" si="44"/>
        <v>926</v>
      </c>
      <c r="C929" s="8">
        <f t="shared" si="45"/>
        <v>41</v>
      </c>
      <c r="D929" s="8">
        <f t="shared" si="46"/>
        <v>52</v>
      </c>
      <c r="E929" s="8">
        <f>IFERROR(VLOOKUP(D929,$H$4:$I$70,2,0),"")</f>
        <v>224</v>
      </c>
      <c r="F929" s="9">
        <f>IFERROR(VLOOKUP(C929,$H$4:$I$70,2,0),"")</f>
        <v>301</v>
      </c>
    </row>
    <row r="930" spans="2:6" x14ac:dyDescent="0.2">
      <c r="B930" s="13">
        <f t="shared" si="44"/>
        <v>927</v>
      </c>
      <c r="C930" s="8">
        <f t="shared" si="45"/>
        <v>42</v>
      </c>
      <c r="D930" s="8">
        <f t="shared" si="46"/>
        <v>52</v>
      </c>
      <c r="E930" s="8">
        <f>IFERROR(VLOOKUP(D930,$H$4:$I$70,2,0),"")</f>
        <v>224</v>
      </c>
      <c r="F930" s="9">
        <f>IFERROR(VLOOKUP(C930,$H$4:$I$70,2,0),"")</f>
        <v>300</v>
      </c>
    </row>
    <row r="931" spans="2:6" x14ac:dyDescent="0.2">
      <c r="B931" s="13">
        <f t="shared" si="44"/>
        <v>928</v>
      </c>
      <c r="C931" s="8">
        <f t="shared" si="45"/>
        <v>43</v>
      </c>
      <c r="D931" s="8">
        <f t="shared" si="46"/>
        <v>52</v>
      </c>
      <c r="E931" s="8">
        <f>IFERROR(VLOOKUP(D931,$H$4:$I$70,2,0),"")</f>
        <v>224</v>
      </c>
      <c r="F931" s="9">
        <f>IFERROR(VLOOKUP(C931,$H$4:$I$70,2,0),"")</f>
        <v>288</v>
      </c>
    </row>
    <row r="932" spans="2:6" x14ac:dyDescent="0.2">
      <c r="B932" s="13">
        <f t="shared" si="44"/>
        <v>929</v>
      </c>
      <c r="C932" s="8">
        <f t="shared" si="45"/>
        <v>44</v>
      </c>
      <c r="D932" s="8">
        <f t="shared" si="46"/>
        <v>52</v>
      </c>
      <c r="E932" s="8">
        <f>IFERROR(VLOOKUP(D932,$H$4:$I$70,2,0),"")</f>
        <v>224</v>
      </c>
      <c r="F932" s="9">
        <f>IFERROR(VLOOKUP(C932,$H$4:$I$70,2,0),"")</f>
        <v>273</v>
      </c>
    </row>
    <row r="933" spans="2:6" x14ac:dyDescent="0.2">
      <c r="B933" s="13">
        <f t="shared" si="44"/>
        <v>930</v>
      </c>
      <c r="C933" s="8">
        <f t="shared" si="45"/>
        <v>45</v>
      </c>
      <c r="D933" s="8">
        <f t="shared" si="46"/>
        <v>52</v>
      </c>
      <c r="E933" s="8">
        <f>IFERROR(VLOOKUP(D933,$H$4:$I$70,2,0),"")</f>
        <v>224</v>
      </c>
      <c r="F933" s="9">
        <f>IFERROR(VLOOKUP(C933,$H$4:$I$70,2,0),"")</f>
        <v>268</v>
      </c>
    </row>
    <row r="934" spans="2:6" x14ac:dyDescent="0.2">
      <c r="B934" s="13">
        <f t="shared" si="44"/>
        <v>931</v>
      </c>
      <c r="C934" s="8">
        <f t="shared" si="45"/>
        <v>46</v>
      </c>
      <c r="D934" s="8">
        <f t="shared" si="46"/>
        <v>52</v>
      </c>
      <c r="E934" s="8">
        <f>IFERROR(VLOOKUP(D934,$H$4:$I$70,2,0),"")</f>
        <v>224</v>
      </c>
      <c r="F934" s="9">
        <f>IFERROR(VLOOKUP(C934,$H$4:$I$70,2,0),"")</f>
        <v>262</v>
      </c>
    </row>
    <row r="935" spans="2:6" x14ac:dyDescent="0.2">
      <c r="B935" s="13">
        <f t="shared" si="44"/>
        <v>932</v>
      </c>
      <c r="C935" s="8">
        <f t="shared" si="45"/>
        <v>47</v>
      </c>
      <c r="D935" s="8">
        <f t="shared" si="46"/>
        <v>52</v>
      </c>
      <c r="E935" s="8">
        <f>IFERROR(VLOOKUP(D935,$H$4:$I$70,2,0),"")</f>
        <v>224</v>
      </c>
      <c r="F935" s="9">
        <f>IFERROR(VLOOKUP(C935,$H$4:$I$70,2,0),"")</f>
        <v>248</v>
      </c>
    </row>
    <row r="936" spans="2:6" x14ac:dyDescent="0.2">
      <c r="B936" s="13">
        <f t="shared" si="44"/>
        <v>933</v>
      </c>
      <c r="C936" s="8">
        <f t="shared" si="45"/>
        <v>48</v>
      </c>
      <c r="D936" s="8">
        <f t="shared" si="46"/>
        <v>52</v>
      </c>
      <c r="E936" s="8">
        <f>IFERROR(VLOOKUP(D936,$H$4:$I$70,2,0),"")</f>
        <v>224</v>
      </c>
      <c r="F936" s="9">
        <f>IFERROR(VLOOKUP(C936,$H$4:$I$70,2,0),"")</f>
        <v>246</v>
      </c>
    </row>
    <row r="937" spans="2:6" x14ac:dyDescent="0.2">
      <c r="B937" s="13">
        <f t="shared" si="44"/>
        <v>934</v>
      </c>
      <c r="C937" s="8">
        <f t="shared" si="45"/>
        <v>49</v>
      </c>
      <c r="D937" s="8">
        <f t="shared" si="46"/>
        <v>52</v>
      </c>
      <c r="E937" s="8">
        <f>IFERROR(VLOOKUP(D937,$H$4:$I$70,2,0),"")</f>
        <v>224</v>
      </c>
      <c r="F937" s="9">
        <f>IFERROR(VLOOKUP(C937,$H$4:$I$70,2,0),"")</f>
        <v>236</v>
      </c>
    </row>
    <row r="938" spans="2:6" x14ac:dyDescent="0.2">
      <c r="B938" s="13">
        <f t="shared" si="44"/>
        <v>935</v>
      </c>
      <c r="C938" s="8">
        <f t="shared" si="45"/>
        <v>50</v>
      </c>
      <c r="D938" s="8">
        <f t="shared" si="46"/>
        <v>52</v>
      </c>
      <c r="E938" s="8">
        <f>IFERROR(VLOOKUP(D938,$H$4:$I$70,2,0),"")</f>
        <v>224</v>
      </c>
      <c r="F938" s="9">
        <f>IFERROR(VLOOKUP(C938,$H$4:$I$70,2,0),"")</f>
        <v>231</v>
      </c>
    </row>
    <row r="939" spans="2:6" x14ac:dyDescent="0.2">
      <c r="B939" s="13">
        <f t="shared" si="44"/>
        <v>936</v>
      </c>
      <c r="C939" s="8">
        <f t="shared" si="45"/>
        <v>51</v>
      </c>
      <c r="D939" s="8">
        <f t="shared" si="46"/>
        <v>52</v>
      </c>
      <c r="E939" s="8">
        <f>IFERROR(VLOOKUP(D939,$H$4:$I$70,2,0),"")</f>
        <v>224</v>
      </c>
      <c r="F939" s="9">
        <f>IFERROR(VLOOKUP(C939,$H$4:$I$70,2,0),"")</f>
        <v>227</v>
      </c>
    </row>
    <row r="940" spans="2:6" x14ac:dyDescent="0.2">
      <c r="B940" s="13">
        <f t="shared" si="44"/>
        <v>937</v>
      </c>
      <c r="C940" s="8">
        <f t="shared" si="45"/>
        <v>1</v>
      </c>
      <c r="D940" s="8">
        <f t="shared" si="46"/>
        <v>51</v>
      </c>
      <c r="E940" s="8">
        <f>IFERROR(VLOOKUP(D940,$H$4:$I$70,2,0),"")</f>
        <v>227</v>
      </c>
      <c r="F940" s="9">
        <f>IFERROR(VLOOKUP(C940,$H$4:$I$70,2,0),"")</f>
        <v>1344</v>
      </c>
    </row>
    <row r="941" spans="2:6" x14ac:dyDescent="0.2">
      <c r="B941" s="13">
        <f t="shared" si="44"/>
        <v>938</v>
      </c>
      <c r="C941" s="8">
        <f t="shared" si="45"/>
        <v>2</v>
      </c>
      <c r="D941" s="8">
        <f t="shared" si="46"/>
        <v>51</v>
      </c>
      <c r="E941" s="8">
        <f>IFERROR(VLOOKUP(D941,$H$4:$I$70,2,0),"")</f>
        <v>227</v>
      </c>
      <c r="F941" s="9">
        <f>IFERROR(VLOOKUP(C941,$H$4:$I$70,2,0),"")</f>
        <v>1048</v>
      </c>
    </row>
    <row r="942" spans="2:6" x14ac:dyDescent="0.2">
      <c r="B942" s="13">
        <f t="shared" si="44"/>
        <v>939</v>
      </c>
      <c r="C942" s="8">
        <f t="shared" si="45"/>
        <v>3</v>
      </c>
      <c r="D942" s="8">
        <f t="shared" si="46"/>
        <v>51</v>
      </c>
      <c r="E942" s="8">
        <f>IFERROR(VLOOKUP(D942,$H$4:$I$70,2,0),"")</f>
        <v>227</v>
      </c>
      <c r="F942" s="9">
        <f>IFERROR(VLOOKUP(C942,$H$4:$I$70,2,0),"")</f>
        <v>1025</v>
      </c>
    </row>
    <row r="943" spans="2:6" x14ac:dyDescent="0.2">
      <c r="B943" s="13">
        <f t="shared" si="44"/>
        <v>940</v>
      </c>
      <c r="C943" s="8">
        <f t="shared" si="45"/>
        <v>4</v>
      </c>
      <c r="D943" s="8">
        <f t="shared" si="46"/>
        <v>51</v>
      </c>
      <c r="E943" s="8">
        <f>IFERROR(VLOOKUP(D943,$H$4:$I$70,2,0),"")</f>
        <v>227</v>
      </c>
      <c r="F943" s="9">
        <f>IFERROR(VLOOKUP(C943,$H$4:$I$70,2,0),"")</f>
        <v>805</v>
      </c>
    </row>
    <row r="944" spans="2:6" x14ac:dyDescent="0.2">
      <c r="B944" s="13">
        <f t="shared" si="44"/>
        <v>941</v>
      </c>
      <c r="C944" s="8">
        <f t="shared" si="45"/>
        <v>5</v>
      </c>
      <c r="D944" s="8">
        <f t="shared" si="46"/>
        <v>51</v>
      </c>
      <c r="E944" s="8">
        <f>IFERROR(VLOOKUP(D944,$H$4:$I$70,2,0),"")</f>
        <v>227</v>
      </c>
      <c r="F944" s="9">
        <f>IFERROR(VLOOKUP(C944,$H$4:$I$70,2,0),"")</f>
        <v>666</v>
      </c>
    </row>
    <row r="945" spans="2:6" x14ac:dyDescent="0.2">
      <c r="B945" s="13">
        <f t="shared" si="44"/>
        <v>942</v>
      </c>
      <c r="C945" s="8">
        <f t="shared" si="45"/>
        <v>6</v>
      </c>
      <c r="D945" s="8">
        <f t="shared" si="46"/>
        <v>51</v>
      </c>
      <c r="E945" s="8">
        <f>IFERROR(VLOOKUP(D945,$H$4:$I$70,2,0),"")</f>
        <v>227</v>
      </c>
      <c r="F945" s="9">
        <f>IFERROR(VLOOKUP(C945,$H$4:$I$70,2,0),"")</f>
        <v>655</v>
      </c>
    </row>
    <row r="946" spans="2:6" x14ac:dyDescent="0.2">
      <c r="B946" s="13">
        <f t="shared" si="44"/>
        <v>943</v>
      </c>
      <c r="C946" s="8">
        <f t="shared" si="45"/>
        <v>7</v>
      </c>
      <c r="D946" s="8">
        <f t="shared" si="46"/>
        <v>51</v>
      </c>
      <c r="E946" s="8">
        <f>IFERROR(VLOOKUP(D946,$H$4:$I$70,2,0),"")</f>
        <v>227</v>
      </c>
      <c r="F946" s="9">
        <f>IFERROR(VLOOKUP(C946,$H$4:$I$70,2,0),"")</f>
        <v>652</v>
      </c>
    </row>
    <row r="947" spans="2:6" x14ac:dyDescent="0.2">
      <c r="B947" s="13">
        <f t="shared" si="44"/>
        <v>944</v>
      </c>
      <c r="C947" s="8">
        <f t="shared" si="45"/>
        <v>8</v>
      </c>
      <c r="D947" s="8">
        <f t="shared" si="46"/>
        <v>51</v>
      </c>
      <c r="E947" s="8">
        <f>IFERROR(VLOOKUP(D947,$H$4:$I$70,2,0),"")</f>
        <v>227</v>
      </c>
      <c r="F947" s="9">
        <f>IFERROR(VLOOKUP(C947,$H$4:$I$70,2,0),"")</f>
        <v>633</v>
      </c>
    </row>
    <row r="948" spans="2:6" x14ac:dyDescent="0.2">
      <c r="B948" s="13">
        <f t="shared" si="44"/>
        <v>945</v>
      </c>
      <c r="C948" s="8">
        <f t="shared" si="45"/>
        <v>9</v>
      </c>
      <c r="D948" s="8">
        <f t="shared" si="46"/>
        <v>51</v>
      </c>
      <c r="E948" s="8">
        <f>IFERROR(VLOOKUP(D948,$H$4:$I$70,2,0),"")</f>
        <v>227</v>
      </c>
      <c r="F948" s="9">
        <f>IFERROR(VLOOKUP(C948,$H$4:$I$70,2,0),"")</f>
        <v>632</v>
      </c>
    </row>
    <row r="949" spans="2:6" x14ac:dyDescent="0.2">
      <c r="B949" s="13">
        <f t="shared" si="44"/>
        <v>946</v>
      </c>
      <c r="C949" s="8">
        <f t="shared" si="45"/>
        <v>10</v>
      </c>
      <c r="D949" s="8">
        <f t="shared" si="46"/>
        <v>51</v>
      </c>
      <c r="E949" s="8">
        <f>IFERROR(VLOOKUP(D949,$H$4:$I$70,2,0),"")</f>
        <v>227</v>
      </c>
      <c r="F949" s="9">
        <f>IFERROR(VLOOKUP(C949,$H$4:$I$70,2,0),"")</f>
        <v>625</v>
      </c>
    </row>
    <row r="950" spans="2:6" x14ac:dyDescent="0.2">
      <c r="B950" s="13">
        <f t="shared" si="44"/>
        <v>947</v>
      </c>
      <c r="C950" s="8">
        <f t="shared" si="45"/>
        <v>11</v>
      </c>
      <c r="D950" s="8">
        <f t="shared" si="46"/>
        <v>51</v>
      </c>
      <c r="E950" s="8">
        <f>IFERROR(VLOOKUP(D950,$H$4:$I$70,2,0),"")</f>
        <v>227</v>
      </c>
      <c r="F950" s="9">
        <f>IFERROR(VLOOKUP(C950,$H$4:$I$70,2,0),"")</f>
        <v>619</v>
      </c>
    </row>
    <row r="951" spans="2:6" x14ac:dyDescent="0.2">
      <c r="B951" s="13">
        <f t="shared" si="44"/>
        <v>948</v>
      </c>
      <c r="C951" s="8">
        <f t="shared" si="45"/>
        <v>12</v>
      </c>
      <c r="D951" s="8">
        <f t="shared" si="46"/>
        <v>51</v>
      </c>
      <c r="E951" s="8">
        <f>IFERROR(VLOOKUP(D951,$H$4:$I$70,2,0),"")</f>
        <v>227</v>
      </c>
      <c r="F951" s="9">
        <f>IFERROR(VLOOKUP(C951,$H$4:$I$70,2,0),"")</f>
        <v>610</v>
      </c>
    </row>
    <row r="952" spans="2:6" x14ac:dyDescent="0.2">
      <c r="B952" s="13">
        <f t="shared" si="44"/>
        <v>949</v>
      </c>
      <c r="C952" s="8">
        <f t="shared" si="45"/>
        <v>13</v>
      </c>
      <c r="D952" s="8">
        <f t="shared" si="46"/>
        <v>51</v>
      </c>
      <c r="E952" s="8">
        <f>IFERROR(VLOOKUP(D952,$H$4:$I$70,2,0),"")</f>
        <v>227</v>
      </c>
      <c r="F952" s="9">
        <f>IFERROR(VLOOKUP(C952,$H$4:$I$70,2,0),"")</f>
        <v>599</v>
      </c>
    </row>
    <row r="953" spans="2:6" x14ac:dyDescent="0.2">
      <c r="B953" s="13">
        <f t="shared" si="44"/>
        <v>950</v>
      </c>
      <c r="C953" s="8">
        <f t="shared" si="45"/>
        <v>14</v>
      </c>
      <c r="D953" s="8">
        <f t="shared" si="46"/>
        <v>51</v>
      </c>
      <c r="E953" s="8">
        <f>IFERROR(VLOOKUP(D953,$H$4:$I$70,2,0),"")</f>
        <v>227</v>
      </c>
      <c r="F953" s="9">
        <f>IFERROR(VLOOKUP(C953,$H$4:$I$70,2,0),"")</f>
        <v>559</v>
      </c>
    </row>
    <row r="954" spans="2:6" x14ac:dyDescent="0.2">
      <c r="B954" s="13">
        <f t="shared" si="44"/>
        <v>951</v>
      </c>
      <c r="C954" s="8">
        <f t="shared" si="45"/>
        <v>15</v>
      </c>
      <c r="D954" s="8">
        <f t="shared" si="46"/>
        <v>51</v>
      </c>
      <c r="E954" s="8">
        <f>IFERROR(VLOOKUP(D954,$H$4:$I$70,2,0),"")</f>
        <v>227</v>
      </c>
      <c r="F954" s="9">
        <f>IFERROR(VLOOKUP(C954,$H$4:$I$70,2,0),"")</f>
        <v>556</v>
      </c>
    </row>
    <row r="955" spans="2:6" x14ac:dyDescent="0.2">
      <c r="B955" s="13">
        <f t="shared" si="44"/>
        <v>952</v>
      </c>
      <c r="C955" s="8">
        <f t="shared" si="45"/>
        <v>16</v>
      </c>
      <c r="D955" s="8">
        <f t="shared" si="46"/>
        <v>51</v>
      </c>
      <c r="E955" s="8">
        <f>IFERROR(VLOOKUP(D955,$H$4:$I$70,2,0),"")</f>
        <v>227</v>
      </c>
      <c r="F955" s="9">
        <f>IFERROR(VLOOKUP(C955,$H$4:$I$70,2,0),"")</f>
        <v>540</v>
      </c>
    </row>
    <row r="956" spans="2:6" x14ac:dyDescent="0.2">
      <c r="B956" s="13">
        <f t="shared" si="44"/>
        <v>953</v>
      </c>
      <c r="C956" s="8">
        <f t="shared" si="45"/>
        <v>17</v>
      </c>
      <c r="D956" s="8">
        <f t="shared" si="46"/>
        <v>51</v>
      </c>
      <c r="E956" s="8">
        <f>IFERROR(VLOOKUP(D956,$H$4:$I$70,2,0),"")</f>
        <v>227</v>
      </c>
      <c r="F956" s="9">
        <f>IFERROR(VLOOKUP(C956,$H$4:$I$70,2,0),"")</f>
        <v>536</v>
      </c>
    </row>
    <row r="957" spans="2:6" x14ac:dyDescent="0.2">
      <c r="B957" s="13">
        <f t="shared" si="44"/>
        <v>954</v>
      </c>
      <c r="C957" s="8">
        <f t="shared" si="45"/>
        <v>18</v>
      </c>
      <c r="D957" s="8">
        <f t="shared" si="46"/>
        <v>51</v>
      </c>
      <c r="E957" s="8">
        <f>IFERROR(VLOOKUP(D957,$H$4:$I$70,2,0),"")</f>
        <v>227</v>
      </c>
      <c r="F957" s="9">
        <f>IFERROR(VLOOKUP(C957,$H$4:$I$70,2,0),"")</f>
        <v>527</v>
      </c>
    </row>
    <row r="958" spans="2:6" x14ac:dyDescent="0.2">
      <c r="B958" s="13">
        <f t="shared" si="44"/>
        <v>955</v>
      </c>
      <c r="C958" s="8">
        <f t="shared" si="45"/>
        <v>19</v>
      </c>
      <c r="D958" s="8">
        <f t="shared" si="46"/>
        <v>51</v>
      </c>
      <c r="E958" s="8">
        <f>IFERROR(VLOOKUP(D958,$H$4:$I$70,2,0),"")</f>
        <v>227</v>
      </c>
      <c r="F958" s="9">
        <f>IFERROR(VLOOKUP(C958,$H$4:$I$70,2,0),"")</f>
        <v>478</v>
      </c>
    </row>
    <row r="959" spans="2:6" x14ac:dyDescent="0.2">
      <c r="B959" s="13">
        <f t="shared" si="44"/>
        <v>956</v>
      </c>
      <c r="C959" s="8">
        <f t="shared" si="45"/>
        <v>20</v>
      </c>
      <c r="D959" s="8">
        <f t="shared" si="46"/>
        <v>51</v>
      </c>
      <c r="E959" s="8">
        <f>IFERROR(VLOOKUP(D959,$H$4:$I$70,2,0),"")</f>
        <v>227</v>
      </c>
      <c r="F959" s="9">
        <f>IFERROR(VLOOKUP(C959,$H$4:$I$70,2,0),"")</f>
        <v>474</v>
      </c>
    </row>
    <row r="960" spans="2:6" x14ac:dyDescent="0.2">
      <c r="B960" s="13">
        <f t="shared" si="44"/>
        <v>957</v>
      </c>
      <c r="C960" s="8">
        <f t="shared" si="45"/>
        <v>21</v>
      </c>
      <c r="D960" s="8">
        <f t="shared" si="46"/>
        <v>51</v>
      </c>
      <c r="E960" s="8">
        <f>IFERROR(VLOOKUP(D960,$H$4:$I$70,2,0),"")</f>
        <v>227</v>
      </c>
      <c r="F960" s="9">
        <f>IFERROR(VLOOKUP(C960,$H$4:$I$70,2,0),"")</f>
        <v>468</v>
      </c>
    </row>
    <row r="961" spans="2:6" x14ac:dyDescent="0.2">
      <c r="B961" s="13">
        <f t="shared" si="44"/>
        <v>958</v>
      </c>
      <c r="C961" s="8">
        <f t="shared" si="45"/>
        <v>22</v>
      </c>
      <c r="D961" s="8">
        <f t="shared" si="46"/>
        <v>51</v>
      </c>
      <c r="E961" s="8">
        <f>IFERROR(VLOOKUP(D961,$H$4:$I$70,2,0),"")</f>
        <v>227</v>
      </c>
      <c r="F961" s="9">
        <f>IFERROR(VLOOKUP(C961,$H$4:$I$70,2,0),"")</f>
        <v>457</v>
      </c>
    </row>
    <row r="962" spans="2:6" x14ac:dyDescent="0.2">
      <c r="B962" s="13">
        <f t="shared" si="44"/>
        <v>959</v>
      </c>
      <c r="C962" s="8">
        <f t="shared" si="45"/>
        <v>23</v>
      </c>
      <c r="D962" s="8">
        <f t="shared" si="46"/>
        <v>51</v>
      </c>
      <c r="E962" s="8">
        <f>IFERROR(VLOOKUP(D962,$H$4:$I$70,2,0),"")</f>
        <v>227</v>
      </c>
      <c r="F962" s="9">
        <f>IFERROR(VLOOKUP(C962,$H$4:$I$70,2,0),"")</f>
        <v>452</v>
      </c>
    </row>
    <row r="963" spans="2:6" x14ac:dyDescent="0.2">
      <c r="B963" s="13">
        <f t="shared" si="44"/>
        <v>960</v>
      </c>
      <c r="C963" s="8">
        <f t="shared" si="45"/>
        <v>24</v>
      </c>
      <c r="D963" s="8">
        <f t="shared" si="46"/>
        <v>51</v>
      </c>
      <c r="E963" s="8">
        <f>IFERROR(VLOOKUP(D963,$H$4:$I$70,2,0),"")</f>
        <v>227</v>
      </c>
      <c r="F963" s="9">
        <f>IFERROR(VLOOKUP(C963,$H$4:$I$70,2,0),"")</f>
        <v>442</v>
      </c>
    </row>
    <row r="964" spans="2:6" x14ac:dyDescent="0.2">
      <c r="B964" s="13">
        <f t="shared" si="44"/>
        <v>961</v>
      </c>
      <c r="C964" s="8">
        <f t="shared" si="45"/>
        <v>25</v>
      </c>
      <c r="D964" s="8">
        <f t="shared" si="46"/>
        <v>51</v>
      </c>
      <c r="E964" s="8">
        <f>IFERROR(VLOOKUP(D964,$H$4:$I$70,2,0),"")</f>
        <v>227</v>
      </c>
      <c r="F964" s="9">
        <f>IFERROR(VLOOKUP(C964,$H$4:$I$70,2,0),"")</f>
        <v>420</v>
      </c>
    </row>
    <row r="965" spans="2:6" x14ac:dyDescent="0.2">
      <c r="B965" s="13">
        <f t="shared" ref="B965:B1028" si="47">ROW()-3</f>
        <v>962</v>
      </c>
      <c r="C965" s="8">
        <f t="shared" si="45"/>
        <v>26</v>
      </c>
      <c r="D965" s="8">
        <f t="shared" si="46"/>
        <v>51</v>
      </c>
      <c r="E965" s="8">
        <f>IFERROR(VLOOKUP(D965,$H$4:$I$70,2,0),"")</f>
        <v>227</v>
      </c>
      <c r="F965" s="9">
        <f>IFERROR(VLOOKUP(C965,$H$4:$I$70,2,0),"")</f>
        <v>410</v>
      </c>
    </row>
    <row r="966" spans="2:6" x14ac:dyDescent="0.2">
      <c r="B966" s="13">
        <f t="shared" si="47"/>
        <v>963</v>
      </c>
      <c r="C966" s="8">
        <f t="shared" ref="C966:C1029" si="48">IF((D965-C965)=1,1,C965+1)</f>
        <v>27</v>
      </c>
      <c r="D966" s="8">
        <f t="shared" ref="D966:D1029" si="49">IF((D965-C965)=1,D965-1,D965)</f>
        <v>51</v>
      </c>
      <c r="E966" s="8">
        <f>IFERROR(VLOOKUP(D966,$H$4:$I$70,2,0),"")</f>
        <v>227</v>
      </c>
      <c r="F966" s="9">
        <f>IFERROR(VLOOKUP(C966,$H$4:$I$70,2,0),"")</f>
        <v>409</v>
      </c>
    </row>
    <row r="967" spans="2:6" x14ac:dyDescent="0.2">
      <c r="B967" s="13">
        <f t="shared" si="47"/>
        <v>964</v>
      </c>
      <c r="C967" s="8">
        <f t="shared" si="48"/>
        <v>28</v>
      </c>
      <c r="D967" s="8">
        <f t="shared" si="49"/>
        <v>51</v>
      </c>
      <c r="E967" s="8">
        <f>IFERROR(VLOOKUP(D967,$H$4:$I$70,2,0),"")</f>
        <v>227</v>
      </c>
      <c r="F967" s="9">
        <f>IFERROR(VLOOKUP(C967,$H$4:$I$70,2,0),"")</f>
        <v>408</v>
      </c>
    </row>
    <row r="968" spans="2:6" x14ac:dyDescent="0.2">
      <c r="B968" s="13">
        <f t="shared" si="47"/>
        <v>965</v>
      </c>
      <c r="C968" s="8">
        <f t="shared" si="48"/>
        <v>29</v>
      </c>
      <c r="D968" s="8">
        <f t="shared" si="49"/>
        <v>51</v>
      </c>
      <c r="E968" s="8">
        <f>IFERROR(VLOOKUP(D968,$H$4:$I$70,2,0),"")</f>
        <v>227</v>
      </c>
      <c r="F968" s="9">
        <f>IFERROR(VLOOKUP(C968,$H$4:$I$70,2,0),"")</f>
        <v>404</v>
      </c>
    </row>
    <row r="969" spans="2:6" x14ac:dyDescent="0.2">
      <c r="B969" s="13">
        <f t="shared" si="47"/>
        <v>966</v>
      </c>
      <c r="C969" s="8">
        <f t="shared" si="48"/>
        <v>30</v>
      </c>
      <c r="D969" s="8">
        <f t="shared" si="49"/>
        <v>51</v>
      </c>
      <c r="E969" s="8">
        <f>IFERROR(VLOOKUP(D969,$H$4:$I$70,2,0),"")</f>
        <v>227</v>
      </c>
      <c r="F969" s="9">
        <f>IFERROR(VLOOKUP(C969,$H$4:$I$70,2,0),"")</f>
        <v>399</v>
      </c>
    </row>
    <row r="970" spans="2:6" x14ac:dyDescent="0.2">
      <c r="B970" s="13">
        <f t="shared" si="47"/>
        <v>967</v>
      </c>
      <c r="C970" s="8">
        <f t="shared" si="48"/>
        <v>31</v>
      </c>
      <c r="D970" s="8">
        <f t="shared" si="49"/>
        <v>51</v>
      </c>
      <c r="E970" s="8">
        <f>IFERROR(VLOOKUP(D970,$H$4:$I$70,2,0),"")</f>
        <v>227</v>
      </c>
      <c r="F970" s="9">
        <f>IFERROR(VLOOKUP(C970,$H$4:$I$70,2,0),"")</f>
        <v>396</v>
      </c>
    </row>
    <row r="971" spans="2:6" x14ac:dyDescent="0.2">
      <c r="B971" s="13">
        <f t="shared" si="47"/>
        <v>968</v>
      </c>
      <c r="C971" s="8">
        <f t="shared" si="48"/>
        <v>32</v>
      </c>
      <c r="D971" s="8">
        <f t="shared" si="49"/>
        <v>51</v>
      </c>
      <c r="E971" s="8">
        <f>IFERROR(VLOOKUP(D971,$H$4:$I$70,2,0),"")</f>
        <v>227</v>
      </c>
      <c r="F971" s="9">
        <f>IFERROR(VLOOKUP(C971,$H$4:$I$70,2,0),"")</f>
        <v>384</v>
      </c>
    </row>
    <row r="972" spans="2:6" x14ac:dyDescent="0.2">
      <c r="B972" s="13">
        <f t="shared" si="47"/>
        <v>969</v>
      </c>
      <c r="C972" s="8">
        <f t="shared" si="48"/>
        <v>33</v>
      </c>
      <c r="D972" s="8">
        <f t="shared" si="49"/>
        <v>51</v>
      </c>
      <c r="E972" s="8">
        <f>IFERROR(VLOOKUP(D972,$H$4:$I$70,2,0),"")</f>
        <v>227</v>
      </c>
      <c r="F972" s="9">
        <f>IFERROR(VLOOKUP(C972,$H$4:$I$70,2,0),"")</f>
        <v>381</v>
      </c>
    </row>
    <row r="973" spans="2:6" x14ac:dyDescent="0.2">
      <c r="B973" s="13">
        <f t="shared" si="47"/>
        <v>970</v>
      </c>
      <c r="C973" s="8">
        <f t="shared" si="48"/>
        <v>34</v>
      </c>
      <c r="D973" s="8">
        <f t="shared" si="49"/>
        <v>51</v>
      </c>
      <c r="E973" s="8">
        <f>IFERROR(VLOOKUP(D973,$H$4:$I$70,2,0),"")</f>
        <v>227</v>
      </c>
      <c r="F973" s="9">
        <f>IFERROR(VLOOKUP(C973,$H$4:$I$70,2,0),"")</f>
        <v>376</v>
      </c>
    </row>
    <row r="974" spans="2:6" x14ac:dyDescent="0.2">
      <c r="B974" s="13">
        <f t="shared" si="47"/>
        <v>971</v>
      </c>
      <c r="C974" s="8">
        <f t="shared" si="48"/>
        <v>35</v>
      </c>
      <c r="D974" s="8">
        <f t="shared" si="49"/>
        <v>51</v>
      </c>
      <c r="E974" s="8">
        <f>IFERROR(VLOOKUP(D974,$H$4:$I$70,2,0),"")</f>
        <v>227</v>
      </c>
      <c r="F974" s="9">
        <f>IFERROR(VLOOKUP(C974,$H$4:$I$70,2,0),"")</f>
        <v>370</v>
      </c>
    </row>
    <row r="975" spans="2:6" x14ac:dyDescent="0.2">
      <c r="B975" s="13">
        <f t="shared" si="47"/>
        <v>972</v>
      </c>
      <c r="C975" s="8">
        <f t="shared" si="48"/>
        <v>36</v>
      </c>
      <c r="D975" s="8">
        <f t="shared" si="49"/>
        <v>51</v>
      </c>
      <c r="E975" s="8">
        <f>IFERROR(VLOOKUP(D975,$H$4:$I$70,2,0),"")</f>
        <v>227</v>
      </c>
      <c r="F975" s="9">
        <f>IFERROR(VLOOKUP(C975,$H$4:$I$70,2,0),"")</f>
        <v>362</v>
      </c>
    </row>
    <row r="976" spans="2:6" x14ac:dyDescent="0.2">
      <c r="B976" s="13">
        <f t="shared" si="47"/>
        <v>973</v>
      </c>
      <c r="C976" s="8">
        <f t="shared" si="48"/>
        <v>37</v>
      </c>
      <c r="D976" s="8">
        <f t="shared" si="49"/>
        <v>51</v>
      </c>
      <c r="E976" s="8">
        <f>IFERROR(VLOOKUP(D976,$H$4:$I$70,2,0),"")</f>
        <v>227</v>
      </c>
      <c r="F976" s="9">
        <f>IFERROR(VLOOKUP(C976,$H$4:$I$70,2,0),"")</f>
        <v>357</v>
      </c>
    </row>
    <row r="977" spans="2:6" x14ac:dyDescent="0.2">
      <c r="B977" s="13">
        <f t="shared" si="47"/>
        <v>974</v>
      </c>
      <c r="C977" s="8">
        <f t="shared" si="48"/>
        <v>38</v>
      </c>
      <c r="D977" s="8">
        <f t="shared" si="49"/>
        <v>51</v>
      </c>
      <c r="E977" s="8">
        <f>IFERROR(VLOOKUP(D977,$H$4:$I$70,2,0),"")</f>
        <v>227</v>
      </c>
      <c r="F977" s="9">
        <f>IFERROR(VLOOKUP(C977,$H$4:$I$70,2,0),"")</f>
        <v>351</v>
      </c>
    </row>
    <row r="978" spans="2:6" x14ac:dyDescent="0.2">
      <c r="B978" s="13">
        <f t="shared" si="47"/>
        <v>975</v>
      </c>
      <c r="C978" s="8">
        <f t="shared" si="48"/>
        <v>39</v>
      </c>
      <c r="D978" s="8">
        <f t="shared" si="49"/>
        <v>51</v>
      </c>
      <c r="E978" s="8">
        <f>IFERROR(VLOOKUP(D978,$H$4:$I$70,2,0),"")</f>
        <v>227</v>
      </c>
      <c r="F978" s="9">
        <f>IFERROR(VLOOKUP(C978,$H$4:$I$70,2,0),"")</f>
        <v>339</v>
      </c>
    </row>
    <row r="979" spans="2:6" x14ac:dyDescent="0.2">
      <c r="B979" s="13">
        <f t="shared" si="47"/>
        <v>976</v>
      </c>
      <c r="C979" s="8">
        <f t="shared" si="48"/>
        <v>40</v>
      </c>
      <c r="D979" s="8">
        <f t="shared" si="49"/>
        <v>51</v>
      </c>
      <c r="E979" s="8">
        <f>IFERROR(VLOOKUP(D979,$H$4:$I$70,2,0),"")</f>
        <v>227</v>
      </c>
      <c r="F979" s="9">
        <f>IFERROR(VLOOKUP(C979,$H$4:$I$70,2,0),"")</f>
        <v>304</v>
      </c>
    </row>
    <row r="980" spans="2:6" x14ac:dyDescent="0.2">
      <c r="B980" s="13">
        <f t="shared" si="47"/>
        <v>977</v>
      </c>
      <c r="C980" s="8">
        <f t="shared" si="48"/>
        <v>41</v>
      </c>
      <c r="D980" s="8">
        <f t="shared" si="49"/>
        <v>51</v>
      </c>
      <c r="E980" s="8">
        <f>IFERROR(VLOOKUP(D980,$H$4:$I$70,2,0),"")</f>
        <v>227</v>
      </c>
      <c r="F980" s="9">
        <f>IFERROR(VLOOKUP(C980,$H$4:$I$70,2,0),"")</f>
        <v>301</v>
      </c>
    </row>
    <row r="981" spans="2:6" x14ac:dyDescent="0.2">
      <c r="B981" s="13">
        <f t="shared" si="47"/>
        <v>978</v>
      </c>
      <c r="C981" s="8">
        <f t="shared" si="48"/>
        <v>42</v>
      </c>
      <c r="D981" s="8">
        <f t="shared" si="49"/>
        <v>51</v>
      </c>
      <c r="E981" s="8">
        <f>IFERROR(VLOOKUP(D981,$H$4:$I$70,2,0),"")</f>
        <v>227</v>
      </c>
      <c r="F981" s="9">
        <f>IFERROR(VLOOKUP(C981,$H$4:$I$70,2,0),"")</f>
        <v>300</v>
      </c>
    </row>
    <row r="982" spans="2:6" x14ac:dyDescent="0.2">
      <c r="B982" s="13">
        <f t="shared" si="47"/>
        <v>979</v>
      </c>
      <c r="C982" s="8">
        <f t="shared" si="48"/>
        <v>43</v>
      </c>
      <c r="D982" s="8">
        <f t="shared" si="49"/>
        <v>51</v>
      </c>
      <c r="E982" s="8">
        <f>IFERROR(VLOOKUP(D982,$H$4:$I$70,2,0),"")</f>
        <v>227</v>
      </c>
      <c r="F982" s="9">
        <f>IFERROR(VLOOKUP(C982,$H$4:$I$70,2,0),"")</f>
        <v>288</v>
      </c>
    </row>
    <row r="983" spans="2:6" x14ac:dyDescent="0.2">
      <c r="B983" s="13">
        <f t="shared" si="47"/>
        <v>980</v>
      </c>
      <c r="C983" s="8">
        <f t="shared" si="48"/>
        <v>44</v>
      </c>
      <c r="D983" s="8">
        <f t="shared" si="49"/>
        <v>51</v>
      </c>
      <c r="E983" s="8">
        <f>IFERROR(VLOOKUP(D983,$H$4:$I$70,2,0),"")</f>
        <v>227</v>
      </c>
      <c r="F983" s="9">
        <f>IFERROR(VLOOKUP(C983,$H$4:$I$70,2,0),"")</f>
        <v>273</v>
      </c>
    </row>
    <row r="984" spans="2:6" x14ac:dyDescent="0.2">
      <c r="B984" s="13">
        <f t="shared" si="47"/>
        <v>981</v>
      </c>
      <c r="C984" s="8">
        <f t="shared" si="48"/>
        <v>45</v>
      </c>
      <c r="D984" s="8">
        <f t="shared" si="49"/>
        <v>51</v>
      </c>
      <c r="E984" s="8">
        <f>IFERROR(VLOOKUP(D984,$H$4:$I$70,2,0),"")</f>
        <v>227</v>
      </c>
      <c r="F984" s="9">
        <f>IFERROR(VLOOKUP(C984,$H$4:$I$70,2,0),"")</f>
        <v>268</v>
      </c>
    </row>
    <row r="985" spans="2:6" x14ac:dyDescent="0.2">
      <c r="B985" s="13">
        <f t="shared" si="47"/>
        <v>982</v>
      </c>
      <c r="C985" s="8">
        <f t="shared" si="48"/>
        <v>46</v>
      </c>
      <c r="D985" s="8">
        <f t="shared" si="49"/>
        <v>51</v>
      </c>
      <c r="E985" s="8">
        <f>IFERROR(VLOOKUP(D985,$H$4:$I$70,2,0),"")</f>
        <v>227</v>
      </c>
      <c r="F985" s="9">
        <f>IFERROR(VLOOKUP(C985,$H$4:$I$70,2,0),"")</f>
        <v>262</v>
      </c>
    </row>
    <row r="986" spans="2:6" x14ac:dyDescent="0.2">
      <c r="B986" s="13">
        <f t="shared" si="47"/>
        <v>983</v>
      </c>
      <c r="C986" s="8">
        <f t="shared" si="48"/>
        <v>47</v>
      </c>
      <c r="D986" s="8">
        <f t="shared" si="49"/>
        <v>51</v>
      </c>
      <c r="E986" s="8">
        <f>IFERROR(VLOOKUP(D986,$H$4:$I$70,2,0),"")</f>
        <v>227</v>
      </c>
      <c r="F986" s="9">
        <f>IFERROR(VLOOKUP(C986,$H$4:$I$70,2,0),"")</f>
        <v>248</v>
      </c>
    </row>
    <row r="987" spans="2:6" x14ac:dyDescent="0.2">
      <c r="B987" s="13">
        <f t="shared" si="47"/>
        <v>984</v>
      </c>
      <c r="C987" s="8">
        <f t="shared" si="48"/>
        <v>48</v>
      </c>
      <c r="D987" s="8">
        <f t="shared" si="49"/>
        <v>51</v>
      </c>
      <c r="E987" s="8">
        <f>IFERROR(VLOOKUP(D987,$H$4:$I$70,2,0),"")</f>
        <v>227</v>
      </c>
      <c r="F987" s="9">
        <f>IFERROR(VLOOKUP(C987,$H$4:$I$70,2,0),"")</f>
        <v>246</v>
      </c>
    </row>
    <row r="988" spans="2:6" x14ac:dyDescent="0.2">
      <c r="B988" s="13">
        <f t="shared" si="47"/>
        <v>985</v>
      </c>
      <c r="C988" s="8">
        <f t="shared" si="48"/>
        <v>49</v>
      </c>
      <c r="D988" s="8">
        <f t="shared" si="49"/>
        <v>51</v>
      </c>
      <c r="E988" s="8">
        <f>IFERROR(VLOOKUP(D988,$H$4:$I$70,2,0),"")</f>
        <v>227</v>
      </c>
      <c r="F988" s="9">
        <f>IFERROR(VLOOKUP(C988,$H$4:$I$70,2,0),"")</f>
        <v>236</v>
      </c>
    </row>
    <row r="989" spans="2:6" x14ac:dyDescent="0.2">
      <c r="B989" s="13">
        <f t="shared" si="47"/>
        <v>986</v>
      </c>
      <c r="C989" s="8">
        <f t="shared" si="48"/>
        <v>50</v>
      </c>
      <c r="D989" s="8">
        <f t="shared" si="49"/>
        <v>51</v>
      </c>
      <c r="E989" s="8">
        <f>IFERROR(VLOOKUP(D989,$H$4:$I$70,2,0),"")</f>
        <v>227</v>
      </c>
      <c r="F989" s="9">
        <f>IFERROR(VLOOKUP(C989,$H$4:$I$70,2,0),"")</f>
        <v>231</v>
      </c>
    </row>
    <row r="990" spans="2:6" x14ac:dyDescent="0.2">
      <c r="B990" s="13">
        <f t="shared" si="47"/>
        <v>987</v>
      </c>
      <c r="C990" s="8">
        <f t="shared" si="48"/>
        <v>1</v>
      </c>
      <c r="D990" s="8">
        <f t="shared" si="49"/>
        <v>50</v>
      </c>
      <c r="E990" s="8">
        <f>IFERROR(VLOOKUP(D990,$H$4:$I$70,2,0),"")</f>
        <v>231</v>
      </c>
      <c r="F990" s="9">
        <f>IFERROR(VLOOKUP(C990,$H$4:$I$70,2,0),"")</f>
        <v>1344</v>
      </c>
    </row>
    <row r="991" spans="2:6" x14ac:dyDescent="0.2">
      <c r="B991" s="13">
        <f t="shared" si="47"/>
        <v>988</v>
      </c>
      <c r="C991" s="8">
        <f t="shared" si="48"/>
        <v>2</v>
      </c>
      <c r="D991" s="8">
        <f t="shared" si="49"/>
        <v>50</v>
      </c>
      <c r="E991" s="8">
        <f>IFERROR(VLOOKUP(D991,$H$4:$I$70,2,0),"")</f>
        <v>231</v>
      </c>
      <c r="F991" s="9">
        <f>IFERROR(VLOOKUP(C991,$H$4:$I$70,2,0),"")</f>
        <v>1048</v>
      </c>
    </row>
    <row r="992" spans="2:6" x14ac:dyDescent="0.2">
      <c r="B992" s="13">
        <f t="shared" si="47"/>
        <v>989</v>
      </c>
      <c r="C992" s="8">
        <f t="shared" si="48"/>
        <v>3</v>
      </c>
      <c r="D992" s="8">
        <f t="shared" si="49"/>
        <v>50</v>
      </c>
      <c r="E992" s="8">
        <f>IFERROR(VLOOKUP(D992,$H$4:$I$70,2,0),"")</f>
        <v>231</v>
      </c>
      <c r="F992" s="9">
        <f>IFERROR(VLOOKUP(C992,$H$4:$I$70,2,0),"")</f>
        <v>1025</v>
      </c>
    </row>
    <row r="993" spans="2:6" x14ac:dyDescent="0.2">
      <c r="B993" s="13">
        <f t="shared" si="47"/>
        <v>990</v>
      </c>
      <c r="C993" s="8">
        <f t="shared" si="48"/>
        <v>4</v>
      </c>
      <c r="D993" s="8">
        <f t="shared" si="49"/>
        <v>50</v>
      </c>
      <c r="E993" s="8">
        <f>IFERROR(VLOOKUP(D993,$H$4:$I$70,2,0),"")</f>
        <v>231</v>
      </c>
      <c r="F993" s="9">
        <f>IFERROR(VLOOKUP(C993,$H$4:$I$70,2,0),"")</f>
        <v>805</v>
      </c>
    </row>
    <row r="994" spans="2:6" x14ac:dyDescent="0.2">
      <c r="B994" s="13">
        <f t="shared" si="47"/>
        <v>991</v>
      </c>
      <c r="C994" s="8">
        <f t="shared" si="48"/>
        <v>5</v>
      </c>
      <c r="D994" s="8">
        <f t="shared" si="49"/>
        <v>50</v>
      </c>
      <c r="E994" s="8">
        <f>IFERROR(VLOOKUP(D994,$H$4:$I$70,2,0),"")</f>
        <v>231</v>
      </c>
      <c r="F994" s="9">
        <f>IFERROR(VLOOKUP(C994,$H$4:$I$70,2,0),"")</f>
        <v>666</v>
      </c>
    </row>
    <row r="995" spans="2:6" x14ac:dyDescent="0.2">
      <c r="B995" s="13">
        <f t="shared" si="47"/>
        <v>992</v>
      </c>
      <c r="C995" s="8">
        <f t="shared" si="48"/>
        <v>6</v>
      </c>
      <c r="D995" s="8">
        <f t="shared" si="49"/>
        <v>50</v>
      </c>
      <c r="E995" s="8">
        <f>IFERROR(VLOOKUP(D995,$H$4:$I$70,2,0),"")</f>
        <v>231</v>
      </c>
      <c r="F995" s="9">
        <f>IFERROR(VLOOKUP(C995,$H$4:$I$70,2,0),"")</f>
        <v>655</v>
      </c>
    </row>
    <row r="996" spans="2:6" x14ac:dyDescent="0.2">
      <c r="B996" s="13">
        <f t="shared" si="47"/>
        <v>993</v>
      </c>
      <c r="C996" s="8">
        <f t="shared" si="48"/>
        <v>7</v>
      </c>
      <c r="D996" s="8">
        <f t="shared" si="49"/>
        <v>50</v>
      </c>
      <c r="E996" s="8">
        <f>IFERROR(VLOOKUP(D996,$H$4:$I$70,2,0),"")</f>
        <v>231</v>
      </c>
      <c r="F996" s="9">
        <f>IFERROR(VLOOKUP(C996,$H$4:$I$70,2,0),"")</f>
        <v>652</v>
      </c>
    </row>
    <row r="997" spans="2:6" x14ac:dyDescent="0.2">
      <c r="B997" s="13">
        <f t="shared" si="47"/>
        <v>994</v>
      </c>
      <c r="C997" s="8">
        <f t="shared" si="48"/>
        <v>8</v>
      </c>
      <c r="D997" s="8">
        <f t="shared" si="49"/>
        <v>50</v>
      </c>
      <c r="E997" s="8">
        <f>IFERROR(VLOOKUP(D997,$H$4:$I$70,2,0),"")</f>
        <v>231</v>
      </c>
      <c r="F997" s="9">
        <f>IFERROR(VLOOKUP(C997,$H$4:$I$70,2,0),"")</f>
        <v>633</v>
      </c>
    </row>
    <row r="998" spans="2:6" x14ac:dyDescent="0.2">
      <c r="B998" s="13">
        <f t="shared" si="47"/>
        <v>995</v>
      </c>
      <c r="C998" s="8">
        <f t="shared" si="48"/>
        <v>9</v>
      </c>
      <c r="D998" s="8">
        <f t="shared" si="49"/>
        <v>50</v>
      </c>
      <c r="E998" s="8">
        <f>IFERROR(VLOOKUP(D998,$H$4:$I$70,2,0),"")</f>
        <v>231</v>
      </c>
      <c r="F998" s="9">
        <f>IFERROR(VLOOKUP(C998,$H$4:$I$70,2,0),"")</f>
        <v>632</v>
      </c>
    </row>
    <row r="999" spans="2:6" x14ac:dyDescent="0.2">
      <c r="B999" s="13">
        <f t="shared" si="47"/>
        <v>996</v>
      </c>
      <c r="C999" s="8">
        <f t="shared" si="48"/>
        <v>10</v>
      </c>
      <c r="D999" s="8">
        <f t="shared" si="49"/>
        <v>50</v>
      </c>
      <c r="E999" s="8">
        <f>IFERROR(VLOOKUP(D999,$H$4:$I$70,2,0),"")</f>
        <v>231</v>
      </c>
      <c r="F999" s="9">
        <f>IFERROR(VLOOKUP(C999,$H$4:$I$70,2,0),"")</f>
        <v>625</v>
      </c>
    </row>
    <row r="1000" spans="2:6" x14ac:dyDescent="0.2">
      <c r="B1000" s="13">
        <f t="shared" si="47"/>
        <v>997</v>
      </c>
      <c r="C1000" s="8">
        <f t="shared" si="48"/>
        <v>11</v>
      </c>
      <c r="D1000" s="8">
        <f t="shared" si="49"/>
        <v>50</v>
      </c>
      <c r="E1000" s="8">
        <f>IFERROR(VLOOKUP(D1000,$H$4:$I$70,2,0),"")</f>
        <v>231</v>
      </c>
      <c r="F1000" s="9">
        <f>IFERROR(VLOOKUP(C1000,$H$4:$I$70,2,0),"")</f>
        <v>619</v>
      </c>
    </row>
    <row r="1001" spans="2:6" x14ac:dyDescent="0.2">
      <c r="B1001" s="13">
        <f t="shared" si="47"/>
        <v>998</v>
      </c>
      <c r="C1001" s="8">
        <f t="shared" si="48"/>
        <v>12</v>
      </c>
      <c r="D1001" s="8">
        <f t="shared" si="49"/>
        <v>50</v>
      </c>
      <c r="E1001" s="8">
        <f>IFERROR(VLOOKUP(D1001,$H$4:$I$70,2,0),"")</f>
        <v>231</v>
      </c>
      <c r="F1001" s="9">
        <f>IFERROR(VLOOKUP(C1001,$H$4:$I$70,2,0),"")</f>
        <v>610</v>
      </c>
    </row>
    <row r="1002" spans="2:6" x14ac:dyDescent="0.2">
      <c r="B1002" s="13">
        <f t="shared" si="47"/>
        <v>999</v>
      </c>
      <c r="C1002" s="8">
        <f t="shared" si="48"/>
        <v>13</v>
      </c>
      <c r="D1002" s="8">
        <f t="shared" si="49"/>
        <v>50</v>
      </c>
      <c r="E1002" s="8">
        <f>IFERROR(VLOOKUP(D1002,$H$4:$I$70,2,0),"")</f>
        <v>231</v>
      </c>
      <c r="F1002" s="9">
        <f>IFERROR(VLOOKUP(C1002,$H$4:$I$70,2,0),"")</f>
        <v>599</v>
      </c>
    </row>
    <row r="1003" spans="2:6" x14ac:dyDescent="0.2">
      <c r="B1003" s="13">
        <f t="shared" si="47"/>
        <v>1000</v>
      </c>
      <c r="C1003" s="8">
        <f t="shared" si="48"/>
        <v>14</v>
      </c>
      <c r="D1003" s="8">
        <f t="shared" si="49"/>
        <v>50</v>
      </c>
      <c r="E1003" s="8">
        <f>IFERROR(VLOOKUP(D1003,$H$4:$I$70,2,0),"")</f>
        <v>231</v>
      </c>
      <c r="F1003" s="9">
        <f>IFERROR(VLOOKUP(C1003,$H$4:$I$70,2,0),"")</f>
        <v>559</v>
      </c>
    </row>
    <row r="1004" spans="2:6" x14ac:dyDescent="0.2">
      <c r="B1004" s="13">
        <f t="shared" si="47"/>
        <v>1001</v>
      </c>
      <c r="C1004" s="8">
        <f t="shared" si="48"/>
        <v>15</v>
      </c>
      <c r="D1004" s="8">
        <f t="shared" si="49"/>
        <v>50</v>
      </c>
      <c r="E1004" s="8">
        <f>IFERROR(VLOOKUP(D1004,$H$4:$I$70,2,0),"")</f>
        <v>231</v>
      </c>
      <c r="F1004" s="9">
        <f>IFERROR(VLOOKUP(C1004,$H$4:$I$70,2,0),"")</f>
        <v>556</v>
      </c>
    </row>
    <row r="1005" spans="2:6" x14ac:dyDescent="0.2">
      <c r="B1005" s="13">
        <f t="shared" si="47"/>
        <v>1002</v>
      </c>
      <c r="C1005" s="8">
        <f t="shared" si="48"/>
        <v>16</v>
      </c>
      <c r="D1005" s="8">
        <f t="shared" si="49"/>
        <v>50</v>
      </c>
      <c r="E1005" s="8">
        <f>IFERROR(VLOOKUP(D1005,$H$4:$I$70,2,0),"")</f>
        <v>231</v>
      </c>
      <c r="F1005" s="9">
        <f>IFERROR(VLOOKUP(C1005,$H$4:$I$70,2,0),"")</f>
        <v>540</v>
      </c>
    </row>
    <row r="1006" spans="2:6" x14ac:dyDescent="0.2">
      <c r="B1006" s="13">
        <f t="shared" si="47"/>
        <v>1003</v>
      </c>
      <c r="C1006" s="8">
        <f t="shared" si="48"/>
        <v>17</v>
      </c>
      <c r="D1006" s="8">
        <f t="shared" si="49"/>
        <v>50</v>
      </c>
      <c r="E1006" s="8">
        <f>IFERROR(VLOOKUP(D1006,$H$4:$I$70,2,0),"")</f>
        <v>231</v>
      </c>
      <c r="F1006" s="9">
        <f>IFERROR(VLOOKUP(C1006,$H$4:$I$70,2,0),"")</f>
        <v>536</v>
      </c>
    </row>
    <row r="1007" spans="2:6" x14ac:dyDescent="0.2">
      <c r="B1007" s="13">
        <f t="shared" si="47"/>
        <v>1004</v>
      </c>
      <c r="C1007" s="8">
        <f t="shared" si="48"/>
        <v>18</v>
      </c>
      <c r="D1007" s="8">
        <f t="shared" si="49"/>
        <v>50</v>
      </c>
      <c r="E1007" s="8">
        <f>IFERROR(VLOOKUP(D1007,$H$4:$I$70,2,0),"")</f>
        <v>231</v>
      </c>
      <c r="F1007" s="9">
        <f>IFERROR(VLOOKUP(C1007,$H$4:$I$70,2,0),"")</f>
        <v>527</v>
      </c>
    </row>
    <row r="1008" spans="2:6" x14ac:dyDescent="0.2">
      <c r="B1008" s="13">
        <f t="shared" si="47"/>
        <v>1005</v>
      </c>
      <c r="C1008" s="8">
        <f t="shared" si="48"/>
        <v>19</v>
      </c>
      <c r="D1008" s="8">
        <f t="shared" si="49"/>
        <v>50</v>
      </c>
      <c r="E1008" s="8">
        <f>IFERROR(VLOOKUP(D1008,$H$4:$I$70,2,0),"")</f>
        <v>231</v>
      </c>
      <c r="F1008" s="9">
        <f>IFERROR(VLOOKUP(C1008,$H$4:$I$70,2,0),"")</f>
        <v>478</v>
      </c>
    </row>
    <row r="1009" spans="2:6" x14ac:dyDescent="0.2">
      <c r="B1009" s="13">
        <f t="shared" si="47"/>
        <v>1006</v>
      </c>
      <c r="C1009" s="8">
        <f t="shared" si="48"/>
        <v>20</v>
      </c>
      <c r="D1009" s="8">
        <f t="shared" si="49"/>
        <v>50</v>
      </c>
      <c r="E1009" s="8">
        <f>IFERROR(VLOOKUP(D1009,$H$4:$I$70,2,0),"")</f>
        <v>231</v>
      </c>
      <c r="F1009" s="9">
        <f>IFERROR(VLOOKUP(C1009,$H$4:$I$70,2,0),"")</f>
        <v>474</v>
      </c>
    </row>
    <row r="1010" spans="2:6" x14ac:dyDescent="0.2">
      <c r="B1010" s="13">
        <f t="shared" si="47"/>
        <v>1007</v>
      </c>
      <c r="C1010" s="8">
        <f t="shared" si="48"/>
        <v>21</v>
      </c>
      <c r="D1010" s="8">
        <f t="shared" si="49"/>
        <v>50</v>
      </c>
      <c r="E1010" s="8">
        <f>IFERROR(VLOOKUP(D1010,$H$4:$I$70,2,0),"")</f>
        <v>231</v>
      </c>
      <c r="F1010" s="9">
        <f>IFERROR(VLOOKUP(C1010,$H$4:$I$70,2,0),"")</f>
        <v>468</v>
      </c>
    </row>
    <row r="1011" spans="2:6" x14ac:dyDescent="0.2">
      <c r="B1011" s="13">
        <f t="shared" si="47"/>
        <v>1008</v>
      </c>
      <c r="C1011" s="8">
        <f t="shared" si="48"/>
        <v>22</v>
      </c>
      <c r="D1011" s="8">
        <f t="shared" si="49"/>
        <v>50</v>
      </c>
      <c r="E1011" s="8">
        <f>IFERROR(VLOOKUP(D1011,$H$4:$I$70,2,0),"")</f>
        <v>231</v>
      </c>
      <c r="F1011" s="9">
        <f>IFERROR(VLOOKUP(C1011,$H$4:$I$70,2,0),"")</f>
        <v>457</v>
      </c>
    </row>
    <row r="1012" spans="2:6" x14ac:dyDescent="0.2">
      <c r="B1012" s="13">
        <f t="shared" si="47"/>
        <v>1009</v>
      </c>
      <c r="C1012" s="8">
        <f t="shared" si="48"/>
        <v>23</v>
      </c>
      <c r="D1012" s="8">
        <f t="shared" si="49"/>
        <v>50</v>
      </c>
      <c r="E1012" s="8">
        <f>IFERROR(VLOOKUP(D1012,$H$4:$I$70,2,0),"")</f>
        <v>231</v>
      </c>
      <c r="F1012" s="9">
        <f>IFERROR(VLOOKUP(C1012,$H$4:$I$70,2,0),"")</f>
        <v>452</v>
      </c>
    </row>
    <row r="1013" spans="2:6" x14ac:dyDescent="0.2">
      <c r="B1013" s="13">
        <f t="shared" si="47"/>
        <v>1010</v>
      </c>
      <c r="C1013" s="8">
        <f t="shared" si="48"/>
        <v>24</v>
      </c>
      <c r="D1013" s="8">
        <f t="shared" si="49"/>
        <v>50</v>
      </c>
      <c r="E1013" s="8">
        <f>IFERROR(VLOOKUP(D1013,$H$4:$I$70,2,0),"")</f>
        <v>231</v>
      </c>
      <c r="F1013" s="9">
        <f>IFERROR(VLOOKUP(C1013,$H$4:$I$70,2,0),"")</f>
        <v>442</v>
      </c>
    </row>
    <row r="1014" spans="2:6" x14ac:dyDescent="0.2">
      <c r="B1014" s="13">
        <f t="shared" si="47"/>
        <v>1011</v>
      </c>
      <c r="C1014" s="8">
        <f t="shared" si="48"/>
        <v>25</v>
      </c>
      <c r="D1014" s="8">
        <f t="shared" si="49"/>
        <v>50</v>
      </c>
      <c r="E1014" s="8">
        <f>IFERROR(VLOOKUP(D1014,$H$4:$I$70,2,0),"")</f>
        <v>231</v>
      </c>
      <c r="F1014" s="9">
        <f>IFERROR(VLOOKUP(C1014,$H$4:$I$70,2,0),"")</f>
        <v>420</v>
      </c>
    </row>
    <row r="1015" spans="2:6" x14ac:dyDescent="0.2">
      <c r="B1015" s="13">
        <f t="shared" si="47"/>
        <v>1012</v>
      </c>
      <c r="C1015" s="8">
        <f t="shared" si="48"/>
        <v>26</v>
      </c>
      <c r="D1015" s="8">
        <f t="shared" si="49"/>
        <v>50</v>
      </c>
      <c r="E1015" s="8">
        <f>IFERROR(VLOOKUP(D1015,$H$4:$I$70,2,0),"")</f>
        <v>231</v>
      </c>
      <c r="F1015" s="9">
        <f>IFERROR(VLOOKUP(C1015,$H$4:$I$70,2,0),"")</f>
        <v>410</v>
      </c>
    </row>
    <row r="1016" spans="2:6" x14ac:dyDescent="0.2">
      <c r="B1016" s="13">
        <f t="shared" si="47"/>
        <v>1013</v>
      </c>
      <c r="C1016" s="8">
        <f t="shared" si="48"/>
        <v>27</v>
      </c>
      <c r="D1016" s="8">
        <f t="shared" si="49"/>
        <v>50</v>
      </c>
      <c r="E1016" s="8">
        <f>IFERROR(VLOOKUP(D1016,$H$4:$I$70,2,0),"")</f>
        <v>231</v>
      </c>
      <c r="F1016" s="9">
        <f>IFERROR(VLOOKUP(C1016,$H$4:$I$70,2,0),"")</f>
        <v>409</v>
      </c>
    </row>
    <row r="1017" spans="2:6" x14ac:dyDescent="0.2">
      <c r="B1017" s="13">
        <f t="shared" si="47"/>
        <v>1014</v>
      </c>
      <c r="C1017" s="8">
        <f t="shared" si="48"/>
        <v>28</v>
      </c>
      <c r="D1017" s="8">
        <f t="shared" si="49"/>
        <v>50</v>
      </c>
      <c r="E1017" s="8">
        <f>IFERROR(VLOOKUP(D1017,$H$4:$I$70,2,0),"")</f>
        <v>231</v>
      </c>
      <c r="F1017" s="9">
        <f>IFERROR(VLOOKUP(C1017,$H$4:$I$70,2,0),"")</f>
        <v>408</v>
      </c>
    </row>
    <row r="1018" spans="2:6" x14ac:dyDescent="0.2">
      <c r="B1018" s="13">
        <f t="shared" si="47"/>
        <v>1015</v>
      </c>
      <c r="C1018" s="8">
        <f t="shared" si="48"/>
        <v>29</v>
      </c>
      <c r="D1018" s="8">
        <f t="shared" si="49"/>
        <v>50</v>
      </c>
      <c r="E1018" s="8">
        <f>IFERROR(VLOOKUP(D1018,$H$4:$I$70,2,0),"")</f>
        <v>231</v>
      </c>
      <c r="F1018" s="9">
        <f>IFERROR(VLOOKUP(C1018,$H$4:$I$70,2,0),"")</f>
        <v>404</v>
      </c>
    </row>
    <row r="1019" spans="2:6" x14ac:dyDescent="0.2">
      <c r="B1019" s="13">
        <f t="shared" si="47"/>
        <v>1016</v>
      </c>
      <c r="C1019" s="8">
        <f t="shared" si="48"/>
        <v>30</v>
      </c>
      <c r="D1019" s="8">
        <f t="shared" si="49"/>
        <v>50</v>
      </c>
      <c r="E1019" s="8">
        <f>IFERROR(VLOOKUP(D1019,$H$4:$I$70,2,0),"")</f>
        <v>231</v>
      </c>
      <c r="F1019" s="9">
        <f>IFERROR(VLOOKUP(C1019,$H$4:$I$70,2,0),"")</f>
        <v>399</v>
      </c>
    </row>
    <row r="1020" spans="2:6" x14ac:dyDescent="0.2">
      <c r="B1020" s="13">
        <f t="shared" si="47"/>
        <v>1017</v>
      </c>
      <c r="C1020" s="8">
        <f t="shared" si="48"/>
        <v>31</v>
      </c>
      <c r="D1020" s="8">
        <f t="shared" si="49"/>
        <v>50</v>
      </c>
      <c r="E1020" s="8">
        <f>IFERROR(VLOOKUP(D1020,$H$4:$I$70,2,0),"")</f>
        <v>231</v>
      </c>
      <c r="F1020" s="9">
        <f>IFERROR(VLOOKUP(C1020,$H$4:$I$70,2,0),"")</f>
        <v>396</v>
      </c>
    </row>
    <row r="1021" spans="2:6" x14ac:dyDescent="0.2">
      <c r="B1021" s="13">
        <f t="shared" si="47"/>
        <v>1018</v>
      </c>
      <c r="C1021" s="8">
        <f t="shared" si="48"/>
        <v>32</v>
      </c>
      <c r="D1021" s="8">
        <f t="shared" si="49"/>
        <v>50</v>
      </c>
      <c r="E1021" s="8">
        <f>IFERROR(VLOOKUP(D1021,$H$4:$I$70,2,0),"")</f>
        <v>231</v>
      </c>
      <c r="F1021" s="9">
        <f>IFERROR(VLOOKUP(C1021,$H$4:$I$70,2,0),"")</f>
        <v>384</v>
      </c>
    </row>
    <row r="1022" spans="2:6" x14ac:dyDescent="0.2">
      <c r="B1022" s="13">
        <f t="shared" si="47"/>
        <v>1019</v>
      </c>
      <c r="C1022" s="8">
        <f t="shared" si="48"/>
        <v>33</v>
      </c>
      <c r="D1022" s="8">
        <f t="shared" si="49"/>
        <v>50</v>
      </c>
      <c r="E1022" s="8">
        <f>IFERROR(VLOOKUP(D1022,$H$4:$I$70,2,0),"")</f>
        <v>231</v>
      </c>
      <c r="F1022" s="9">
        <f>IFERROR(VLOOKUP(C1022,$H$4:$I$70,2,0),"")</f>
        <v>381</v>
      </c>
    </row>
    <row r="1023" spans="2:6" x14ac:dyDescent="0.2">
      <c r="B1023" s="13">
        <f t="shared" si="47"/>
        <v>1020</v>
      </c>
      <c r="C1023" s="8">
        <f t="shared" si="48"/>
        <v>34</v>
      </c>
      <c r="D1023" s="8">
        <f t="shared" si="49"/>
        <v>50</v>
      </c>
      <c r="E1023" s="8">
        <f>IFERROR(VLOOKUP(D1023,$H$4:$I$70,2,0),"")</f>
        <v>231</v>
      </c>
      <c r="F1023" s="9">
        <f>IFERROR(VLOOKUP(C1023,$H$4:$I$70,2,0),"")</f>
        <v>376</v>
      </c>
    </row>
    <row r="1024" spans="2:6" x14ac:dyDescent="0.2">
      <c r="B1024" s="13">
        <f t="shared" si="47"/>
        <v>1021</v>
      </c>
      <c r="C1024" s="8">
        <f t="shared" si="48"/>
        <v>35</v>
      </c>
      <c r="D1024" s="8">
        <f t="shared" si="49"/>
        <v>50</v>
      </c>
      <c r="E1024" s="8">
        <f>IFERROR(VLOOKUP(D1024,$H$4:$I$70,2,0),"")</f>
        <v>231</v>
      </c>
      <c r="F1024" s="9">
        <f>IFERROR(VLOOKUP(C1024,$H$4:$I$70,2,0),"")</f>
        <v>370</v>
      </c>
    </row>
    <row r="1025" spans="2:6" x14ac:dyDescent="0.2">
      <c r="B1025" s="13">
        <f t="shared" si="47"/>
        <v>1022</v>
      </c>
      <c r="C1025" s="8">
        <f t="shared" si="48"/>
        <v>36</v>
      </c>
      <c r="D1025" s="8">
        <f t="shared" si="49"/>
        <v>50</v>
      </c>
      <c r="E1025" s="8">
        <f>IFERROR(VLOOKUP(D1025,$H$4:$I$70,2,0),"")</f>
        <v>231</v>
      </c>
      <c r="F1025" s="9">
        <f>IFERROR(VLOOKUP(C1025,$H$4:$I$70,2,0),"")</f>
        <v>362</v>
      </c>
    </row>
    <row r="1026" spans="2:6" x14ac:dyDescent="0.2">
      <c r="B1026" s="13">
        <f t="shared" si="47"/>
        <v>1023</v>
      </c>
      <c r="C1026" s="8">
        <f t="shared" si="48"/>
        <v>37</v>
      </c>
      <c r="D1026" s="8">
        <f t="shared" si="49"/>
        <v>50</v>
      </c>
      <c r="E1026" s="8">
        <f>IFERROR(VLOOKUP(D1026,$H$4:$I$70,2,0),"")</f>
        <v>231</v>
      </c>
      <c r="F1026" s="9">
        <f>IFERROR(VLOOKUP(C1026,$H$4:$I$70,2,0),"")</f>
        <v>357</v>
      </c>
    </row>
    <row r="1027" spans="2:6" x14ac:dyDescent="0.2">
      <c r="B1027" s="13">
        <f t="shared" si="47"/>
        <v>1024</v>
      </c>
      <c r="C1027" s="8">
        <f t="shared" si="48"/>
        <v>38</v>
      </c>
      <c r="D1027" s="8">
        <f t="shared" si="49"/>
        <v>50</v>
      </c>
      <c r="E1027" s="8">
        <f>IFERROR(VLOOKUP(D1027,$H$4:$I$70,2,0),"")</f>
        <v>231</v>
      </c>
      <c r="F1027" s="9">
        <f>IFERROR(VLOOKUP(C1027,$H$4:$I$70,2,0),"")</f>
        <v>351</v>
      </c>
    </row>
    <row r="1028" spans="2:6" x14ac:dyDescent="0.2">
      <c r="B1028" s="13">
        <f t="shared" si="47"/>
        <v>1025</v>
      </c>
      <c r="C1028" s="8">
        <f t="shared" si="48"/>
        <v>39</v>
      </c>
      <c r="D1028" s="8">
        <f t="shared" si="49"/>
        <v>50</v>
      </c>
      <c r="E1028" s="8">
        <f>IFERROR(VLOOKUP(D1028,$H$4:$I$70,2,0),"")</f>
        <v>231</v>
      </c>
      <c r="F1028" s="9">
        <f>IFERROR(VLOOKUP(C1028,$H$4:$I$70,2,0),"")</f>
        <v>339</v>
      </c>
    </row>
    <row r="1029" spans="2:6" x14ac:dyDescent="0.2">
      <c r="B1029" s="13">
        <f t="shared" ref="B1029:B1092" si="50">ROW()-3</f>
        <v>1026</v>
      </c>
      <c r="C1029" s="8">
        <f t="shared" si="48"/>
        <v>40</v>
      </c>
      <c r="D1029" s="8">
        <f t="shared" si="49"/>
        <v>50</v>
      </c>
      <c r="E1029" s="8">
        <f>IFERROR(VLOOKUP(D1029,$H$4:$I$70,2,0),"")</f>
        <v>231</v>
      </c>
      <c r="F1029" s="9">
        <f>IFERROR(VLOOKUP(C1029,$H$4:$I$70,2,0),"")</f>
        <v>304</v>
      </c>
    </row>
    <row r="1030" spans="2:6" x14ac:dyDescent="0.2">
      <c r="B1030" s="13">
        <f t="shared" si="50"/>
        <v>1027</v>
      </c>
      <c r="C1030" s="8">
        <f t="shared" ref="C1030:C1093" si="51">IF((D1029-C1029)=1,1,C1029+1)</f>
        <v>41</v>
      </c>
      <c r="D1030" s="8">
        <f t="shared" ref="D1030:D1093" si="52">IF((D1029-C1029)=1,D1029-1,D1029)</f>
        <v>50</v>
      </c>
      <c r="E1030" s="8">
        <f>IFERROR(VLOOKUP(D1030,$H$4:$I$70,2,0),"")</f>
        <v>231</v>
      </c>
      <c r="F1030" s="9">
        <f>IFERROR(VLOOKUP(C1030,$H$4:$I$70,2,0),"")</f>
        <v>301</v>
      </c>
    </row>
    <row r="1031" spans="2:6" x14ac:dyDescent="0.2">
      <c r="B1031" s="13">
        <f t="shared" si="50"/>
        <v>1028</v>
      </c>
      <c r="C1031" s="8">
        <f t="shared" si="51"/>
        <v>42</v>
      </c>
      <c r="D1031" s="8">
        <f t="shared" si="52"/>
        <v>50</v>
      </c>
      <c r="E1031" s="8">
        <f>IFERROR(VLOOKUP(D1031,$H$4:$I$70,2,0),"")</f>
        <v>231</v>
      </c>
      <c r="F1031" s="9">
        <f>IFERROR(VLOOKUP(C1031,$H$4:$I$70,2,0),"")</f>
        <v>300</v>
      </c>
    </row>
    <row r="1032" spans="2:6" x14ac:dyDescent="0.2">
      <c r="B1032" s="13">
        <f t="shared" si="50"/>
        <v>1029</v>
      </c>
      <c r="C1032" s="8">
        <f t="shared" si="51"/>
        <v>43</v>
      </c>
      <c r="D1032" s="8">
        <f t="shared" si="52"/>
        <v>50</v>
      </c>
      <c r="E1032" s="8">
        <f>IFERROR(VLOOKUP(D1032,$H$4:$I$70,2,0),"")</f>
        <v>231</v>
      </c>
      <c r="F1032" s="9">
        <f>IFERROR(VLOOKUP(C1032,$H$4:$I$70,2,0),"")</f>
        <v>288</v>
      </c>
    </row>
    <row r="1033" spans="2:6" x14ac:dyDescent="0.2">
      <c r="B1033" s="13">
        <f t="shared" si="50"/>
        <v>1030</v>
      </c>
      <c r="C1033" s="8">
        <f t="shared" si="51"/>
        <v>44</v>
      </c>
      <c r="D1033" s="8">
        <f t="shared" si="52"/>
        <v>50</v>
      </c>
      <c r="E1033" s="8">
        <f>IFERROR(VLOOKUP(D1033,$H$4:$I$70,2,0),"")</f>
        <v>231</v>
      </c>
      <c r="F1033" s="9">
        <f>IFERROR(VLOOKUP(C1033,$H$4:$I$70,2,0),"")</f>
        <v>273</v>
      </c>
    </row>
    <row r="1034" spans="2:6" x14ac:dyDescent="0.2">
      <c r="B1034" s="13">
        <f t="shared" si="50"/>
        <v>1031</v>
      </c>
      <c r="C1034" s="8">
        <f t="shared" si="51"/>
        <v>45</v>
      </c>
      <c r="D1034" s="8">
        <f t="shared" si="52"/>
        <v>50</v>
      </c>
      <c r="E1034" s="8">
        <f>IFERROR(VLOOKUP(D1034,$H$4:$I$70,2,0),"")</f>
        <v>231</v>
      </c>
      <c r="F1034" s="9">
        <f>IFERROR(VLOOKUP(C1034,$H$4:$I$70,2,0),"")</f>
        <v>268</v>
      </c>
    </row>
    <row r="1035" spans="2:6" x14ac:dyDescent="0.2">
      <c r="B1035" s="13">
        <f t="shared" si="50"/>
        <v>1032</v>
      </c>
      <c r="C1035" s="8">
        <f t="shared" si="51"/>
        <v>46</v>
      </c>
      <c r="D1035" s="8">
        <f t="shared" si="52"/>
        <v>50</v>
      </c>
      <c r="E1035" s="8">
        <f>IFERROR(VLOOKUP(D1035,$H$4:$I$70,2,0),"")</f>
        <v>231</v>
      </c>
      <c r="F1035" s="9">
        <f>IFERROR(VLOOKUP(C1035,$H$4:$I$70,2,0),"")</f>
        <v>262</v>
      </c>
    </row>
    <row r="1036" spans="2:6" x14ac:dyDescent="0.2">
      <c r="B1036" s="13">
        <f t="shared" si="50"/>
        <v>1033</v>
      </c>
      <c r="C1036" s="8">
        <f t="shared" si="51"/>
        <v>47</v>
      </c>
      <c r="D1036" s="8">
        <f t="shared" si="52"/>
        <v>50</v>
      </c>
      <c r="E1036" s="8">
        <f>IFERROR(VLOOKUP(D1036,$H$4:$I$70,2,0),"")</f>
        <v>231</v>
      </c>
      <c r="F1036" s="9">
        <f>IFERROR(VLOOKUP(C1036,$H$4:$I$70,2,0),"")</f>
        <v>248</v>
      </c>
    </row>
    <row r="1037" spans="2:6" x14ac:dyDescent="0.2">
      <c r="B1037" s="13">
        <f t="shared" si="50"/>
        <v>1034</v>
      </c>
      <c r="C1037" s="8">
        <f t="shared" si="51"/>
        <v>48</v>
      </c>
      <c r="D1037" s="8">
        <f t="shared" si="52"/>
        <v>50</v>
      </c>
      <c r="E1037" s="8">
        <f>IFERROR(VLOOKUP(D1037,$H$4:$I$70,2,0),"")</f>
        <v>231</v>
      </c>
      <c r="F1037" s="9">
        <f>IFERROR(VLOOKUP(C1037,$H$4:$I$70,2,0),"")</f>
        <v>246</v>
      </c>
    </row>
    <row r="1038" spans="2:6" x14ac:dyDescent="0.2">
      <c r="B1038" s="13">
        <f t="shared" si="50"/>
        <v>1035</v>
      </c>
      <c r="C1038" s="8">
        <f t="shared" si="51"/>
        <v>49</v>
      </c>
      <c r="D1038" s="8">
        <f t="shared" si="52"/>
        <v>50</v>
      </c>
      <c r="E1038" s="8">
        <f>IFERROR(VLOOKUP(D1038,$H$4:$I$70,2,0),"")</f>
        <v>231</v>
      </c>
      <c r="F1038" s="9">
        <f>IFERROR(VLOOKUP(C1038,$H$4:$I$70,2,0),"")</f>
        <v>236</v>
      </c>
    </row>
    <row r="1039" spans="2:6" x14ac:dyDescent="0.2">
      <c r="B1039" s="13">
        <f t="shared" si="50"/>
        <v>1036</v>
      </c>
      <c r="C1039" s="8">
        <f t="shared" si="51"/>
        <v>1</v>
      </c>
      <c r="D1039" s="8">
        <f t="shared" si="52"/>
        <v>49</v>
      </c>
      <c r="E1039" s="8">
        <f>IFERROR(VLOOKUP(D1039,$H$4:$I$70,2,0),"")</f>
        <v>236</v>
      </c>
      <c r="F1039" s="9">
        <f>IFERROR(VLOOKUP(C1039,$H$4:$I$70,2,0),"")</f>
        <v>1344</v>
      </c>
    </row>
    <row r="1040" spans="2:6" x14ac:dyDescent="0.2">
      <c r="B1040" s="13">
        <f t="shared" si="50"/>
        <v>1037</v>
      </c>
      <c r="C1040" s="8">
        <f t="shared" si="51"/>
        <v>2</v>
      </c>
      <c r="D1040" s="8">
        <f t="shared" si="52"/>
        <v>49</v>
      </c>
      <c r="E1040" s="8">
        <f>IFERROR(VLOOKUP(D1040,$H$4:$I$70,2,0),"")</f>
        <v>236</v>
      </c>
      <c r="F1040" s="9">
        <f>IFERROR(VLOOKUP(C1040,$H$4:$I$70,2,0),"")</f>
        <v>1048</v>
      </c>
    </row>
    <row r="1041" spans="2:6" x14ac:dyDescent="0.2">
      <c r="B1041" s="13">
        <f t="shared" si="50"/>
        <v>1038</v>
      </c>
      <c r="C1041" s="8">
        <f t="shared" si="51"/>
        <v>3</v>
      </c>
      <c r="D1041" s="8">
        <f t="shared" si="52"/>
        <v>49</v>
      </c>
      <c r="E1041" s="8">
        <f>IFERROR(VLOOKUP(D1041,$H$4:$I$70,2,0),"")</f>
        <v>236</v>
      </c>
      <c r="F1041" s="9">
        <f>IFERROR(VLOOKUP(C1041,$H$4:$I$70,2,0),"")</f>
        <v>1025</v>
      </c>
    </row>
    <row r="1042" spans="2:6" x14ac:dyDescent="0.2">
      <c r="B1042" s="13">
        <f t="shared" si="50"/>
        <v>1039</v>
      </c>
      <c r="C1042" s="8">
        <f t="shared" si="51"/>
        <v>4</v>
      </c>
      <c r="D1042" s="8">
        <f t="shared" si="52"/>
        <v>49</v>
      </c>
      <c r="E1042" s="8">
        <f>IFERROR(VLOOKUP(D1042,$H$4:$I$70,2,0),"")</f>
        <v>236</v>
      </c>
      <c r="F1042" s="9">
        <f>IFERROR(VLOOKUP(C1042,$H$4:$I$70,2,0),"")</f>
        <v>805</v>
      </c>
    </row>
    <row r="1043" spans="2:6" x14ac:dyDescent="0.2">
      <c r="B1043" s="13">
        <f t="shared" si="50"/>
        <v>1040</v>
      </c>
      <c r="C1043" s="8">
        <f t="shared" si="51"/>
        <v>5</v>
      </c>
      <c r="D1043" s="8">
        <f t="shared" si="52"/>
        <v>49</v>
      </c>
      <c r="E1043" s="8">
        <f>IFERROR(VLOOKUP(D1043,$H$4:$I$70,2,0),"")</f>
        <v>236</v>
      </c>
      <c r="F1043" s="9">
        <f>IFERROR(VLOOKUP(C1043,$H$4:$I$70,2,0),"")</f>
        <v>666</v>
      </c>
    </row>
    <row r="1044" spans="2:6" x14ac:dyDescent="0.2">
      <c r="B1044" s="13">
        <f t="shared" si="50"/>
        <v>1041</v>
      </c>
      <c r="C1044" s="8">
        <f t="shared" si="51"/>
        <v>6</v>
      </c>
      <c r="D1044" s="8">
        <f t="shared" si="52"/>
        <v>49</v>
      </c>
      <c r="E1044" s="8">
        <f>IFERROR(VLOOKUP(D1044,$H$4:$I$70,2,0),"")</f>
        <v>236</v>
      </c>
      <c r="F1044" s="9">
        <f>IFERROR(VLOOKUP(C1044,$H$4:$I$70,2,0),"")</f>
        <v>655</v>
      </c>
    </row>
    <row r="1045" spans="2:6" x14ac:dyDescent="0.2">
      <c r="B1045" s="13">
        <f t="shared" si="50"/>
        <v>1042</v>
      </c>
      <c r="C1045" s="8">
        <f t="shared" si="51"/>
        <v>7</v>
      </c>
      <c r="D1045" s="8">
        <f t="shared" si="52"/>
        <v>49</v>
      </c>
      <c r="E1045" s="8">
        <f>IFERROR(VLOOKUP(D1045,$H$4:$I$70,2,0),"")</f>
        <v>236</v>
      </c>
      <c r="F1045" s="9">
        <f>IFERROR(VLOOKUP(C1045,$H$4:$I$70,2,0),"")</f>
        <v>652</v>
      </c>
    </row>
    <row r="1046" spans="2:6" x14ac:dyDescent="0.2">
      <c r="B1046" s="13">
        <f t="shared" si="50"/>
        <v>1043</v>
      </c>
      <c r="C1046" s="8">
        <f t="shared" si="51"/>
        <v>8</v>
      </c>
      <c r="D1046" s="8">
        <f t="shared" si="52"/>
        <v>49</v>
      </c>
      <c r="E1046" s="8">
        <f>IFERROR(VLOOKUP(D1046,$H$4:$I$70,2,0),"")</f>
        <v>236</v>
      </c>
      <c r="F1046" s="9">
        <f>IFERROR(VLOOKUP(C1046,$H$4:$I$70,2,0),"")</f>
        <v>633</v>
      </c>
    </row>
    <row r="1047" spans="2:6" x14ac:dyDescent="0.2">
      <c r="B1047" s="13">
        <f t="shared" si="50"/>
        <v>1044</v>
      </c>
      <c r="C1047" s="8">
        <f t="shared" si="51"/>
        <v>9</v>
      </c>
      <c r="D1047" s="8">
        <f t="shared" si="52"/>
        <v>49</v>
      </c>
      <c r="E1047" s="8">
        <f>IFERROR(VLOOKUP(D1047,$H$4:$I$70,2,0),"")</f>
        <v>236</v>
      </c>
      <c r="F1047" s="9">
        <f>IFERROR(VLOOKUP(C1047,$H$4:$I$70,2,0),"")</f>
        <v>632</v>
      </c>
    </row>
    <row r="1048" spans="2:6" x14ac:dyDescent="0.2">
      <c r="B1048" s="13">
        <f t="shared" si="50"/>
        <v>1045</v>
      </c>
      <c r="C1048" s="8">
        <f t="shared" si="51"/>
        <v>10</v>
      </c>
      <c r="D1048" s="8">
        <f t="shared" si="52"/>
        <v>49</v>
      </c>
      <c r="E1048" s="8">
        <f>IFERROR(VLOOKUP(D1048,$H$4:$I$70,2,0),"")</f>
        <v>236</v>
      </c>
      <c r="F1048" s="9">
        <f>IFERROR(VLOOKUP(C1048,$H$4:$I$70,2,0),"")</f>
        <v>625</v>
      </c>
    </row>
    <row r="1049" spans="2:6" x14ac:dyDescent="0.2">
      <c r="B1049" s="13">
        <f t="shared" si="50"/>
        <v>1046</v>
      </c>
      <c r="C1049" s="8">
        <f t="shared" si="51"/>
        <v>11</v>
      </c>
      <c r="D1049" s="8">
        <f t="shared" si="52"/>
        <v>49</v>
      </c>
      <c r="E1049" s="8">
        <f>IFERROR(VLOOKUP(D1049,$H$4:$I$70,2,0),"")</f>
        <v>236</v>
      </c>
      <c r="F1049" s="9">
        <f>IFERROR(VLOOKUP(C1049,$H$4:$I$70,2,0),"")</f>
        <v>619</v>
      </c>
    </row>
    <row r="1050" spans="2:6" x14ac:dyDescent="0.2">
      <c r="B1050" s="13">
        <f t="shared" si="50"/>
        <v>1047</v>
      </c>
      <c r="C1050" s="8">
        <f t="shared" si="51"/>
        <v>12</v>
      </c>
      <c r="D1050" s="8">
        <f t="shared" si="52"/>
        <v>49</v>
      </c>
      <c r="E1050" s="8">
        <f>IFERROR(VLOOKUP(D1050,$H$4:$I$70,2,0),"")</f>
        <v>236</v>
      </c>
      <c r="F1050" s="9">
        <f>IFERROR(VLOOKUP(C1050,$H$4:$I$70,2,0),"")</f>
        <v>610</v>
      </c>
    </row>
    <row r="1051" spans="2:6" x14ac:dyDescent="0.2">
      <c r="B1051" s="13">
        <f t="shared" si="50"/>
        <v>1048</v>
      </c>
      <c r="C1051" s="8">
        <f t="shared" si="51"/>
        <v>13</v>
      </c>
      <c r="D1051" s="8">
        <f t="shared" si="52"/>
        <v>49</v>
      </c>
      <c r="E1051" s="8">
        <f>IFERROR(VLOOKUP(D1051,$H$4:$I$70,2,0),"")</f>
        <v>236</v>
      </c>
      <c r="F1051" s="9">
        <f>IFERROR(VLOOKUP(C1051,$H$4:$I$70,2,0),"")</f>
        <v>599</v>
      </c>
    </row>
    <row r="1052" spans="2:6" x14ac:dyDescent="0.2">
      <c r="B1052" s="13">
        <f t="shared" si="50"/>
        <v>1049</v>
      </c>
      <c r="C1052" s="8">
        <f t="shared" si="51"/>
        <v>14</v>
      </c>
      <c r="D1052" s="8">
        <f t="shared" si="52"/>
        <v>49</v>
      </c>
      <c r="E1052" s="8">
        <f>IFERROR(VLOOKUP(D1052,$H$4:$I$70,2,0),"")</f>
        <v>236</v>
      </c>
      <c r="F1052" s="9">
        <f>IFERROR(VLOOKUP(C1052,$H$4:$I$70,2,0),"")</f>
        <v>559</v>
      </c>
    </row>
    <row r="1053" spans="2:6" x14ac:dyDescent="0.2">
      <c r="B1053" s="13">
        <f t="shared" si="50"/>
        <v>1050</v>
      </c>
      <c r="C1053" s="8">
        <f t="shared" si="51"/>
        <v>15</v>
      </c>
      <c r="D1053" s="8">
        <f t="shared" si="52"/>
        <v>49</v>
      </c>
      <c r="E1053" s="8">
        <f>IFERROR(VLOOKUP(D1053,$H$4:$I$70,2,0),"")</f>
        <v>236</v>
      </c>
      <c r="F1053" s="9">
        <f>IFERROR(VLOOKUP(C1053,$H$4:$I$70,2,0),"")</f>
        <v>556</v>
      </c>
    </row>
    <row r="1054" spans="2:6" x14ac:dyDescent="0.2">
      <c r="B1054" s="13">
        <f t="shared" si="50"/>
        <v>1051</v>
      </c>
      <c r="C1054" s="8">
        <f t="shared" si="51"/>
        <v>16</v>
      </c>
      <c r="D1054" s="8">
        <f t="shared" si="52"/>
        <v>49</v>
      </c>
      <c r="E1054" s="8">
        <f>IFERROR(VLOOKUP(D1054,$H$4:$I$70,2,0),"")</f>
        <v>236</v>
      </c>
      <c r="F1054" s="9">
        <f>IFERROR(VLOOKUP(C1054,$H$4:$I$70,2,0),"")</f>
        <v>540</v>
      </c>
    </row>
    <row r="1055" spans="2:6" x14ac:dyDescent="0.2">
      <c r="B1055" s="13">
        <f t="shared" si="50"/>
        <v>1052</v>
      </c>
      <c r="C1055" s="8">
        <f t="shared" si="51"/>
        <v>17</v>
      </c>
      <c r="D1055" s="8">
        <f t="shared" si="52"/>
        <v>49</v>
      </c>
      <c r="E1055" s="8">
        <f>IFERROR(VLOOKUP(D1055,$H$4:$I$70,2,0),"")</f>
        <v>236</v>
      </c>
      <c r="F1055" s="9">
        <f>IFERROR(VLOOKUP(C1055,$H$4:$I$70,2,0),"")</f>
        <v>536</v>
      </c>
    </row>
    <row r="1056" spans="2:6" x14ac:dyDescent="0.2">
      <c r="B1056" s="13">
        <f t="shared" si="50"/>
        <v>1053</v>
      </c>
      <c r="C1056" s="8">
        <f t="shared" si="51"/>
        <v>18</v>
      </c>
      <c r="D1056" s="8">
        <f t="shared" si="52"/>
        <v>49</v>
      </c>
      <c r="E1056" s="8">
        <f>IFERROR(VLOOKUP(D1056,$H$4:$I$70,2,0),"")</f>
        <v>236</v>
      </c>
      <c r="F1056" s="9">
        <f>IFERROR(VLOOKUP(C1056,$H$4:$I$70,2,0),"")</f>
        <v>527</v>
      </c>
    </row>
    <row r="1057" spans="2:6" x14ac:dyDescent="0.2">
      <c r="B1057" s="13">
        <f t="shared" si="50"/>
        <v>1054</v>
      </c>
      <c r="C1057" s="8">
        <f t="shared" si="51"/>
        <v>19</v>
      </c>
      <c r="D1057" s="8">
        <f t="shared" si="52"/>
        <v>49</v>
      </c>
      <c r="E1057" s="8">
        <f>IFERROR(VLOOKUP(D1057,$H$4:$I$70,2,0),"")</f>
        <v>236</v>
      </c>
      <c r="F1057" s="9">
        <f>IFERROR(VLOOKUP(C1057,$H$4:$I$70,2,0),"")</f>
        <v>478</v>
      </c>
    </row>
    <row r="1058" spans="2:6" x14ac:dyDescent="0.2">
      <c r="B1058" s="13">
        <f t="shared" si="50"/>
        <v>1055</v>
      </c>
      <c r="C1058" s="8">
        <f t="shared" si="51"/>
        <v>20</v>
      </c>
      <c r="D1058" s="8">
        <f t="shared" si="52"/>
        <v>49</v>
      </c>
      <c r="E1058" s="8">
        <f>IFERROR(VLOOKUP(D1058,$H$4:$I$70,2,0),"")</f>
        <v>236</v>
      </c>
      <c r="F1058" s="9">
        <f>IFERROR(VLOOKUP(C1058,$H$4:$I$70,2,0),"")</f>
        <v>474</v>
      </c>
    </row>
    <row r="1059" spans="2:6" x14ac:dyDescent="0.2">
      <c r="B1059" s="13">
        <f t="shared" si="50"/>
        <v>1056</v>
      </c>
      <c r="C1059" s="8">
        <f t="shared" si="51"/>
        <v>21</v>
      </c>
      <c r="D1059" s="8">
        <f t="shared" si="52"/>
        <v>49</v>
      </c>
      <c r="E1059" s="8">
        <f>IFERROR(VLOOKUP(D1059,$H$4:$I$70,2,0),"")</f>
        <v>236</v>
      </c>
      <c r="F1059" s="9">
        <f>IFERROR(VLOOKUP(C1059,$H$4:$I$70,2,0),"")</f>
        <v>468</v>
      </c>
    </row>
    <row r="1060" spans="2:6" x14ac:dyDescent="0.2">
      <c r="B1060" s="13">
        <f t="shared" si="50"/>
        <v>1057</v>
      </c>
      <c r="C1060" s="8">
        <f t="shared" si="51"/>
        <v>22</v>
      </c>
      <c r="D1060" s="8">
        <f t="shared" si="52"/>
        <v>49</v>
      </c>
      <c r="E1060" s="8">
        <f>IFERROR(VLOOKUP(D1060,$H$4:$I$70,2,0),"")</f>
        <v>236</v>
      </c>
      <c r="F1060" s="9">
        <f>IFERROR(VLOOKUP(C1060,$H$4:$I$70,2,0),"")</f>
        <v>457</v>
      </c>
    </row>
    <row r="1061" spans="2:6" x14ac:dyDescent="0.2">
      <c r="B1061" s="13">
        <f t="shared" si="50"/>
        <v>1058</v>
      </c>
      <c r="C1061" s="8">
        <f t="shared" si="51"/>
        <v>23</v>
      </c>
      <c r="D1061" s="8">
        <f t="shared" si="52"/>
        <v>49</v>
      </c>
      <c r="E1061" s="8">
        <f>IFERROR(VLOOKUP(D1061,$H$4:$I$70,2,0),"")</f>
        <v>236</v>
      </c>
      <c r="F1061" s="9">
        <f>IFERROR(VLOOKUP(C1061,$H$4:$I$70,2,0),"")</f>
        <v>452</v>
      </c>
    </row>
    <row r="1062" spans="2:6" x14ac:dyDescent="0.2">
      <c r="B1062" s="13">
        <f t="shared" si="50"/>
        <v>1059</v>
      </c>
      <c r="C1062" s="8">
        <f t="shared" si="51"/>
        <v>24</v>
      </c>
      <c r="D1062" s="8">
        <f t="shared" si="52"/>
        <v>49</v>
      </c>
      <c r="E1062" s="8">
        <f>IFERROR(VLOOKUP(D1062,$H$4:$I$70,2,0),"")</f>
        <v>236</v>
      </c>
      <c r="F1062" s="9">
        <f>IFERROR(VLOOKUP(C1062,$H$4:$I$70,2,0),"")</f>
        <v>442</v>
      </c>
    </row>
    <row r="1063" spans="2:6" x14ac:dyDescent="0.2">
      <c r="B1063" s="13">
        <f t="shared" si="50"/>
        <v>1060</v>
      </c>
      <c r="C1063" s="8">
        <f t="shared" si="51"/>
        <v>25</v>
      </c>
      <c r="D1063" s="8">
        <f t="shared" si="52"/>
        <v>49</v>
      </c>
      <c r="E1063" s="8">
        <f>IFERROR(VLOOKUP(D1063,$H$4:$I$70,2,0),"")</f>
        <v>236</v>
      </c>
      <c r="F1063" s="9">
        <f>IFERROR(VLOOKUP(C1063,$H$4:$I$70,2,0),"")</f>
        <v>420</v>
      </c>
    </row>
    <row r="1064" spans="2:6" x14ac:dyDescent="0.2">
      <c r="B1064" s="13">
        <f t="shared" si="50"/>
        <v>1061</v>
      </c>
      <c r="C1064" s="8">
        <f t="shared" si="51"/>
        <v>26</v>
      </c>
      <c r="D1064" s="8">
        <f t="shared" si="52"/>
        <v>49</v>
      </c>
      <c r="E1064" s="8">
        <f>IFERROR(VLOOKUP(D1064,$H$4:$I$70,2,0),"")</f>
        <v>236</v>
      </c>
      <c r="F1064" s="9">
        <f>IFERROR(VLOOKUP(C1064,$H$4:$I$70,2,0),"")</f>
        <v>410</v>
      </c>
    </row>
    <row r="1065" spans="2:6" x14ac:dyDescent="0.2">
      <c r="B1065" s="13">
        <f t="shared" si="50"/>
        <v>1062</v>
      </c>
      <c r="C1065" s="8">
        <f t="shared" si="51"/>
        <v>27</v>
      </c>
      <c r="D1065" s="8">
        <f t="shared" si="52"/>
        <v>49</v>
      </c>
      <c r="E1065" s="8">
        <f>IFERROR(VLOOKUP(D1065,$H$4:$I$70,2,0),"")</f>
        <v>236</v>
      </c>
      <c r="F1065" s="9">
        <f>IFERROR(VLOOKUP(C1065,$H$4:$I$70,2,0),"")</f>
        <v>409</v>
      </c>
    </row>
    <row r="1066" spans="2:6" x14ac:dyDescent="0.2">
      <c r="B1066" s="13">
        <f t="shared" si="50"/>
        <v>1063</v>
      </c>
      <c r="C1066" s="8">
        <f t="shared" si="51"/>
        <v>28</v>
      </c>
      <c r="D1066" s="8">
        <f t="shared" si="52"/>
        <v>49</v>
      </c>
      <c r="E1066" s="8">
        <f>IFERROR(VLOOKUP(D1066,$H$4:$I$70,2,0),"")</f>
        <v>236</v>
      </c>
      <c r="F1066" s="9">
        <f>IFERROR(VLOOKUP(C1066,$H$4:$I$70,2,0),"")</f>
        <v>408</v>
      </c>
    </row>
    <row r="1067" spans="2:6" x14ac:dyDescent="0.2">
      <c r="B1067" s="13">
        <f t="shared" si="50"/>
        <v>1064</v>
      </c>
      <c r="C1067" s="8">
        <f t="shared" si="51"/>
        <v>29</v>
      </c>
      <c r="D1067" s="8">
        <f t="shared" si="52"/>
        <v>49</v>
      </c>
      <c r="E1067" s="8">
        <f>IFERROR(VLOOKUP(D1067,$H$4:$I$70,2,0),"")</f>
        <v>236</v>
      </c>
      <c r="F1067" s="9">
        <f>IFERROR(VLOOKUP(C1067,$H$4:$I$70,2,0),"")</f>
        <v>404</v>
      </c>
    </row>
    <row r="1068" spans="2:6" x14ac:dyDescent="0.2">
      <c r="B1068" s="13">
        <f t="shared" si="50"/>
        <v>1065</v>
      </c>
      <c r="C1068" s="8">
        <f t="shared" si="51"/>
        <v>30</v>
      </c>
      <c r="D1068" s="8">
        <f t="shared" si="52"/>
        <v>49</v>
      </c>
      <c r="E1068" s="8">
        <f>IFERROR(VLOOKUP(D1068,$H$4:$I$70,2,0),"")</f>
        <v>236</v>
      </c>
      <c r="F1068" s="9">
        <f>IFERROR(VLOOKUP(C1068,$H$4:$I$70,2,0),"")</f>
        <v>399</v>
      </c>
    </row>
    <row r="1069" spans="2:6" x14ac:dyDescent="0.2">
      <c r="B1069" s="13">
        <f t="shared" si="50"/>
        <v>1066</v>
      </c>
      <c r="C1069" s="8">
        <f t="shared" si="51"/>
        <v>31</v>
      </c>
      <c r="D1069" s="8">
        <f t="shared" si="52"/>
        <v>49</v>
      </c>
      <c r="E1069" s="8">
        <f>IFERROR(VLOOKUP(D1069,$H$4:$I$70,2,0),"")</f>
        <v>236</v>
      </c>
      <c r="F1069" s="9">
        <f>IFERROR(VLOOKUP(C1069,$H$4:$I$70,2,0),"")</f>
        <v>396</v>
      </c>
    </row>
    <row r="1070" spans="2:6" x14ac:dyDescent="0.2">
      <c r="B1070" s="13">
        <f t="shared" si="50"/>
        <v>1067</v>
      </c>
      <c r="C1070" s="8">
        <f t="shared" si="51"/>
        <v>32</v>
      </c>
      <c r="D1070" s="8">
        <f t="shared" si="52"/>
        <v>49</v>
      </c>
      <c r="E1070" s="8">
        <f>IFERROR(VLOOKUP(D1070,$H$4:$I$70,2,0),"")</f>
        <v>236</v>
      </c>
      <c r="F1070" s="9">
        <f>IFERROR(VLOOKUP(C1070,$H$4:$I$70,2,0),"")</f>
        <v>384</v>
      </c>
    </row>
    <row r="1071" spans="2:6" x14ac:dyDescent="0.2">
      <c r="B1071" s="13">
        <f t="shared" si="50"/>
        <v>1068</v>
      </c>
      <c r="C1071" s="8">
        <f t="shared" si="51"/>
        <v>33</v>
      </c>
      <c r="D1071" s="8">
        <f t="shared" si="52"/>
        <v>49</v>
      </c>
      <c r="E1071" s="8">
        <f>IFERROR(VLOOKUP(D1071,$H$4:$I$70,2,0),"")</f>
        <v>236</v>
      </c>
      <c r="F1071" s="9">
        <f>IFERROR(VLOOKUP(C1071,$H$4:$I$70,2,0),"")</f>
        <v>381</v>
      </c>
    </row>
    <row r="1072" spans="2:6" x14ac:dyDescent="0.2">
      <c r="B1072" s="13">
        <f t="shared" si="50"/>
        <v>1069</v>
      </c>
      <c r="C1072" s="8">
        <f t="shared" si="51"/>
        <v>34</v>
      </c>
      <c r="D1072" s="8">
        <f t="shared" si="52"/>
        <v>49</v>
      </c>
      <c r="E1072" s="8">
        <f>IFERROR(VLOOKUP(D1072,$H$4:$I$70,2,0),"")</f>
        <v>236</v>
      </c>
      <c r="F1072" s="9">
        <f>IFERROR(VLOOKUP(C1072,$H$4:$I$70,2,0),"")</f>
        <v>376</v>
      </c>
    </row>
    <row r="1073" spans="2:6" x14ac:dyDescent="0.2">
      <c r="B1073" s="13">
        <f t="shared" si="50"/>
        <v>1070</v>
      </c>
      <c r="C1073" s="8">
        <f t="shared" si="51"/>
        <v>35</v>
      </c>
      <c r="D1073" s="8">
        <f t="shared" si="52"/>
        <v>49</v>
      </c>
      <c r="E1073" s="8">
        <f>IFERROR(VLOOKUP(D1073,$H$4:$I$70,2,0),"")</f>
        <v>236</v>
      </c>
      <c r="F1073" s="9">
        <f>IFERROR(VLOOKUP(C1073,$H$4:$I$70,2,0),"")</f>
        <v>370</v>
      </c>
    </row>
    <row r="1074" spans="2:6" x14ac:dyDescent="0.2">
      <c r="B1074" s="13">
        <f t="shared" si="50"/>
        <v>1071</v>
      </c>
      <c r="C1074" s="8">
        <f t="shared" si="51"/>
        <v>36</v>
      </c>
      <c r="D1074" s="8">
        <f t="shared" si="52"/>
        <v>49</v>
      </c>
      <c r="E1074" s="8">
        <f>IFERROR(VLOOKUP(D1074,$H$4:$I$70,2,0),"")</f>
        <v>236</v>
      </c>
      <c r="F1074" s="9">
        <f>IFERROR(VLOOKUP(C1074,$H$4:$I$70,2,0),"")</f>
        <v>362</v>
      </c>
    </row>
    <row r="1075" spans="2:6" x14ac:dyDescent="0.2">
      <c r="B1075" s="13">
        <f t="shared" si="50"/>
        <v>1072</v>
      </c>
      <c r="C1075" s="8">
        <f t="shared" si="51"/>
        <v>37</v>
      </c>
      <c r="D1075" s="8">
        <f t="shared" si="52"/>
        <v>49</v>
      </c>
      <c r="E1075" s="8">
        <f>IFERROR(VLOOKUP(D1075,$H$4:$I$70,2,0),"")</f>
        <v>236</v>
      </c>
      <c r="F1075" s="9">
        <f>IFERROR(VLOOKUP(C1075,$H$4:$I$70,2,0),"")</f>
        <v>357</v>
      </c>
    </row>
    <row r="1076" spans="2:6" x14ac:dyDescent="0.2">
      <c r="B1076" s="13">
        <f t="shared" si="50"/>
        <v>1073</v>
      </c>
      <c r="C1076" s="8">
        <f t="shared" si="51"/>
        <v>38</v>
      </c>
      <c r="D1076" s="8">
        <f t="shared" si="52"/>
        <v>49</v>
      </c>
      <c r="E1076" s="8">
        <f>IFERROR(VLOOKUP(D1076,$H$4:$I$70,2,0),"")</f>
        <v>236</v>
      </c>
      <c r="F1076" s="9">
        <f>IFERROR(VLOOKUP(C1076,$H$4:$I$70,2,0),"")</f>
        <v>351</v>
      </c>
    </row>
    <row r="1077" spans="2:6" x14ac:dyDescent="0.2">
      <c r="B1077" s="13">
        <f t="shared" si="50"/>
        <v>1074</v>
      </c>
      <c r="C1077" s="8">
        <f t="shared" si="51"/>
        <v>39</v>
      </c>
      <c r="D1077" s="8">
        <f t="shared" si="52"/>
        <v>49</v>
      </c>
      <c r="E1077" s="8">
        <f>IFERROR(VLOOKUP(D1077,$H$4:$I$70,2,0),"")</f>
        <v>236</v>
      </c>
      <c r="F1077" s="9">
        <f>IFERROR(VLOOKUP(C1077,$H$4:$I$70,2,0),"")</f>
        <v>339</v>
      </c>
    </row>
    <row r="1078" spans="2:6" x14ac:dyDescent="0.2">
      <c r="B1078" s="13">
        <f t="shared" si="50"/>
        <v>1075</v>
      </c>
      <c r="C1078" s="8">
        <f t="shared" si="51"/>
        <v>40</v>
      </c>
      <c r="D1078" s="8">
        <f t="shared" si="52"/>
        <v>49</v>
      </c>
      <c r="E1078" s="8">
        <f>IFERROR(VLOOKUP(D1078,$H$4:$I$70,2,0),"")</f>
        <v>236</v>
      </c>
      <c r="F1078" s="9">
        <f>IFERROR(VLOOKUP(C1078,$H$4:$I$70,2,0),"")</f>
        <v>304</v>
      </c>
    </row>
    <row r="1079" spans="2:6" x14ac:dyDescent="0.2">
      <c r="B1079" s="13">
        <f t="shared" si="50"/>
        <v>1076</v>
      </c>
      <c r="C1079" s="8">
        <f t="shared" si="51"/>
        <v>41</v>
      </c>
      <c r="D1079" s="8">
        <f t="shared" si="52"/>
        <v>49</v>
      </c>
      <c r="E1079" s="8">
        <f>IFERROR(VLOOKUP(D1079,$H$4:$I$70,2,0),"")</f>
        <v>236</v>
      </c>
      <c r="F1079" s="9">
        <f>IFERROR(VLOOKUP(C1079,$H$4:$I$70,2,0),"")</f>
        <v>301</v>
      </c>
    </row>
    <row r="1080" spans="2:6" x14ac:dyDescent="0.2">
      <c r="B1080" s="13">
        <f t="shared" si="50"/>
        <v>1077</v>
      </c>
      <c r="C1080" s="8">
        <f t="shared" si="51"/>
        <v>42</v>
      </c>
      <c r="D1080" s="8">
        <f t="shared" si="52"/>
        <v>49</v>
      </c>
      <c r="E1080" s="8">
        <f>IFERROR(VLOOKUP(D1080,$H$4:$I$70,2,0),"")</f>
        <v>236</v>
      </c>
      <c r="F1080" s="9">
        <f>IFERROR(VLOOKUP(C1080,$H$4:$I$70,2,0),"")</f>
        <v>300</v>
      </c>
    </row>
    <row r="1081" spans="2:6" x14ac:dyDescent="0.2">
      <c r="B1081" s="13">
        <f t="shared" si="50"/>
        <v>1078</v>
      </c>
      <c r="C1081" s="8">
        <f t="shared" si="51"/>
        <v>43</v>
      </c>
      <c r="D1081" s="8">
        <f t="shared" si="52"/>
        <v>49</v>
      </c>
      <c r="E1081" s="8">
        <f>IFERROR(VLOOKUP(D1081,$H$4:$I$70,2,0),"")</f>
        <v>236</v>
      </c>
      <c r="F1081" s="9">
        <f>IFERROR(VLOOKUP(C1081,$H$4:$I$70,2,0),"")</f>
        <v>288</v>
      </c>
    </row>
    <row r="1082" spans="2:6" x14ac:dyDescent="0.2">
      <c r="B1082" s="13">
        <f t="shared" si="50"/>
        <v>1079</v>
      </c>
      <c r="C1082" s="8">
        <f t="shared" si="51"/>
        <v>44</v>
      </c>
      <c r="D1082" s="8">
        <f t="shared" si="52"/>
        <v>49</v>
      </c>
      <c r="E1082" s="8">
        <f>IFERROR(VLOOKUP(D1082,$H$4:$I$70,2,0),"")</f>
        <v>236</v>
      </c>
      <c r="F1082" s="9">
        <f>IFERROR(VLOOKUP(C1082,$H$4:$I$70,2,0),"")</f>
        <v>273</v>
      </c>
    </row>
    <row r="1083" spans="2:6" x14ac:dyDescent="0.2">
      <c r="B1083" s="13">
        <f t="shared" si="50"/>
        <v>1080</v>
      </c>
      <c r="C1083" s="8">
        <f t="shared" si="51"/>
        <v>45</v>
      </c>
      <c r="D1083" s="8">
        <f t="shared" si="52"/>
        <v>49</v>
      </c>
      <c r="E1083" s="8">
        <f>IFERROR(VLOOKUP(D1083,$H$4:$I$70,2,0),"")</f>
        <v>236</v>
      </c>
      <c r="F1083" s="9">
        <f>IFERROR(VLOOKUP(C1083,$H$4:$I$70,2,0),"")</f>
        <v>268</v>
      </c>
    </row>
    <row r="1084" spans="2:6" x14ac:dyDescent="0.2">
      <c r="B1084" s="13">
        <f t="shared" si="50"/>
        <v>1081</v>
      </c>
      <c r="C1084" s="8">
        <f t="shared" si="51"/>
        <v>46</v>
      </c>
      <c r="D1084" s="8">
        <f t="shared" si="52"/>
        <v>49</v>
      </c>
      <c r="E1084" s="8">
        <f>IFERROR(VLOOKUP(D1084,$H$4:$I$70,2,0),"")</f>
        <v>236</v>
      </c>
      <c r="F1084" s="9">
        <f>IFERROR(VLOOKUP(C1084,$H$4:$I$70,2,0),"")</f>
        <v>262</v>
      </c>
    </row>
    <row r="1085" spans="2:6" x14ac:dyDescent="0.2">
      <c r="B1085" s="13">
        <f t="shared" si="50"/>
        <v>1082</v>
      </c>
      <c r="C1085" s="8">
        <f t="shared" si="51"/>
        <v>47</v>
      </c>
      <c r="D1085" s="8">
        <f t="shared" si="52"/>
        <v>49</v>
      </c>
      <c r="E1085" s="8">
        <f>IFERROR(VLOOKUP(D1085,$H$4:$I$70,2,0),"")</f>
        <v>236</v>
      </c>
      <c r="F1085" s="9">
        <f>IFERROR(VLOOKUP(C1085,$H$4:$I$70,2,0),"")</f>
        <v>248</v>
      </c>
    </row>
    <row r="1086" spans="2:6" x14ac:dyDescent="0.2">
      <c r="B1086" s="13">
        <f t="shared" si="50"/>
        <v>1083</v>
      </c>
      <c r="C1086" s="8">
        <f t="shared" si="51"/>
        <v>48</v>
      </c>
      <c r="D1086" s="8">
        <f t="shared" si="52"/>
        <v>49</v>
      </c>
      <c r="E1086" s="8">
        <f>IFERROR(VLOOKUP(D1086,$H$4:$I$70,2,0),"")</f>
        <v>236</v>
      </c>
      <c r="F1086" s="9">
        <f>IFERROR(VLOOKUP(C1086,$H$4:$I$70,2,0),"")</f>
        <v>246</v>
      </c>
    </row>
    <row r="1087" spans="2:6" x14ac:dyDescent="0.2">
      <c r="B1087" s="13">
        <f t="shared" si="50"/>
        <v>1084</v>
      </c>
      <c r="C1087" s="8">
        <f t="shared" si="51"/>
        <v>1</v>
      </c>
      <c r="D1087" s="8">
        <f t="shared" si="52"/>
        <v>48</v>
      </c>
      <c r="E1087" s="8">
        <f>IFERROR(VLOOKUP(D1087,$H$4:$I$70,2,0),"")</f>
        <v>246</v>
      </c>
      <c r="F1087" s="9">
        <f>IFERROR(VLOOKUP(C1087,$H$4:$I$70,2,0),"")</f>
        <v>1344</v>
      </c>
    </row>
    <row r="1088" spans="2:6" x14ac:dyDescent="0.2">
      <c r="B1088" s="13">
        <f t="shared" si="50"/>
        <v>1085</v>
      </c>
      <c r="C1088" s="8">
        <f t="shared" si="51"/>
        <v>2</v>
      </c>
      <c r="D1088" s="8">
        <f t="shared" si="52"/>
        <v>48</v>
      </c>
      <c r="E1088" s="8">
        <f>IFERROR(VLOOKUP(D1088,$H$4:$I$70,2,0),"")</f>
        <v>246</v>
      </c>
      <c r="F1088" s="9">
        <f>IFERROR(VLOOKUP(C1088,$H$4:$I$70,2,0),"")</f>
        <v>1048</v>
      </c>
    </row>
    <row r="1089" spans="2:6" x14ac:dyDescent="0.2">
      <c r="B1089" s="13">
        <f t="shared" si="50"/>
        <v>1086</v>
      </c>
      <c r="C1089" s="8">
        <f t="shared" si="51"/>
        <v>3</v>
      </c>
      <c r="D1089" s="8">
        <f t="shared" si="52"/>
        <v>48</v>
      </c>
      <c r="E1089" s="8">
        <f>IFERROR(VLOOKUP(D1089,$H$4:$I$70,2,0),"")</f>
        <v>246</v>
      </c>
      <c r="F1089" s="9">
        <f>IFERROR(VLOOKUP(C1089,$H$4:$I$70,2,0),"")</f>
        <v>1025</v>
      </c>
    </row>
    <row r="1090" spans="2:6" x14ac:dyDescent="0.2">
      <c r="B1090" s="13">
        <f t="shared" si="50"/>
        <v>1087</v>
      </c>
      <c r="C1090" s="8">
        <f t="shared" si="51"/>
        <v>4</v>
      </c>
      <c r="D1090" s="8">
        <f t="shared" si="52"/>
        <v>48</v>
      </c>
      <c r="E1090" s="8">
        <f>IFERROR(VLOOKUP(D1090,$H$4:$I$70,2,0),"")</f>
        <v>246</v>
      </c>
      <c r="F1090" s="9">
        <f>IFERROR(VLOOKUP(C1090,$H$4:$I$70,2,0),"")</f>
        <v>805</v>
      </c>
    </row>
    <row r="1091" spans="2:6" x14ac:dyDescent="0.2">
      <c r="B1091" s="13">
        <f t="shared" si="50"/>
        <v>1088</v>
      </c>
      <c r="C1091" s="8">
        <f t="shared" si="51"/>
        <v>5</v>
      </c>
      <c r="D1091" s="8">
        <f t="shared" si="52"/>
        <v>48</v>
      </c>
      <c r="E1091" s="8">
        <f>IFERROR(VLOOKUP(D1091,$H$4:$I$70,2,0),"")</f>
        <v>246</v>
      </c>
      <c r="F1091" s="9">
        <f>IFERROR(VLOOKUP(C1091,$H$4:$I$70,2,0),"")</f>
        <v>666</v>
      </c>
    </row>
    <row r="1092" spans="2:6" x14ac:dyDescent="0.2">
      <c r="B1092" s="13">
        <f t="shared" si="50"/>
        <v>1089</v>
      </c>
      <c r="C1092" s="8">
        <f t="shared" si="51"/>
        <v>6</v>
      </c>
      <c r="D1092" s="8">
        <f t="shared" si="52"/>
        <v>48</v>
      </c>
      <c r="E1092" s="8">
        <f>IFERROR(VLOOKUP(D1092,$H$4:$I$70,2,0),"")</f>
        <v>246</v>
      </c>
      <c r="F1092" s="9">
        <f>IFERROR(VLOOKUP(C1092,$H$4:$I$70,2,0),"")</f>
        <v>655</v>
      </c>
    </row>
    <row r="1093" spans="2:6" x14ac:dyDescent="0.2">
      <c r="B1093" s="13">
        <f t="shared" ref="B1093:B1156" si="53">ROW()-3</f>
        <v>1090</v>
      </c>
      <c r="C1093" s="8">
        <f t="shared" si="51"/>
        <v>7</v>
      </c>
      <c r="D1093" s="8">
        <f t="shared" si="52"/>
        <v>48</v>
      </c>
      <c r="E1093" s="8">
        <f>IFERROR(VLOOKUP(D1093,$H$4:$I$70,2,0),"")</f>
        <v>246</v>
      </c>
      <c r="F1093" s="9">
        <f>IFERROR(VLOOKUP(C1093,$H$4:$I$70,2,0),"")</f>
        <v>652</v>
      </c>
    </row>
    <row r="1094" spans="2:6" x14ac:dyDescent="0.2">
      <c r="B1094" s="13">
        <f t="shared" si="53"/>
        <v>1091</v>
      </c>
      <c r="C1094" s="8">
        <f t="shared" ref="C1094:C1157" si="54">IF((D1093-C1093)=1,1,C1093+1)</f>
        <v>8</v>
      </c>
      <c r="D1094" s="8">
        <f t="shared" ref="D1094:D1157" si="55">IF((D1093-C1093)=1,D1093-1,D1093)</f>
        <v>48</v>
      </c>
      <c r="E1094" s="8">
        <f>IFERROR(VLOOKUP(D1094,$H$4:$I$70,2,0),"")</f>
        <v>246</v>
      </c>
      <c r="F1094" s="9">
        <f>IFERROR(VLOOKUP(C1094,$H$4:$I$70,2,0),"")</f>
        <v>633</v>
      </c>
    </row>
    <row r="1095" spans="2:6" x14ac:dyDescent="0.2">
      <c r="B1095" s="13">
        <f t="shared" si="53"/>
        <v>1092</v>
      </c>
      <c r="C1095" s="8">
        <f t="shared" si="54"/>
        <v>9</v>
      </c>
      <c r="D1095" s="8">
        <f t="shared" si="55"/>
        <v>48</v>
      </c>
      <c r="E1095" s="8">
        <f>IFERROR(VLOOKUP(D1095,$H$4:$I$70,2,0),"")</f>
        <v>246</v>
      </c>
      <c r="F1095" s="9">
        <f>IFERROR(VLOOKUP(C1095,$H$4:$I$70,2,0),"")</f>
        <v>632</v>
      </c>
    </row>
    <row r="1096" spans="2:6" x14ac:dyDescent="0.2">
      <c r="B1096" s="13">
        <f t="shared" si="53"/>
        <v>1093</v>
      </c>
      <c r="C1096" s="8">
        <f t="shared" si="54"/>
        <v>10</v>
      </c>
      <c r="D1096" s="8">
        <f t="shared" si="55"/>
        <v>48</v>
      </c>
      <c r="E1096" s="8">
        <f>IFERROR(VLOOKUP(D1096,$H$4:$I$70,2,0),"")</f>
        <v>246</v>
      </c>
      <c r="F1096" s="9">
        <f>IFERROR(VLOOKUP(C1096,$H$4:$I$70,2,0),"")</f>
        <v>625</v>
      </c>
    </row>
    <row r="1097" spans="2:6" x14ac:dyDescent="0.2">
      <c r="B1097" s="13">
        <f t="shared" si="53"/>
        <v>1094</v>
      </c>
      <c r="C1097" s="8">
        <f t="shared" si="54"/>
        <v>11</v>
      </c>
      <c r="D1097" s="8">
        <f t="shared" si="55"/>
        <v>48</v>
      </c>
      <c r="E1097" s="8">
        <f>IFERROR(VLOOKUP(D1097,$H$4:$I$70,2,0),"")</f>
        <v>246</v>
      </c>
      <c r="F1097" s="9">
        <f>IFERROR(VLOOKUP(C1097,$H$4:$I$70,2,0),"")</f>
        <v>619</v>
      </c>
    </row>
    <row r="1098" spans="2:6" x14ac:dyDescent="0.2">
      <c r="B1098" s="13">
        <f t="shared" si="53"/>
        <v>1095</v>
      </c>
      <c r="C1098" s="8">
        <f t="shared" si="54"/>
        <v>12</v>
      </c>
      <c r="D1098" s="8">
        <f t="shared" si="55"/>
        <v>48</v>
      </c>
      <c r="E1098" s="8">
        <f>IFERROR(VLOOKUP(D1098,$H$4:$I$70,2,0),"")</f>
        <v>246</v>
      </c>
      <c r="F1098" s="9">
        <f>IFERROR(VLOOKUP(C1098,$H$4:$I$70,2,0),"")</f>
        <v>610</v>
      </c>
    </row>
    <row r="1099" spans="2:6" x14ac:dyDescent="0.2">
      <c r="B1099" s="13">
        <f t="shared" si="53"/>
        <v>1096</v>
      </c>
      <c r="C1099" s="8">
        <f t="shared" si="54"/>
        <v>13</v>
      </c>
      <c r="D1099" s="8">
        <f t="shared" si="55"/>
        <v>48</v>
      </c>
      <c r="E1099" s="8">
        <f>IFERROR(VLOOKUP(D1099,$H$4:$I$70,2,0),"")</f>
        <v>246</v>
      </c>
      <c r="F1099" s="9">
        <f>IFERROR(VLOOKUP(C1099,$H$4:$I$70,2,0),"")</f>
        <v>599</v>
      </c>
    </row>
    <row r="1100" spans="2:6" x14ac:dyDescent="0.2">
      <c r="B1100" s="13">
        <f t="shared" si="53"/>
        <v>1097</v>
      </c>
      <c r="C1100" s="8">
        <f t="shared" si="54"/>
        <v>14</v>
      </c>
      <c r="D1100" s="8">
        <f t="shared" si="55"/>
        <v>48</v>
      </c>
      <c r="E1100" s="8">
        <f>IFERROR(VLOOKUP(D1100,$H$4:$I$70,2,0),"")</f>
        <v>246</v>
      </c>
      <c r="F1100" s="9">
        <f>IFERROR(VLOOKUP(C1100,$H$4:$I$70,2,0),"")</f>
        <v>559</v>
      </c>
    </row>
    <row r="1101" spans="2:6" x14ac:dyDescent="0.2">
      <c r="B1101" s="13">
        <f t="shared" si="53"/>
        <v>1098</v>
      </c>
      <c r="C1101" s="8">
        <f t="shared" si="54"/>
        <v>15</v>
      </c>
      <c r="D1101" s="8">
        <f t="shared" si="55"/>
        <v>48</v>
      </c>
      <c r="E1101" s="8">
        <f>IFERROR(VLOOKUP(D1101,$H$4:$I$70,2,0),"")</f>
        <v>246</v>
      </c>
      <c r="F1101" s="9">
        <f>IFERROR(VLOOKUP(C1101,$H$4:$I$70,2,0),"")</f>
        <v>556</v>
      </c>
    </row>
    <row r="1102" spans="2:6" x14ac:dyDescent="0.2">
      <c r="B1102" s="13">
        <f t="shared" si="53"/>
        <v>1099</v>
      </c>
      <c r="C1102" s="8">
        <f t="shared" si="54"/>
        <v>16</v>
      </c>
      <c r="D1102" s="8">
        <f t="shared" si="55"/>
        <v>48</v>
      </c>
      <c r="E1102" s="8">
        <f>IFERROR(VLOOKUP(D1102,$H$4:$I$70,2,0),"")</f>
        <v>246</v>
      </c>
      <c r="F1102" s="9">
        <f>IFERROR(VLOOKUP(C1102,$H$4:$I$70,2,0),"")</f>
        <v>540</v>
      </c>
    </row>
    <row r="1103" spans="2:6" x14ac:dyDescent="0.2">
      <c r="B1103" s="13">
        <f t="shared" si="53"/>
        <v>1100</v>
      </c>
      <c r="C1103" s="8">
        <f t="shared" si="54"/>
        <v>17</v>
      </c>
      <c r="D1103" s="8">
        <f t="shared" si="55"/>
        <v>48</v>
      </c>
      <c r="E1103" s="8">
        <f>IFERROR(VLOOKUP(D1103,$H$4:$I$70,2,0),"")</f>
        <v>246</v>
      </c>
      <c r="F1103" s="9">
        <f>IFERROR(VLOOKUP(C1103,$H$4:$I$70,2,0),"")</f>
        <v>536</v>
      </c>
    </row>
    <row r="1104" spans="2:6" x14ac:dyDescent="0.2">
      <c r="B1104" s="13">
        <f t="shared" si="53"/>
        <v>1101</v>
      </c>
      <c r="C1104" s="8">
        <f t="shared" si="54"/>
        <v>18</v>
      </c>
      <c r="D1104" s="8">
        <f t="shared" si="55"/>
        <v>48</v>
      </c>
      <c r="E1104" s="8">
        <f>IFERROR(VLOOKUP(D1104,$H$4:$I$70,2,0),"")</f>
        <v>246</v>
      </c>
      <c r="F1104" s="9">
        <f>IFERROR(VLOOKUP(C1104,$H$4:$I$70,2,0),"")</f>
        <v>527</v>
      </c>
    </row>
    <row r="1105" spans="2:6" x14ac:dyDescent="0.2">
      <c r="B1105" s="13">
        <f t="shared" si="53"/>
        <v>1102</v>
      </c>
      <c r="C1105" s="8">
        <f t="shared" si="54"/>
        <v>19</v>
      </c>
      <c r="D1105" s="8">
        <f t="shared" si="55"/>
        <v>48</v>
      </c>
      <c r="E1105" s="8">
        <f>IFERROR(VLOOKUP(D1105,$H$4:$I$70,2,0),"")</f>
        <v>246</v>
      </c>
      <c r="F1105" s="9">
        <f>IFERROR(VLOOKUP(C1105,$H$4:$I$70,2,0),"")</f>
        <v>478</v>
      </c>
    </row>
    <row r="1106" spans="2:6" x14ac:dyDescent="0.2">
      <c r="B1106" s="13">
        <f t="shared" si="53"/>
        <v>1103</v>
      </c>
      <c r="C1106" s="8">
        <f t="shared" si="54"/>
        <v>20</v>
      </c>
      <c r="D1106" s="8">
        <f t="shared" si="55"/>
        <v>48</v>
      </c>
      <c r="E1106" s="8">
        <f>IFERROR(VLOOKUP(D1106,$H$4:$I$70,2,0),"")</f>
        <v>246</v>
      </c>
      <c r="F1106" s="9">
        <f>IFERROR(VLOOKUP(C1106,$H$4:$I$70,2,0),"")</f>
        <v>474</v>
      </c>
    </row>
    <row r="1107" spans="2:6" x14ac:dyDescent="0.2">
      <c r="B1107" s="13">
        <f t="shared" si="53"/>
        <v>1104</v>
      </c>
      <c r="C1107" s="8">
        <f t="shared" si="54"/>
        <v>21</v>
      </c>
      <c r="D1107" s="8">
        <f t="shared" si="55"/>
        <v>48</v>
      </c>
      <c r="E1107" s="8">
        <f>IFERROR(VLOOKUP(D1107,$H$4:$I$70,2,0),"")</f>
        <v>246</v>
      </c>
      <c r="F1107" s="9">
        <f>IFERROR(VLOOKUP(C1107,$H$4:$I$70,2,0),"")</f>
        <v>468</v>
      </c>
    </row>
    <row r="1108" spans="2:6" x14ac:dyDescent="0.2">
      <c r="B1108" s="13">
        <f t="shared" si="53"/>
        <v>1105</v>
      </c>
      <c r="C1108" s="8">
        <f t="shared" si="54"/>
        <v>22</v>
      </c>
      <c r="D1108" s="8">
        <f t="shared" si="55"/>
        <v>48</v>
      </c>
      <c r="E1108" s="8">
        <f>IFERROR(VLOOKUP(D1108,$H$4:$I$70,2,0),"")</f>
        <v>246</v>
      </c>
      <c r="F1108" s="9">
        <f>IFERROR(VLOOKUP(C1108,$H$4:$I$70,2,0),"")</f>
        <v>457</v>
      </c>
    </row>
    <row r="1109" spans="2:6" x14ac:dyDescent="0.2">
      <c r="B1109" s="13">
        <f t="shared" si="53"/>
        <v>1106</v>
      </c>
      <c r="C1109" s="8">
        <f t="shared" si="54"/>
        <v>23</v>
      </c>
      <c r="D1109" s="8">
        <f t="shared" si="55"/>
        <v>48</v>
      </c>
      <c r="E1109" s="8">
        <f>IFERROR(VLOOKUP(D1109,$H$4:$I$70,2,0),"")</f>
        <v>246</v>
      </c>
      <c r="F1109" s="9">
        <f>IFERROR(VLOOKUP(C1109,$H$4:$I$70,2,0),"")</f>
        <v>452</v>
      </c>
    </row>
    <row r="1110" spans="2:6" x14ac:dyDescent="0.2">
      <c r="B1110" s="13">
        <f t="shared" si="53"/>
        <v>1107</v>
      </c>
      <c r="C1110" s="8">
        <f t="shared" si="54"/>
        <v>24</v>
      </c>
      <c r="D1110" s="8">
        <f t="shared" si="55"/>
        <v>48</v>
      </c>
      <c r="E1110" s="8">
        <f>IFERROR(VLOOKUP(D1110,$H$4:$I$70,2,0),"")</f>
        <v>246</v>
      </c>
      <c r="F1110" s="9">
        <f>IFERROR(VLOOKUP(C1110,$H$4:$I$70,2,0),"")</f>
        <v>442</v>
      </c>
    </row>
    <row r="1111" spans="2:6" x14ac:dyDescent="0.2">
      <c r="B1111" s="13">
        <f t="shared" si="53"/>
        <v>1108</v>
      </c>
      <c r="C1111" s="8">
        <f t="shared" si="54"/>
        <v>25</v>
      </c>
      <c r="D1111" s="8">
        <f t="shared" si="55"/>
        <v>48</v>
      </c>
      <c r="E1111" s="8">
        <f>IFERROR(VLOOKUP(D1111,$H$4:$I$70,2,0),"")</f>
        <v>246</v>
      </c>
      <c r="F1111" s="9">
        <f>IFERROR(VLOOKUP(C1111,$H$4:$I$70,2,0),"")</f>
        <v>420</v>
      </c>
    </row>
    <row r="1112" spans="2:6" x14ac:dyDescent="0.2">
      <c r="B1112" s="13">
        <f t="shared" si="53"/>
        <v>1109</v>
      </c>
      <c r="C1112" s="8">
        <f t="shared" si="54"/>
        <v>26</v>
      </c>
      <c r="D1112" s="8">
        <f t="shared" si="55"/>
        <v>48</v>
      </c>
      <c r="E1112" s="8">
        <f>IFERROR(VLOOKUP(D1112,$H$4:$I$70,2,0),"")</f>
        <v>246</v>
      </c>
      <c r="F1112" s="9">
        <f>IFERROR(VLOOKUP(C1112,$H$4:$I$70,2,0),"")</f>
        <v>410</v>
      </c>
    </row>
    <row r="1113" spans="2:6" x14ac:dyDescent="0.2">
      <c r="B1113" s="13">
        <f t="shared" si="53"/>
        <v>1110</v>
      </c>
      <c r="C1113" s="8">
        <f t="shared" si="54"/>
        <v>27</v>
      </c>
      <c r="D1113" s="8">
        <f t="shared" si="55"/>
        <v>48</v>
      </c>
      <c r="E1113" s="8">
        <f>IFERROR(VLOOKUP(D1113,$H$4:$I$70,2,0),"")</f>
        <v>246</v>
      </c>
      <c r="F1113" s="9">
        <f>IFERROR(VLOOKUP(C1113,$H$4:$I$70,2,0),"")</f>
        <v>409</v>
      </c>
    </row>
    <row r="1114" spans="2:6" x14ac:dyDescent="0.2">
      <c r="B1114" s="13">
        <f t="shared" si="53"/>
        <v>1111</v>
      </c>
      <c r="C1114" s="8">
        <f t="shared" si="54"/>
        <v>28</v>
      </c>
      <c r="D1114" s="8">
        <f t="shared" si="55"/>
        <v>48</v>
      </c>
      <c r="E1114" s="8">
        <f>IFERROR(VLOOKUP(D1114,$H$4:$I$70,2,0),"")</f>
        <v>246</v>
      </c>
      <c r="F1114" s="9">
        <f>IFERROR(VLOOKUP(C1114,$H$4:$I$70,2,0),"")</f>
        <v>408</v>
      </c>
    </row>
    <row r="1115" spans="2:6" x14ac:dyDescent="0.2">
      <c r="B1115" s="13">
        <f t="shared" si="53"/>
        <v>1112</v>
      </c>
      <c r="C1115" s="8">
        <f t="shared" si="54"/>
        <v>29</v>
      </c>
      <c r="D1115" s="8">
        <f t="shared" si="55"/>
        <v>48</v>
      </c>
      <c r="E1115" s="8">
        <f>IFERROR(VLOOKUP(D1115,$H$4:$I$70,2,0),"")</f>
        <v>246</v>
      </c>
      <c r="F1115" s="9">
        <f>IFERROR(VLOOKUP(C1115,$H$4:$I$70,2,0),"")</f>
        <v>404</v>
      </c>
    </row>
    <row r="1116" spans="2:6" x14ac:dyDescent="0.2">
      <c r="B1116" s="13">
        <f t="shared" si="53"/>
        <v>1113</v>
      </c>
      <c r="C1116" s="8">
        <f t="shared" si="54"/>
        <v>30</v>
      </c>
      <c r="D1116" s="8">
        <f t="shared" si="55"/>
        <v>48</v>
      </c>
      <c r="E1116" s="8">
        <f>IFERROR(VLOOKUP(D1116,$H$4:$I$70,2,0),"")</f>
        <v>246</v>
      </c>
      <c r="F1116" s="9">
        <f>IFERROR(VLOOKUP(C1116,$H$4:$I$70,2,0),"")</f>
        <v>399</v>
      </c>
    </row>
    <row r="1117" spans="2:6" x14ac:dyDescent="0.2">
      <c r="B1117" s="13">
        <f t="shared" si="53"/>
        <v>1114</v>
      </c>
      <c r="C1117" s="8">
        <f t="shared" si="54"/>
        <v>31</v>
      </c>
      <c r="D1117" s="8">
        <f t="shared" si="55"/>
        <v>48</v>
      </c>
      <c r="E1117" s="8">
        <f>IFERROR(VLOOKUP(D1117,$H$4:$I$70,2,0),"")</f>
        <v>246</v>
      </c>
      <c r="F1117" s="9">
        <f>IFERROR(VLOOKUP(C1117,$H$4:$I$70,2,0),"")</f>
        <v>396</v>
      </c>
    </row>
    <row r="1118" spans="2:6" x14ac:dyDescent="0.2">
      <c r="B1118" s="13">
        <f t="shared" si="53"/>
        <v>1115</v>
      </c>
      <c r="C1118" s="8">
        <f t="shared" si="54"/>
        <v>32</v>
      </c>
      <c r="D1118" s="8">
        <f t="shared" si="55"/>
        <v>48</v>
      </c>
      <c r="E1118" s="8">
        <f>IFERROR(VLOOKUP(D1118,$H$4:$I$70,2,0),"")</f>
        <v>246</v>
      </c>
      <c r="F1118" s="9">
        <f>IFERROR(VLOOKUP(C1118,$H$4:$I$70,2,0),"")</f>
        <v>384</v>
      </c>
    </row>
    <row r="1119" spans="2:6" x14ac:dyDescent="0.2">
      <c r="B1119" s="13">
        <f t="shared" si="53"/>
        <v>1116</v>
      </c>
      <c r="C1119" s="8">
        <f t="shared" si="54"/>
        <v>33</v>
      </c>
      <c r="D1119" s="8">
        <f t="shared" si="55"/>
        <v>48</v>
      </c>
      <c r="E1119" s="8">
        <f>IFERROR(VLOOKUP(D1119,$H$4:$I$70,2,0),"")</f>
        <v>246</v>
      </c>
      <c r="F1119" s="9">
        <f>IFERROR(VLOOKUP(C1119,$H$4:$I$70,2,0),"")</f>
        <v>381</v>
      </c>
    </row>
    <row r="1120" spans="2:6" x14ac:dyDescent="0.2">
      <c r="B1120" s="13">
        <f t="shared" si="53"/>
        <v>1117</v>
      </c>
      <c r="C1120" s="8">
        <f t="shared" si="54"/>
        <v>34</v>
      </c>
      <c r="D1120" s="8">
        <f t="shared" si="55"/>
        <v>48</v>
      </c>
      <c r="E1120" s="8">
        <f>IFERROR(VLOOKUP(D1120,$H$4:$I$70,2,0),"")</f>
        <v>246</v>
      </c>
      <c r="F1120" s="9">
        <f>IFERROR(VLOOKUP(C1120,$H$4:$I$70,2,0),"")</f>
        <v>376</v>
      </c>
    </row>
    <row r="1121" spans="2:6" x14ac:dyDescent="0.2">
      <c r="B1121" s="13">
        <f t="shared" si="53"/>
        <v>1118</v>
      </c>
      <c r="C1121" s="8">
        <f t="shared" si="54"/>
        <v>35</v>
      </c>
      <c r="D1121" s="8">
        <f t="shared" si="55"/>
        <v>48</v>
      </c>
      <c r="E1121" s="8">
        <f>IFERROR(VLOOKUP(D1121,$H$4:$I$70,2,0),"")</f>
        <v>246</v>
      </c>
      <c r="F1121" s="9">
        <f>IFERROR(VLOOKUP(C1121,$H$4:$I$70,2,0),"")</f>
        <v>370</v>
      </c>
    </row>
    <row r="1122" spans="2:6" x14ac:dyDescent="0.2">
      <c r="B1122" s="13">
        <f t="shared" si="53"/>
        <v>1119</v>
      </c>
      <c r="C1122" s="8">
        <f t="shared" si="54"/>
        <v>36</v>
      </c>
      <c r="D1122" s="8">
        <f t="shared" si="55"/>
        <v>48</v>
      </c>
      <c r="E1122" s="8">
        <f>IFERROR(VLOOKUP(D1122,$H$4:$I$70,2,0),"")</f>
        <v>246</v>
      </c>
      <c r="F1122" s="9">
        <f>IFERROR(VLOOKUP(C1122,$H$4:$I$70,2,0),"")</f>
        <v>362</v>
      </c>
    </row>
    <row r="1123" spans="2:6" x14ac:dyDescent="0.2">
      <c r="B1123" s="13">
        <f t="shared" si="53"/>
        <v>1120</v>
      </c>
      <c r="C1123" s="8">
        <f t="shared" si="54"/>
        <v>37</v>
      </c>
      <c r="D1123" s="8">
        <f t="shared" si="55"/>
        <v>48</v>
      </c>
      <c r="E1123" s="8">
        <f>IFERROR(VLOOKUP(D1123,$H$4:$I$70,2,0),"")</f>
        <v>246</v>
      </c>
      <c r="F1123" s="9">
        <f>IFERROR(VLOOKUP(C1123,$H$4:$I$70,2,0),"")</f>
        <v>357</v>
      </c>
    </row>
    <row r="1124" spans="2:6" x14ac:dyDescent="0.2">
      <c r="B1124" s="13">
        <f t="shared" si="53"/>
        <v>1121</v>
      </c>
      <c r="C1124" s="8">
        <f t="shared" si="54"/>
        <v>38</v>
      </c>
      <c r="D1124" s="8">
        <f t="shared" si="55"/>
        <v>48</v>
      </c>
      <c r="E1124" s="8">
        <f>IFERROR(VLOOKUP(D1124,$H$4:$I$70,2,0),"")</f>
        <v>246</v>
      </c>
      <c r="F1124" s="9">
        <f>IFERROR(VLOOKUP(C1124,$H$4:$I$70,2,0),"")</f>
        <v>351</v>
      </c>
    </row>
    <row r="1125" spans="2:6" x14ac:dyDescent="0.2">
      <c r="B1125" s="13">
        <f t="shared" si="53"/>
        <v>1122</v>
      </c>
      <c r="C1125" s="8">
        <f t="shared" si="54"/>
        <v>39</v>
      </c>
      <c r="D1125" s="8">
        <f t="shared" si="55"/>
        <v>48</v>
      </c>
      <c r="E1125" s="8">
        <f>IFERROR(VLOOKUP(D1125,$H$4:$I$70,2,0),"")</f>
        <v>246</v>
      </c>
      <c r="F1125" s="9">
        <f>IFERROR(VLOOKUP(C1125,$H$4:$I$70,2,0),"")</f>
        <v>339</v>
      </c>
    </row>
    <row r="1126" spans="2:6" x14ac:dyDescent="0.2">
      <c r="B1126" s="13">
        <f t="shared" si="53"/>
        <v>1123</v>
      </c>
      <c r="C1126" s="8">
        <f t="shared" si="54"/>
        <v>40</v>
      </c>
      <c r="D1126" s="8">
        <f t="shared" si="55"/>
        <v>48</v>
      </c>
      <c r="E1126" s="8">
        <f>IFERROR(VLOOKUP(D1126,$H$4:$I$70,2,0),"")</f>
        <v>246</v>
      </c>
      <c r="F1126" s="9">
        <f>IFERROR(VLOOKUP(C1126,$H$4:$I$70,2,0),"")</f>
        <v>304</v>
      </c>
    </row>
    <row r="1127" spans="2:6" x14ac:dyDescent="0.2">
      <c r="B1127" s="13">
        <f t="shared" si="53"/>
        <v>1124</v>
      </c>
      <c r="C1127" s="8">
        <f t="shared" si="54"/>
        <v>41</v>
      </c>
      <c r="D1127" s="8">
        <f t="shared" si="55"/>
        <v>48</v>
      </c>
      <c r="E1127" s="8">
        <f>IFERROR(VLOOKUP(D1127,$H$4:$I$70,2,0),"")</f>
        <v>246</v>
      </c>
      <c r="F1127" s="9">
        <f>IFERROR(VLOOKUP(C1127,$H$4:$I$70,2,0),"")</f>
        <v>301</v>
      </c>
    </row>
    <row r="1128" spans="2:6" x14ac:dyDescent="0.2">
      <c r="B1128" s="13">
        <f t="shared" si="53"/>
        <v>1125</v>
      </c>
      <c r="C1128" s="8">
        <f t="shared" si="54"/>
        <v>42</v>
      </c>
      <c r="D1128" s="8">
        <f t="shared" si="55"/>
        <v>48</v>
      </c>
      <c r="E1128" s="8">
        <f>IFERROR(VLOOKUP(D1128,$H$4:$I$70,2,0),"")</f>
        <v>246</v>
      </c>
      <c r="F1128" s="9">
        <f>IFERROR(VLOOKUP(C1128,$H$4:$I$70,2,0),"")</f>
        <v>300</v>
      </c>
    </row>
    <row r="1129" spans="2:6" x14ac:dyDescent="0.2">
      <c r="B1129" s="13">
        <f t="shared" si="53"/>
        <v>1126</v>
      </c>
      <c r="C1129" s="8">
        <f t="shared" si="54"/>
        <v>43</v>
      </c>
      <c r="D1129" s="8">
        <f t="shared" si="55"/>
        <v>48</v>
      </c>
      <c r="E1129" s="8">
        <f>IFERROR(VLOOKUP(D1129,$H$4:$I$70,2,0),"")</f>
        <v>246</v>
      </c>
      <c r="F1129" s="9">
        <f>IFERROR(VLOOKUP(C1129,$H$4:$I$70,2,0),"")</f>
        <v>288</v>
      </c>
    </row>
    <row r="1130" spans="2:6" x14ac:dyDescent="0.2">
      <c r="B1130" s="13">
        <f t="shared" si="53"/>
        <v>1127</v>
      </c>
      <c r="C1130" s="8">
        <f t="shared" si="54"/>
        <v>44</v>
      </c>
      <c r="D1130" s="8">
        <f t="shared" si="55"/>
        <v>48</v>
      </c>
      <c r="E1130" s="8">
        <f>IFERROR(VLOOKUP(D1130,$H$4:$I$70,2,0),"")</f>
        <v>246</v>
      </c>
      <c r="F1130" s="9">
        <f>IFERROR(VLOOKUP(C1130,$H$4:$I$70,2,0),"")</f>
        <v>273</v>
      </c>
    </row>
    <row r="1131" spans="2:6" x14ac:dyDescent="0.2">
      <c r="B1131" s="13">
        <f t="shared" si="53"/>
        <v>1128</v>
      </c>
      <c r="C1131" s="8">
        <f t="shared" si="54"/>
        <v>45</v>
      </c>
      <c r="D1131" s="8">
        <f t="shared" si="55"/>
        <v>48</v>
      </c>
      <c r="E1131" s="8">
        <f>IFERROR(VLOOKUP(D1131,$H$4:$I$70,2,0),"")</f>
        <v>246</v>
      </c>
      <c r="F1131" s="9">
        <f>IFERROR(VLOOKUP(C1131,$H$4:$I$70,2,0),"")</f>
        <v>268</v>
      </c>
    </row>
    <row r="1132" spans="2:6" x14ac:dyDescent="0.2">
      <c r="B1132" s="13">
        <f t="shared" si="53"/>
        <v>1129</v>
      </c>
      <c r="C1132" s="8">
        <f t="shared" si="54"/>
        <v>46</v>
      </c>
      <c r="D1132" s="8">
        <f t="shared" si="55"/>
        <v>48</v>
      </c>
      <c r="E1132" s="8">
        <f>IFERROR(VLOOKUP(D1132,$H$4:$I$70,2,0),"")</f>
        <v>246</v>
      </c>
      <c r="F1132" s="9">
        <f>IFERROR(VLOOKUP(C1132,$H$4:$I$70,2,0),"")</f>
        <v>262</v>
      </c>
    </row>
    <row r="1133" spans="2:6" x14ac:dyDescent="0.2">
      <c r="B1133" s="13">
        <f t="shared" si="53"/>
        <v>1130</v>
      </c>
      <c r="C1133" s="8">
        <f t="shared" si="54"/>
        <v>47</v>
      </c>
      <c r="D1133" s="8">
        <f t="shared" si="55"/>
        <v>48</v>
      </c>
      <c r="E1133" s="8">
        <f>IFERROR(VLOOKUP(D1133,$H$4:$I$70,2,0),"")</f>
        <v>246</v>
      </c>
      <c r="F1133" s="9">
        <f>IFERROR(VLOOKUP(C1133,$H$4:$I$70,2,0),"")</f>
        <v>248</v>
      </c>
    </row>
    <row r="1134" spans="2:6" x14ac:dyDescent="0.2">
      <c r="B1134" s="13">
        <f t="shared" si="53"/>
        <v>1131</v>
      </c>
      <c r="C1134" s="8">
        <f t="shared" si="54"/>
        <v>1</v>
      </c>
      <c r="D1134" s="8">
        <f t="shared" si="55"/>
        <v>47</v>
      </c>
      <c r="E1134" s="8">
        <f>IFERROR(VLOOKUP(D1134,$H$4:$I$70,2,0),"")</f>
        <v>248</v>
      </c>
      <c r="F1134" s="9">
        <f>IFERROR(VLOOKUP(C1134,$H$4:$I$70,2,0),"")</f>
        <v>1344</v>
      </c>
    </row>
    <row r="1135" spans="2:6" x14ac:dyDescent="0.2">
      <c r="B1135" s="13">
        <f t="shared" si="53"/>
        <v>1132</v>
      </c>
      <c r="C1135" s="8">
        <f t="shared" si="54"/>
        <v>2</v>
      </c>
      <c r="D1135" s="8">
        <f t="shared" si="55"/>
        <v>47</v>
      </c>
      <c r="E1135" s="8">
        <f>IFERROR(VLOOKUP(D1135,$H$4:$I$70,2,0),"")</f>
        <v>248</v>
      </c>
      <c r="F1135" s="9">
        <f>IFERROR(VLOOKUP(C1135,$H$4:$I$70,2,0),"")</f>
        <v>1048</v>
      </c>
    </row>
    <row r="1136" spans="2:6" x14ac:dyDescent="0.2">
      <c r="B1136" s="13">
        <f t="shared" si="53"/>
        <v>1133</v>
      </c>
      <c r="C1136" s="8">
        <f t="shared" si="54"/>
        <v>3</v>
      </c>
      <c r="D1136" s="8">
        <f t="shared" si="55"/>
        <v>47</v>
      </c>
      <c r="E1136" s="8">
        <f>IFERROR(VLOOKUP(D1136,$H$4:$I$70,2,0),"")</f>
        <v>248</v>
      </c>
      <c r="F1136" s="9">
        <f>IFERROR(VLOOKUP(C1136,$H$4:$I$70,2,0),"")</f>
        <v>1025</v>
      </c>
    </row>
    <row r="1137" spans="2:6" x14ac:dyDescent="0.2">
      <c r="B1137" s="13">
        <f t="shared" si="53"/>
        <v>1134</v>
      </c>
      <c r="C1137" s="8">
        <f t="shared" si="54"/>
        <v>4</v>
      </c>
      <c r="D1137" s="8">
        <f t="shared" si="55"/>
        <v>47</v>
      </c>
      <c r="E1137" s="8">
        <f>IFERROR(VLOOKUP(D1137,$H$4:$I$70,2,0),"")</f>
        <v>248</v>
      </c>
      <c r="F1137" s="9">
        <f>IFERROR(VLOOKUP(C1137,$H$4:$I$70,2,0),"")</f>
        <v>805</v>
      </c>
    </row>
    <row r="1138" spans="2:6" x14ac:dyDescent="0.2">
      <c r="B1138" s="13">
        <f t="shared" si="53"/>
        <v>1135</v>
      </c>
      <c r="C1138" s="8">
        <f t="shared" si="54"/>
        <v>5</v>
      </c>
      <c r="D1138" s="8">
        <f t="shared" si="55"/>
        <v>47</v>
      </c>
      <c r="E1138" s="8">
        <f>IFERROR(VLOOKUP(D1138,$H$4:$I$70,2,0),"")</f>
        <v>248</v>
      </c>
      <c r="F1138" s="9">
        <f>IFERROR(VLOOKUP(C1138,$H$4:$I$70,2,0),"")</f>
        <v>666</v>
      </c>
    </row>
    <row r="1139" spans="2:6" x14ac:dyDescent="0.2">
      <c r="B1139" s="13">
        <f t="shared" si="53"/>
        <v>1136</v>
      </c>
      <c r="C1139" s="8">
        <f t="shared" si="54"/>
        <v>6</v>
      </c>
      <c r="D1139" s="8">
        <f t="shared" si="55"/>
        <v>47</v>
      </c>
      <c r="E1139" s="8">
        <f>IFERROR(VLOOKUP(D1139,$H$4:$I$70,2,0),"")</f>
        <v>248</v>
      </c>
      <c r="F1139" s="9">
        <f>IFERROR(VLOOKUP(C1139,$H$4:$I$70,2,0),"")</f>
        <v>655</v>
      </c>
    </row>
    <row r="1140" spans="2:6" x14ac:dyDescent="0.2">
      <c r="B1140" s="13">
        <f t="shared" si="53"/>
        <v>1137</v>
      </c>
      <c r="C1140" s="8">
        <f t="shared" si="54"/>
        <v>7</v>
      </c>
      <c r="D1140" s="8">
        <f t="shared" si="55"/>
        <v>47</v>
      </c>
      <c r="E1140" s="8">
        <f>IFERROR(VLOOKUP(D1140,$H$4:$I$70,2,0),"")</f>
        <v>248</v>
      </c>
      <c r="F1140" s="9">
        <f>IFERROR(VLOOKUP(C1140,$H$4:$I$70,2,0),"")</f>
        <v>652</v>
      </c>
    </row>
    <row r="1141" spans="2:6" x14ac:dyDescent="0.2">
      <c r="B1141" s="13">
        <f t="shared" si="53"/>
        <v>1138</v>
      </c>
      <c r="C1141" s="8">
        <f t="shared" si="54"/>
        <v>8</v>
      </c>
      <c r="D1141" s="8">
        <f t="shared" si="55"/>
        <v>47</v>
      </c>
      <c r="E1141" s="8">
        <f>IFERROR(VLOOKUP(D1141,$H$4:$I$70,2,0),"")</f>
        <v>248</v>
      </c>
      <c r="F1141" s="9">
        <f>IFERROR(VLOOKUP(C1141,$H$4:$I$70,2,0),"")</f>
        <v>633</v>
      </c>
    </row>
    <row r="1142" spans="2:6" x14ac:dyDescent="0.2">
      <c r="B1142" s="13">
        <f t="shared" si="53"/>
        <v>1139</v>
      </c>
      <c r="C1142" s="8">
        <f t="shared" si="54"/>
        <v>9</v>
      </c>
      <c r="D1142" s="8">
        <f t="shared" si="55"/>
        <v>47</v>
      </c>
      <c r="E1142" s="8">
        <f>IFERROR(VLOOKUP(D1142,$H$4:$I$70,2,0),"")</f>
        <v>248</v>
      </c>
      <c r="F1142" s="9">
        <f>IFERROR(VLOOKUP(C1142,$H$4:$I$70,2,0),"")</f>
        <v>632</v>
      </c>
    </row>
    <row r="1143" spans="2:6" x14ac:dyDescent="0.2">
      <c r="B1143" s="13">
        <f t="shared" si="53"/>
        <v>1140</v>
      </c>
      <c r="C1143" s="8">
        <f t="shared" si="54"/>
        <v>10</v>
      </c>
      <c r="D1143" s="8">
        <f t="shared" si="55"/>
        <v>47</v>
      </c>
      <c r="E1143" s="8">
        <f>IFERROR(VLOOKUP(D1143,$H$4:$I$70,2,0),"")</f>
        <v>248</v>
      </c>
      <c r="F1143" s="9">
        <f>IFERROR(VLOOKUP(C1143,$H$4:$I$70,2,0),"")</f>
        <v>625</v>
      </c>
    </row>
    <row r="1144" spans="2:6" x14ac:dyDescent="0.2">
      <c r="B1144" s="13">
        <f t="shared" si="53"/>
        <v>1141</v>
      </c>
      <c r="C1144" s="8">
        <f t="shared" si="54"/>
        <v>11</v>
      </c>
      <c r="D1144" s="8">
        <f t="shared" si="55"/>
        <v>47</v>
      </c>
      <c r="E1144" s="8">
        <f>IFERROR(VLOOKUP(D1144,$H$4:$I$70,2,0),"")</f>
        <v>248</v>
      </c>
      <c r="F1144" s="9">
        <f>IFERROR(VLOOKUP(C1144,$H$4:$I$70,2,0),"")</f>
        <v>619</v>
      </c>
    </row>
    <row r="1145" spans="2:6" x14ac:dyDescent="0.2">
      <c r="B1145" s="13">
        <f t="shared" si="53"/>
        <v>1142</v>
      </c>
      <c r="C1145" s="8">
        <f t="shared" si="54"/>
        <v>12</v>
      </c>
      <c r="D1145" s="8">
        <f t="shared" si="55"/>
        <v>47</v>
      </c>
      <c r="E1145" s="8">
        <f>IFERROR(VLOOKUP(D1145,$H$4:$I$70,2,0),"")</f>
        <v>248</v>
      </c>
      <c r="F1145" s="9">
        <f>IFERROR(VLOOKUP(C1145,$H$4:$I$70,2,0),"")</f>
        <v>610</v>
      </c>
    </row>
    <row r="1146" spans="2:6" x14ac:dyDescent="0.2">
      <c r="B1146" s="13">
        <f t="shared" si="53"/>
        <v>1143</v>
      </c>
      <c r="C1146" s="8">
        <f t="shared" si="54"/>
        <v>13</v>
      </c>
      <c r="D1146" s="8">
        <f t="shared" si="55"/>
        <v>47</v>
      </c>
      <c r="E1146" s="8">
        <f>IFERROR(VLOOKUP(D1146,$H$4:$I$70,2,0),"")</f>
        <v>248</v>
      </c>
      <c r="F1146" s="9">
        <f>IFERROR(VLOOKUP(C1146,$H$4:$I$70,2,0),"")</f>
        <v>599</v>
      </c>
    </row>
    <row r="1147" spans="2:6" x14ac:dyDescent="0.2">
      <c r="B1147" s="13">
        <f t="shared" si="53"/>
        <v>1144</v>
      </c>
      <c r="C1147" s="8">
        <f t="shared" si="54"/>
        <v>14</v>
      </c>
      <c r="D1147" s="8">
        <f t="shared" si="55"/>
        <v>47</v>
      </c>
      <c r="E1147" s="8">
        <f>IFERROR(VLOOKUP(D1147,$H$4:$I$70,2,0),"")</f>
        <v>248</v>
      </c>
      <c r="F1147" s="9">
        <f>IFERROR(VLOOKUP(C1147,$H$4:$I$70,2,0),"")</f>
        <v>559</v>
      </c>
    </row>
    <row r="1148" spans="2:6" x14ac:dyDescent="0.2">
      <c r="B1148" s="13">
        <f t="shared" si="53"/>
        <v>1145</v>
      </c>
      <c r="C1148" s="8">
        <f t="shared" si="54"/>
        <v>15</v>
      </c>
      <c r="D1148" s="8">
        <f t="shared" si="55"/>
        <v>47</v>
      </c>
      <c r="E1148" s="8">
        <f>IFERROR(VLOOKUP(D1148,$H$4:$I$70,2,0),"")</f>
        <v>248</v>
      </c>
      <c r="F1148" s="9">
        <f>IFERROR(VLOOKUP(C1148,$H$4:$I$70,2,0),"")</f>
        <v>556</v>
      </c>
    </row>
    <row r="1149" spans="2:6" x14ac:dyDescent="0.2">
      <c r="B1149" s="13">
        <f t="shared" si="53"/>
        <v>1146</v>
      </c>
      <c r="C1149" s="8">
        <f t="shared" si="54"/>
        <v>16</v>
      </c>
      <c r="D1149" s="8">
        <f t="shared" si="55"/>
        <v>47</v>
      </c>
      <c r="E1149" s="8">
        <f>IFERROR(VLOOKUP(D1149,$H$4:$I$70,2,0),"")</f>
        <v>248</v>
      </c>
      <c r="F1149" s="9">
        <f>IFERROR(VLOOKUP(C1149,$H$4:$I$70,2,0),"")</f>
        <v>540</v>
      </c>
    </row>
    <row r="1150" spans="2:6" x14ac:dyDescent="0.2">
      <c r="B1150" s="13">
        <f t="shared" si="53"/>
        <v>1147</v>
      </c>
      <c r="C1150" s="8">
        <f t="shared" si="54"/>
        <v>17</v>
      </c>
      <c r="D1150" s="8">
        <f t="shared" si="55"/>
        <v>47</v>
      </c>
      <c r="E1150" s="8">
        <f>IFERROR(VLOOKUP(D1150,$H$4:$I$70,2,0),"")</f>
        <v>248</v>
      </c>
      <c r="F1150" s="9">
        <f>IFERROR(VLOOKUP(C1150,$H$4:$I$70,2,0),"")</f>
        <v>536</v>
      </c>
    </row>
    <row r="1151" spans="2:6" x14ac:dyDescent="0.2">
      <c r="B1151" s="13">
        <f t="shared" si="53"/>
        <v>1148</v>
      </c>
      <c r="C1151" s="8">
        <f t="shared" si="54"/>
        <v>18</v>
      </c>
      <c r="D1151" s="8">
        <f t="shared" si="55"/>
        <v>47</v>
      </c>
      <c r="E1151" s="8">
        <f>IFERROR(VLOOKUP(D1151,$H$4:$I$70,2,0),"")</f>
        <v>248</v>
      </c>
      <c r="F1151" s="9">
        <f>IFERROR(VLOOKUP(C1151,$H$4:$I$70,2,0),"")</f>
        <v>527</v>
      </c>
    </row>
    <row r="1152" spans="2:6" x14ac:dyDescent="0.2">
      <c r="B1152" s="13">
        <f t="shared" si="53"/>
        <v>1149</v>
      </c>
      <c r="C1152" s="8">
        <f t="shared" si="54"/>
        <v>19</v>
      </c>
      <c r="D1152" s="8">
        <f t="shared" si="55"/>
        <v>47</v>
      </c>
      <c r="E1152" s="8">
        <f>IFERROR(VLOOKUP(D1152,$H$4:$I$70,2,0),"")</f>
        <v>248</v>
      </c>
      <c r="F1152" s="9">
        <f>IFERROR(VLOOKUP(C1152,$H$4:$I$70,2,0),"")</f>
        <v>478</v>
      </c>
    </row>
    <row r="1153" spans="2:6" x14ac:dyDescent="0.2">
      <c r="B1153" s="13">
        <f t="shared" si="53"/>
        <v>1150</v>
      </c>
      <c r="C1153" s="8">
        <f t="shared" si="54"/>
        <v>20</v>
      </c>
      <c r="D1153" s="8">
        <f t="shared" si="55"/>
        <v>47</v>
      </c>
      <c r="E1153" s="8">
        <f>IFERROR(VLOOKUP(D1153,$H$4:$I$70,2,0),"")</f>
        <v>248</v>
      </c>
      <c r="F1153" s="9">
        <f>IFERROR(VLOOKUP(C1153,$H$4:$I$70,2,0),"")</f>
        <v>474</v>
      </c>
    </row>
    <row r="1154" spans="2:6" x14ac:dyDescent="0.2">
      <c r="B1154" s="13">
        <f t="shared" si="53"/>
        <v>1151</v>
      </c>
      <c r="C1154" s="8">
        <f t="shared" si="54"/>
        <v>21</v>
      </c>
      <c r="D1154" s="8">
        <f t="shared" si="55"/>
        <v>47</v>
      </c>
      <c r="E1154" s="8">
        <f>IFERROR(VLOOKUP(D1154,$H$4:$I$70,2,0),"")</f>
        <v>248</v>
      </c>
      <c r="F1154" s="9">
        <f>IFERROR(VLOOKUP(C1154,$H$4:$I$70,2,0),"")</f>
        <v>468</v>
      </c>
    </row>
    <row r="1155" spans="2:6" x14ac:dyDescent="0.2">
      <c r="B1155" s="13">
        <f t="shared" si="53"/>
        <v>1152</v>
      </c>
      <c r="C1155" s="8">
        <f t="shared" si="54"/>
        <v>22</v>
      </c>
      <c r="D1155" s="8">
        <f t="shared" si="55"/>
        <v>47</v>
      </c>
      <c r="E1155" s="8">
        <f>IFERROR(VLOOKUP(D1155,$H$4:$I$70,2,0),"")</f>
        <v>248</v>
      </c>
      <c r="F1155" s="9">
        <f>IFERROR(VLOOKUP(C1155,$H$4:$I$70,2,0),"")</f>
        <v>457</v>
      </c>
    </row>
    <row r="1156" spans="2:6" x14ac:dyDescent="0.2">
      <c r="B1156" s="13">
        <f t="shared" si="53"/>
        <v>1153</v>
      </c>
      <c r="C1156" s="8">
        <f t="shared" si="54"/>
        <v>23</v>
      </c>
      <c r="D1156" s="8">
        <f t="shared" si="55"/>
        <v>47</v>
      </c>
      <c r="E1156" s="8">
        <f>IFERROR(VLOOKUP(D1156,$H$4:$I$70,2,0),"")</f>
        <v>248</v>
      </c>
      <c r="F1156" s="9">
        <f>IFERROR(VLOOKUP(C1156,$H$4:$I$70,2,0),"")</f>
        <v>452</v>
      </c>
    </row>
    <row r="1157" spans="2:6" x14ac:dyDescent="0.2">
      <c r="B1157" s="13">
        <f t="shared" ref="B1157:B1220" si="56">ROW()-3</f>
        <v>1154</v>
      </c>
      <c r="C1157" s="8">
        <f t="shared" si="54"/>
        <v>24</v>
      </c>
      <c r="D1157" s="8">
        <f t="shared" si="55"/>
        <v>47</v>
      </c>
      <c r="E1157" s="8">
        <f>IFERROR(VLOOKUP(D1157,$H$4:$I$70,2,0),"")</f>
        <v>248</v>
      </c>
      <c r="F1157" s="9">
        <f>IFERROR(VLOOKUP(C1157,$H$4:$I$70,2,0),"")</f>
        <v>442</v>
      </c>
    </row>
    <row r="1158" spans="2:6" x14ac:dyDescent="0.2">
      <c r="B1158" s="13">
        <f t="shared" si="56"/>
        <v>1155</v>
      </c>
      <c r="C1158" s="8">
        <f t="shared" ref="C1158:C1221" si="57">IF((D1157-C1157)=1,1,C1157+1)</f>
        <v>25</v>
      </c>
      <c r="D1158" s="8">
        <f t="shared" ref="D1158:D1221" si="58">IF((D1157-C1157)=1,D1157-1,D1157)</f>
        <v>47</v>
      </c>
      <c r="E1158" s="8">
        <f>IFERROR(VLOOKUP(D1158,$H$4:$I$70,2,0),"")</f>
        <v>248</v>
      </c>
      <c r="F1158" s="9">
        <f>IFERROR(VLOOKUP(C1158,$H$4:$I$70,2,0),"")</f>
        <v>420</v>
      </c>
    </row>
    <row r="1159" spans="2:6" x14ac:dyDescent="0.2">
      <c r="B1159" s="13">
        <f t="shared" si="56"/>
        <v>1156</v>
      </c>
      <c r="C1159" s="8">
        <f t="shared" si="57"/>
        <v>26</v>
      </c>
      <c r="D1159" s="8">
        <f t="shared" si="58"/>
        <v>47</v>
      </c>
      <c r="E1159" s="8">
        <f>IFERROR(VLOOKUP(D1159,$H$4:$I$70,2,0),"")</f>
        <v>248</v>
      </c>
      <c r="F1159" s="9">
        <f>IFERROR(VLOOKUP(C1159,$H$4:$I$70,2,0),"")</f>
        <v>410</v>
      </c>
    </row>
    <row r="1160" spans="2:6" x14ac:dyDescent="0.2">
      <c r="B1160" s="13">
        <f t="shared" si="56"/>
        <v>1157</v>
      </c>
      <c r="C1160" s="8">
        <f t="shared" si="57"/>
        <v>27</v>
      </c>
      <c r="D1160" s="8">
        <f t="shared" si="58"/>
        <v>47</v>
      </c>
      <c r="E1160" s="8">
        <f>IFERROR(VLOOKUP(D1160,$H$4:$I$70,2,0),"")</f>
        <v>248</v>
      </c>
      <c r="F1160" s="9">
        <f>IFERROR(VLOOKUP(C1160,$H$4:$I$70,2,0),"")</f>
        <v>409</v>
      </c>
    </row>
    <row r="1161" spans="2:6" x14ac:dyDescent="0.2">
      <c r="B1161" s="13">
        <f t="shared" si="56"/>
        <v>1158</v>
      </c>
      <c r="C1161" s="8">
        <f t="shared" si="57"/>
        <v>28</v>
      </c>
      <c r="D1161" s="8">
        <f t="shared" si="58"/>
        <v>47</v>
      </c>
      <c r="E1161" s="8">
        <f>IFERROR(VLOOKUP(D1161,$H$4:$I$70,2,0),"")</f>
        <v>248</v>
      </c>
      <c r="F1161" s="9">
        <f>IFERROR(VLOOKUP(C1161,$H$4:$I$70,2,0),"")</f>
        <v>408</v>
      </c>
    </row>
    <row r="1162" spans="2:6" x14ac:dyDescent="0.2">
      <c r="B1162" s="13">
        <f t="shared" si="56"/>
        <v>1159</v>
      </c>
      <c r="C1162" s="8">
        <f t="shared" si="57"/>
        <v>29</v>
      </c>
      <c r="D1162" s="8">
        <f t="shared" si="58"/>
        <v>47</v>
      </c>
      <c r="E1162" s="8">
        <f>IFERROR(VLOOKUP(D1162,$H$4:$I$70,2,0),"")</f>
        <v>248</v>
      </c>
      <c r="F1162" s="9">
        <f>IFERROR(VLOOKUP(C1162,$H$4:$I$70,2,0),"")</f>
        <v>404</v>
      </c>
    </row>
    <row r="1163" spans="2:6" x14ac:dyDescent="0.2">
      <c r="B1163" s="13">
        <f t="shared" si="56"/>
        <v>1160</v>
      </c>
      <c r="C1163" s="8">
        <f t="shared" si="57"/>
        <v>30</v>
      </c>
      <c r="D1163" s="8">
        <f t="shared" si="58"/>
        <v>47</v>
      </c>
      <c r="E1163" s="8">
        <f>IFERROR(VLOOKUP(D1163,$H$4:$I$70,2,0),"")</f>
        <v>248</v>
      </c>
      <c r="F1163" s="9">
        <f>IFERROR(VLOOKUP(C1163,$H$4:$I$70,2,0),"")</f>
        <v>399</v>
      </c>
    </row>
    <row r="1164" spans="2:6" x14ac:dyDescent="0.2">
      <c r="B1164" s="13">
        <f t="shared" si="56"/>
        <v>1161</v>
      </c>
      <c r="C1164" s="8">
        <f t="shared" si="57"/>
        <v>31</v>
      </c>
      <c r="D1164" s="8">
        <f t="shared" si="58"/>
        <v>47</v>
      </c>
      <c r="E1164" s="8">
        <f>IFERROR(VLOOKUP(D1164,$H$4:$I$70,2,0),"")</f>
        <v>248</v>
      </c>
      <c r="F1164" s="9">
        <f>IFERROR(VLOOKUP(C1164,$H$4:$I$70,2,0),"")</f>
        <v>396</v>
      </c>
    </row>
    <row r="1165" spans="2:6" x14ac:dyDescent="0.2">
      <c r="B1165" s="13">
        <f t="shared" si="56"/>
        <v>1162</v>
      </c>
      <c r="C1165" s="8">
        <f t="shared" si="57"/>
        <v>32</v>
      </c>
      <c r="D1165" s="8">
        <f t="shared" si="58"/>
        <v>47</v>
      </c>
      <c r="E1165" s="8">
        <f>IFERROR(VLOOKUP(D1165,$H$4:$I$70,2,0),"")</f>
        <v>248</v>
      </c>
      <c r="F1165" s="9">
        <f>IFERROR(VLOOKUP(C1165,$H$4:$I$70,2,0),"")</f>
        <v>384</v>
      </c>
    </row>
    <row r="1166" spans="2:6" x14ac:dyDescent="0.2">
      <c r="B1166" s="13">
        <f t="shared" si="56"/>
        <v>1163</v>
      </c>
      <c r="C1166" s="8">
        <f t="shared" si="57"/>
        <v>33</v>
      </c>
      <c r="D1166" s="8">
        <f t="shared" si="58"/>
        <v>47</v>
      </c>
      <c r="E1166" s="8">
        <f>IFERROR(VLOOKUP(D1166,$H$4:$I$70,2,0),"")</f>
        <v>248</v>
      </c>
      <c r="F1166" s="9">
        <f>IFERROR(VLOOKUP(C1166,$H$4:$I$70,2,0),"")</f>
        <v>381</v>
      </c>
    </row>
    <row r="1167" spans="2:6" x14ac:dyDescent="0.2">
      <c r="B1167" s="13">
        <f t="shared" si="56"/>
        <v>1164</v>
      </c>
      <c r="C1167" s="8">
        <f t="shared" si="57"/>
        <v>34</v>
      </c>
      <c r="D1167" s="8">
        <f t="shared" si="58"/>
        <v>47</v>
      </c>
      <c r="E1167" s="8">
        <f>IFERROR(VLOOKUP(D1167,$H$4:$I$70,2,0),"")</f>
        <v>248</v>
      </c>
      <c r="F1167" s="9">
        <f>IFERROR(VLOOKUP(C1167,$H$4:$I$70,2,0),"")</f>
        <v>376</v>
      </c>
    </row>
    <row r="1168" spans="2:6" x14ac:dyDescent="0.2">
      <c r="B1168" s="13">
        <f t="shared" si="56"/>
        <v>1165</v>
      </c>
      <c r="C1168" s="8">
        <f t="shared" si="57"/>
        <v>35</v>
      </c>
      <c r="D1168" s="8">
        <f t="shared" si="58"/>
        <v>47</v>
      </c>
      <c r="E1168" s="8">
        <f>IFERROR(VLOOKUP(D1168,$H$4:$I$70,2,0),"")</f>
        <v>248</v>
      </c>
      <c r="F1168" s="9">
        <f>IFERROR(VLOOKUP(C1168,$H$4:$I$70,2,0),"")</f>
        <v>370</v>
      </c>
    </row>
    <row r="1169" spans="2:6" x14ac:dyDescent="0.2">
      <c r="B1169" s="13">
        <f t="shared" si="56"/>
        <v>1166</v>
      </c>
      <c r="C1169" s="8">
        <f t="shared" si="57"/>
        <v>36</v>
      </c>
      <c r="D1169" s="8">
        <f t="shared" si="58"/>
        <v>47</v>
      </c>
      <c r="E1169" s="8">
        <f>IFERROR(VLOOKUP(D1169,$H$4:$I$70,2,0),"")</f>
        <v>248</v>
      </c>
      <c r="F1169" s="9">
        <f>IFERROR(VLOOKUP(C1169,$H$4:$I$70,2,0),"")</f>
        <v>362</v>
      </c>
    </row>
    <row r="1170" spans="2:6" x14ac:dyDescent="0.2">
      <c r="B1170" s="13">
        <f t="shared" si="56"/>
        <v>1167</v>
      </c>
      <c r="C1170" s="8">
        <f t="shared" si="57"/>
        <v>37</v>
      </c>
      <c r="D1170" s="8">
        <f t="shared" si="58"/>
        <v>47</v>
      </c>
      <c r="E1170" s="8">
        <f>IFERROR(VLOOKUP(D1170,$H$4:$I$70,2,0),"")</f>
        <v>248</v>
      </c>
      <c r="F1170" s="9">
        <f>IFERROR(VLOOKUP(C1170,$H$4:$I$70,2,0),"")</f>
        <v>357</v>
      </c>
    </row>
    <row r="1171" spans="2:6" x14ac:dyDescent="0.2">
      <c r="B1171" s="13">
        <f t="shared" si="56"/>
        <v>1168</v>
      </c>
      <c r="C1171" s="8">
        <f t="shared" si="57"/>
        <v>38</v>
      </c>
      <c r="D1171" s="8">
        <f t="shared" si="58"/>
        <v>47</v>
      </c>
      <c r="E1171" s="8">
        <f>IFERROR(VLOOKUP(D1171,$H$4:$I$70,2,0),"")</f>
        <v>248</v>
      </c>
      <c r="F1171" s="9">
        <f>IFERROR(VLOOKUP(C1171,$H$4:$I$70,2,0),"")</f>
        <v>351</v>
      </c>
    </row>
    <row r="1172" spans="2:6" x14ac:dyDescent="0.2">
      <c r="B1172" s="13">
        <f t="shared" si="56"/>
        <v>1169</v>
      </c>
      <c r="C1172" s="8">
        <f t="shared" si="57"/>
        <v>39</v>
      </c>
      <c r="D1172" s="8">
        <f t="shared" si="58"/>
        <v>47</v>
      </c>
      <c r="E1172" s="8">
        <f>IFERROR(VLOOKUP(D1172,$H$4:$I$70,2,0),"")</f>
        <v>248</v>
      </c>
      <c r="F1172" s="9">
        <f>IFERROR(VLOOKUP(C1172,$H$4:$I$70,2,0),"")</f>
        <v>339</v>
      </c>
    </row>
    <row r="1173" spans="2:6" x14ac:dyDescent="0.2">
      <c r="B1173" s="13">
        <f t="shared" si="56"/>
        <v>1170</v>
      </c>
      <c r="C1173" s="8">
        <f t="shared" si="57"/>
        <v>40</v>
      </c>
      <c r="D1173" s="8">
        <f t="shared" si="58"/>
        <v>47</v>
      </c>
      <c r="E1173" s="8">
        <f>IFERROR(VLOOKUP(D1173,$H$4:$I$70,2,0),"")</f>
        <v>248</v>
      </c>
      <c r="F1173" s="9">
        <f>IFERROR(VLOOKUP(C1173,$H$4:$I$70,2,0),"")</f>
        <v>304</v>
      </c>
    </row>
    <row r="1174" spans="2:6" x14ac:dyDescent="0.2">
      <c r="B1174" s="13">
        <f t="shared" si="56"/>
        <v>1171</v>
      </c>
      <c r="C1174" s="8">
        <f t="shared" si="57"/>
        <v>41</v>
      </c>
      <c r="D1174" s="8">
        <f t="shared" si="58"/>
        <v>47</v>
      </c>
      <c r="E1174" s="8">
        <f>IFERROR(VLOOKUP(D1174,$H$4:$I$70,2,0),"")</f>
        <v>248</v>
      </c>
      <c r="F1174" s="9">
        <f>IFERROR(VLOOKUP(C1174,$H$4:$I$70,2,0),"")</f>
        <v>301</v>
      </c>
    </row>
    <row r="1175" spans="2:6" x14ac:dyDescent="0.2">
      <c r="B1175" s="13">
        <f t="shared" si="56"/>
        <v>1172</v>
      </c>
      <c r="C1175" s="8">
        <f t="shared" si="57"/>
        <v>42</v>
      </c>
      <c r="D1175" s="8">
        <f t="shared" si="58"/>
        <v>47</v>
      </c>
      <c r="E1175" s="8">
        <f>IFERROR(VLOOKUP(D1175,$H$4:$I$70,2,0),"")</f>
        <v>248</v>
      </c>
      <c r="F1175" s="9">
        <f>IFERROR(VLOOKUP(C1175,$H$4:$I$70,2,0),"")</f>
        <v>300</v>
      </c>
    </row>
    <row r="1176" spans="2:6" x14ac:dyDescent="0.2">
      <c r="B1176" s="13">
        <f t="shared" si="56"/>
        <v>1173</v>
      </c>
      <c r="C1176" s="8">
        <f t="shared" si="57"/>
        <v>43</v>
      </c>
      <c r="D1176" s="8">
        <f t="shared" si="58"/>
        <v>47</v>
      </c>
      <c r="E1176" s="8">
        <f>IFERROR(VLOOKUP(D1176,$H$4:$I$70,2,0),"")</f>
        <v>248</v>
      </c>
      <c r="F1176" s="9">
        <f>IFERROR(VLOOKUP(C1176,$H$4:$I$70,2,0),"")</f>
        <v>288</v>
      </c>
    </row>
    <row r="1177" spans="2:6" x14ac:dyDescent="0.2">
      <c r="B1177" s="13">
        <f t="shared" si="56"/>
        <v>1174</v>
      </c>
      <c r="C1177" s="8">
        <f t="shared" si="57"/>
        <v>44</v>
      </c>
      <c r="D1177" s="8">
        <f t="shared" si="58"/>
        <v>47</v>
      </c>
      <c r="E1177" s="8">
        <f>IFERROR(VLOOKUP(D1177,$H$4:$I$70,2,0),"")</f>
        <v>248</v>
      </c>
      <c r="F1177" s="9">
        <f>IFERROR(VLOOKUP(C1177,$H$4:$I$70,2,0),"")</f>
        <v>273</v>
      </c>
    </row>
    <row r="1178" spans="2:6" x14ac:dyDescent="0.2">
      <c r="B1178" s="13">
        <f t="shared" si="56"/>
        <v>1175</v>
      </c>
      <c r="C1178" s="8">
        <f t="shared" si="57"/>
        <v>45</v>
      </c>
      <c r="D1178" s="8">
        <f t="shared" si="58"/>
        <v>47</v>
      </c>
      <c r="E1178" s="8">
        <f>IFERROR(VLOOKUP(D1178,$H$4:$I$70,2,0),"")</f>
        <v>248</v>
      </c>
      <c r="F1178" s="9">
        <f>IFERROR(VLOOKUP(C1178,$H$4:$I$70,2,0),"")</f>
        <v>268</v>
      </c>
    </row>
    <row r="1179" spans="2:6" x14ac:dyDescent="0.2">
      <c r="B1179" s="13">
        <f t="shared" si="56"/>
        <v>1176</v>
      </c>
      <c r="C1179" s="8">
        <f t="shared" si="57"/>
        <v>46</v>
      </c>
      <c r="D1179" s="8">
        <f t="shared" si="58"/>
        <v>47</v>
      </c>
      <c r="E1179" s="8">
        <f>IFERROR(VLOOKUP(D1179,$H$4:$I$70,2,0),"")</f>
        <v>248</v>
      </c>
      <c r="F1179" s="9">
        <f>IFERROR(VLOOKUP(C1179,$H$4:$I$70,2,0),"")</f>
        <v>262</v>
      </c>
    </row>
    <row r="1180" spans="2:6" x14ac:dyDescent="0.2">
      <c r="B1180" s="13">
        <f t="shared" si="56"/>
        <v>1177</v>
      </c>
      <c r="C1180" s="8">
        <f t="shared" si="57"/>
        <v>1</v>
      </c>
      <c r="D1180" s="8">
        <f t="shared" si="58"/>
        <v>46</v>
      </c>
      <c r="E1180" s="8">
        <f>IFERROR(VLOOKUP(D1180,$H$4:$I$70,2,0),"")</f>
        <v>262</v>
      </c>
      <c r="F1180" s="9">
        <f>IFERROR(VLOOKUP(C1180,$H$4:$I$70,2,0),"")</f>
        <v>1344</v>
      </c>
    </row>
    <row r="1181" spans="2:6" x14ac:dyDescent="0.2">
      <c r="B1181" s="13">
        <f t="shared" si="56"/>
        <v>1178</v>
      </c>
      <c r="C1181" s="8">
        <f t="shared" si="57"/>
        <v>2</v>
      </c>
      <c r="D1181" s="8">
        <f t="shared" si="58"/>
        <v>46</v>
      </c>
      <c r="E1181" s="8">
        <f>IFERROR(VLOOKUP(D1181,$H$4:$I$70,2,0),"")</f>
        <v>262</v>
      </c>
      <c r="F1181" s="9">
        <f>IFERROR(VLOOKUP(C1181,$H$4:$I$70,2,0),"")</f>
        <v>1048</v>
      </c>
    </row>
    <row r="1182" spans="2:6" x14ac:dyDescent="0.2">
      <c r="B1182" s="13">
        <f t="shared" si="56"/>
        <v>1179</v>
      </c>
      <c r="C1182" s="8">
        <f t="shared" si="57"/>
        <v>3</v>
      </c>
      <c r="D1182" s="8">
        <f t="shared" si="58"/>
        <v>46</v>
      </c>
      <c r="E1182" s="8">
        <f>IFERROR(VLOOKUP(D1182,$H$4:$I$70,2,0),"")</f>
        <v>262</v>
      </c>
      <c r="F1182" s="9">
        <f>IFERROR(VLOOKUP(C1182,$H$4:$I$70,2,0),"")</f>
        <v>1025</v>
      </c>
    </row>
    <row r="1183" spans="2:6" x14ac:dyDescent="0.2">
      <c r="B1183" s="13">
        <f t="shared" si="56"/>
        <v>1180</v>
      </c>
      <c r="C1183" s="8">
        <f t="shared" si="57"/>
        <v>4</v>
      </c>
      <c r="D1183" s="8">
        <f t="shared" si="58"/>
        <v>46</v>
      </c>
      <c r="E1183" s="8">
        <f>IFERROR(VLOOKUP(D1183,$H$4:$I$70,2,0),"")</f>
        <v>262</v>
      </c>
      <c r="F1183" s="9">
        <f>IFERROR(VLOOKUP(C1183,$H$4:$I$70,2,0),"")</f>
        <v>805</v>
      </c>
    </row>
    <row r="1184" spans="2:6" x14ac:dyDescent="0.2">
      <c r="B1184" s="13">
        <f t="shared" si="56"/>
        <v>1181</v>
      </c>
      <c r="C1184" s="8">
        <f t="shared" si="57"/>
        <v>5</v>
      </c>
      <c r="D1184" s="8">
        <f t="shared" si="58"/>
        <v>46</v>
      </c>
      <c r="E1184" s="8">
        <f>IFERROR(VLOOKUP(D1184,$H$4:$I$70,2,0),"")</f>
        <v>262</v>
      </c>
      <c r="F1184" s="9">
        <f>IFERROR(VLOOKUP(C1184,$H$4:$I$70,2,0),"")</f>
        <v>666</v>
      </c>
    </row>
    <row r="1185" spans="2:6" x14ac:dyDescent="0.2">
      <c r="B1185" s="13">
        <f t="shared" si="56"/>
        <v>1182</v>
      </c>
      <c r="C1185" s="8">
        <f t="shared" si="57"/>
        <v>6</v>
      </c>
      <c r="D1185" s="8">
        <f t="shared" si="58"/>
        <v>46</v>
      </c>
      <c r="E1185" s="8">
        <f>IFERROR(VLOOKUP(D1185,$H$4:$I$70,2,0),"")</f>
        <v>262</v>
      </c>
      <c r="F1185" s="9">
        <f>IFERROR(VLOOKUP(C1185,$H$4:$I$70,2,0),"")</f>
        <v>655</v>
      </c>
    </row>
    <row r="1186" spans="2:6" x14ac:dyDescent="0.2">
      <c r="B1186" s="13">
        <f t="shared" si="56"/>
        <v>1183</v>
      </c>
      <c r="C1186" s="8">
        <f t="shared" si="57"/>
        <v>7</v>
      </c>
      <c r="D1186" s="8">
        <f t="shared" si="58"/>
        <v>46</v>
      </c>
      <c r="E1186" s="8">
        <f>IFERROR(VLOOKUP(D1186,$H$4:$I$70,2,0),"")</f>
        <v>262</v>
      </c>
      <c r="F1186" s="9">
        <f>IFERROR(VLOOKUP(C1186,$H$4:$I$70,2,0),"")</f>
        <v>652</v>
      </c>
    </row>
    <row r="1187" spans="2:6" x14ac:dyDescent="0.2">
      <c r="B1187" s="13">
        <f t="shared" si="56"/>
        <v>1184</v>
      </c>
      <c r="C1187" s="8">
        <f t="shared" si="57"/>
        <v>8</v>
      </c>
      <c r="D1187" s="8">
        <f t="shared" si="58"/>
        <v>46</v>
      </c>
      <c r="E1187" s="8">
        <f>IFERROR(VLOOKUP(D1187,$H$4:$I$70,2,0),"")</f>
        <v>262</v>
      </c>
      <c r="F1187" s="9">
        <f>IFERROR(VLOOKUP(C1187,$H$4:$I$70,2,0),"")</f>
        <v>633</v>
      </c>
    </row>
    <row r="1188" spans="2:6" x14ac:dyDescent="0.2">
      <c r="B1188" s="13">
        <f t="shared" si="56"/>
        <v>1185</v>
      </c>
      <c r="C1188" s="8">
        <f t="shared" si="57"/>
        <v>9</v>
      </c>
      <c r="D1188" s="8">
        <f t="shared" si="58"/>
        <v>46</v>
      </c>
      <c r="E1188" s="8">
        <f>IFERROR(VLOOKUP(D1188,$H$4:$I$70,2,0),"")</f>
        <v>262</v>
      </c>
      <c r="F1188" s="9">
        <f>IFERROR(VLOOKUP(C1188,$H$4:$I$70,2,0),"")</f>
        <v>632</v>
      </c>
    </row>
    <row r="1189" spans="2:6" x14ac:dyDescent="0.2">
      <c r="B1189" s="13">
        <f t="shared" si="56"/>
        <v>1186</v>
      </c>
      <c r="C1189" s="8">
        <f t="shared" si="57"/>
        <v>10</v>
      </c>
      <c r="D1189" s="8">
        <f t="shared" si="58"/>
        <v>46</v>
      </c>
      <c r="E1189" s="8">
        <f>IFERROR(VLOOKUP(D1189,$H$4:$I$70,2,0),"")</f>
        <v>262</v>
      </c>
      <c r="F1189" s="9">
        <f>IFERROR(VLOOKUP(C1189,$H$4:$I$70,2,0),"")</f>
        <v>625</v>
      </c>
    </row>
    <row r="1190" spans="2:6" x14ac:dyDescent="0.2">
      <c r="B1190" s="13">
        <f t="shared" si="56"/>
        <v>1187</v>
      </c>
      <c r="C1190" s="8">
        <f t="shared" si="57"/>
        <v>11</v>
      </c>
      <c r="D1190" s="8">
        <f t="shared" si="58"/>
        <v>46</v>
      </c>
      <c r="E1190" s="8">
        <f>IFERROR(VLOOKUP(D1190,$H$4:$I$70,2,0),"")</f>
        <v>262</v>
      </c>
      <c r="F1190" s="9">
        <f>IFERROR(VLOOKUP(C1190,$H$4:$I$70,2,0),"")</f>
        <v>619</v>
      </c>
    </row>
    <row r="1191" spans="2:6" x14ac:dyDescent="0.2">
      <c r="B1191" s="13">
        <f t="shared" si="56"/>
        <v>1188</v>
      </c>
      <c r="C1191" s="8">
        <f t="shared" si="57"/>
        <v>12</v>
      </c>
      <c r="D1191" s="8">
        <f t="shared" si="58"/>
        <v>46</v>
      </c>
      <c r="E1191" s="8">
        <f>IFERROR(VLOOKUP(D1191,$H$4:$I$70,2,0),"")</f>
        <v>262</v>
      </c>
      <c r="F1191" s="9">
        <f>IFERROR(VLOOKUP(C1191,$H$4:$I$70,2,0),"")</f>
        <v>610</v>
      </c>
    </row>
    <row r="1192" spans="2:6" x14ac:dyDescent="0.2">
      <c r="B1192" s="13">
        <f t="shared" si="56"/>
        <v>1189</v>
      </c>
      <c r="C1192" s="8">
        <f t="shared" si="57"/>
        <v>13</v>
      </c>
      <c r="D1192" s="8">
        <f t="shared" si="58"/>
        <v>46</v>
      </c>
      <c r="E1192" s="8">
        <f>IFERROR(VLOOKUP(D1192,$H$4:$I$70,2,0),"")</f>
        <v>262</v>
      </c>
      <c r="F1192" s="9">
        <f>IFERROR(VLOOKUP(C1192,$H$4:$I$70,2,0),"")</f>
        <v>599</v>
      </c>
    </row>
    <row r="1193" spans="2:6" x14ac:dyDescent="0.2">
      <c r="B1193" s="13">
        <f t="shared" si="56"/>
        <v>1190</v>
      </c>
      <c r="C1193" s="8">
        <f t="shared" si="57"/>
        <v>14</v>
      </c>
      <c r="D1193" s="8">
        <f t="shared" si="58"/>
        <v>46</v>
      </c>
      <c r="E1193" s="8">
        <f>IFERROR(VLOOKUP(D1193,$H$4:$I$70,2,0),"")</f>
        <v>262</v>
      </c>
      <c r="F1193" s="9">
        <f>IFERROR(VLOOKUP(C1193,$H$4:$I$70,2,0),"")</f>
        <v>559</v>
      </c>
    </row>
    <row r="1194" spans="2:6" x14ac:dyDescent="0.2">
      <c r="B1194" s="13">
        <f t="shared" si="56"/>
        <v>1191</v>
      </c>
      <c r="C1194" s="8">
        <f t="shared" si="57"/>
        <v>15</v>
      </c>
      <c r="D1194" s="8">
        <f t="shared" si="58"/>
        <v>46</v>
      </c>
      <c r="E1194" s="8">
        <f>IFERROR(VLOOKUP(D1194,$H$4:$I$70,2,0),"")</f>
        <v>262</v>
      </c>
      <c r="F1194" s="9">
        <f>IFERROR(VLOOKUP(C1194,$H$4:$I$70,2,0),"")</f>
        <v>556</v>
      </c>
    </row>
    <row r="1195" spans="2:6" x14ac:dyDescent="0.2">
      <c r="B1195" s="13">
        <f t="shared" si="56"/>
        <v>1192</v>
      </c>
      <c r="C1195" s="8">
        <f t="shared" si="57"/>
        <v>16</v>
      </c>
      <c r="D1195" s="8">
        <f t="shared" si="58"/>
        <v>46</v>
      </c>
      <c r="E1195" s="8">
        <f>IFERROR(VLOOKUP(D1195,$H$4:$I$70,2,0),"")</f>
        <v>262</v>
      </c>
      <c r="F1195" s="9">
        <f>IFERROR(VLOOKUP(C1195,$H$4:$I$70,2,0),"")</f>
        <v>540</v>
      </c>
    </row>
    <row r="1196" spans="2:6" x14ac:dyDescent="0.2">
      <c r="B1196" s="13">
        <f t="shared" si="56"/>
        <v>1193</v>
      </c>
      <c r="C1196" s="8">
        <f t="shared" si="57"/>
        <v>17</v>
      </c>
      <c r="D1196" s="8">
        <f t="shared" si="58"/>
        <v>46</v>
      </c>
      <c r="E1196" s="8">
        <f>IFERROR(VLOOKUP(D1196,$H$4:$I$70,2,0),"")</f>
        <v>262</v>
      </c>
      <c r="F1196" s="9">
        <f>IFERROR(VLOOKUP(C1196,$H$4:$I$70,2,0),"")</f>
        <v>536</v>
      </c>
    </row>
    <row r="1197" spans="2:6" x14ac:dyDescent="0.2">
      <c r="B1197" s="13">
        <f t="shared" si="56"/>
        <v>1194</v>
      </c>
      <c r="C1197" s="8">
        <f t="shared" si="57"/>
        <v>18</v>
      </c>
      <c r="D1197" s="8">
        <f t="shared" si="58"/>
        <v>46</v>
      </c>
      <c r="E1197" s="8">
        <f>IFERROR(VLOOKUP(D1197,$H$4:$I$70,2,0),"")</f>
        <v>262</v>
      </c>
      <c r="F1197" s="9">
        <f>IFERROR(VLOOKUP(C1197,$H$4:$I$70,2,0),"")</f>
        <v>527</v>
      </c>
    </row>
    <row r="1198" spans="2:6" x14ac:dyDescent="0.2">
      <c r="B1198" s="13">
        <f t="shared" si="56"/>
        <v>1195</v>
      </c>
      <c r="C1198" s="8">
        <f t="shared" si="57"/>
        <v>19</v>
      </c>
      <c r="D1198" s="8">
        <f t="shared" si="58"/>
        <v>46</v>
      </c>
      <c r="E1198" s="8">
        <f>IFERROR(VLOOKUP(D1198,$H$4:$I$70,2,0),"")</f>
        <v>262</v>
      </c>
      <c r="F1198" s="9">
        <f>IFERROR(VLOOKUP(C1198,$H$4:$I$70,2,0),"")</f>
        <v>478</v>
      </c>
    </row>
    <row r="1199" spans="2:6" x14ac:dyDescent="0.2">
      <c r="B1199" s="13">
        <f t="shared" si="56"/>
        <v>1196</v>
      </c>
      <c r="C1199" s="8">
        <f t="shared" si="57"/>
        <v>20</v>
      </c>
      <c r="D1199" s="8">
        <f t="shared" si="58"/>
        <v>46</v>
      </c>
      <c r="E1199" s="8">
        <f>IFERROR(VLOOKUP(D1199,$H$4:$I$70,2,0),"")</f>
        <v>262</v>
      </c>
      <c r="F1199" s="9">
        <f>IFERROR(VLOOKUP(C1199,$H$4:$I$70,2,0),"")</f>
        <v>474</v>
      </c>
    </row>
    <row r="1200" spans="2:6" x14ac:dyDescent="0.2">
      <c r="B1200" s="13">
        <f t="shared" si="56"/>
        <v>1197</v>
      </c>
      <c r="C1200" s="8">
        <f t="shared" si="57"/>
        <v>21</v>
      </c>
      <c r="D1200" s="8">
        <f t="shared" si="58"/>
        <v>46</v>
      </c>
      <c r="E1200" s="8">
        <f>IFERROR(VLOOKUP(D1200,$H$4:$I$70,2,0),"")</f>
        <v>262</v>
      </c>
      <c r="F1200" s="9">
        <f>IFERROR(VLOOKUP(C1200,$H$4:$I$70,2,0),"")</f>
        <v>468</v>
      </c>
    </row>
    <row r="1201" spans="2:6" x14ac:dyDescent="0.2">
      <c r="B1201" s="13">
        <f t="shared" si="56"/>
        <v>1198</v>
      </c>
      <c r="C1201" s="8">
        <f t="shared" si="57"/>
        <v>22</v>
      </c>
      <c r="D1201" s="8">
        <f t="shared" si="58"/>
        <v>46</v>
      </c>
      <c r="E1201" s="8">
        <f>IFERROR(VLOOKUP(D1201,$H$4:$I$70,2,0),"")</f>
        <v>262</v>
      </c>
      <c r="F1201" s="9">
        <f>IFERROR(VLOOKUP(C1201,$H$4:$I$70,2,0),"")</f>
        <v>457</v>
      </c>
    </row>
    <row r="1202" spans="2:6" x14ac:dyDescent="0.2">
      <c r="B1202" s="13">
        <f t="shared" si="56"/>
        <v>1199</v>
      </c>
      <c r="C1202" s="8">
        <f t="shared" si="57"/>
        <v>23</v>
      </c>
      <c r="D1202" s="8">
        <f t="shared" si="58"/>
        <v>46</v>
      </c>
      <c r="E1202" s="8">
        <f>IFERROR(VLOOKUP(D1202,$H$4:$I$70,2,0),"")</f>
        <v>262</v>
      </c>
      <c r="F1202" s="9">
        <f>IFERROR(VLOOKUP(C1202,$H$4:$I$70,2,0),"")</f>
        <v>452</v>
      </c>
    </row>
    <row r="1203" spans="2:6" x14ac:dyDescent="0.2">
      <c r="B1203" s="13">
        <f t="shared" si="56"/>
        <v>1200</v>
      </c>
      <c r="C1203" s="8">
        <f t="shared" si="57"/>
        <v>24</v>
      </c>
      <c r="D1203" s="8">
        <f t="shared" si="58"/>
        <v>46</v>
      </c>
      <c r="E1203" s="8">
        <f>IFERROR(VLOOKUP(D1203,$H$4:$I$70,2,0),"")</f>
        <v>262</v>
      </c>
      <c r="F1203" s="9">
        <f>IFERROR(VLOOKUP(C1203,$H$4:$I$70,2,0),"")</f>
        <v>442</v>
      </c>
    </row>
    <row r="1204" spans="2:6" x14ac:dyDescent="0.2">
      <c r="B1204" s="13">
        <f t="shared" si="56"/>
        <v>1201</v>
      </c>
      <c r="C1204" s="8">
        <f t="shared" si="57"/>
        <v>25</v>
      </c>
      <c r="D1204" s="8">
        <f t="shared" si="58"/>
        <v>46</v>
      </c>
      <c r="E1204" s="8">
        <f>IFERROR(VLOOKUP(D1204,$H$4:$I$70,2,0),"")</f>
        <v>262</v>
      </c>
      <c r="F1204" s="9">
        <f>IFERROR(VLOOKUP(C1204,$H$4:$I$70,2,0),"")</f>
        <v>420</v>
      </c>
    </row>
    <row r="1205" spans="2:6" x14ac:dyDescent="0.2">
      <c r="B1205" s="13">
        <f t="shared" si="56"/>
        <v>1202</v>
      </c>
      <c r="C1205" s="8">
        <f t="shared" si="57"/>
        <v>26</v>
      </c>
      <c r="D1205" s="8">
        <f t="shared" si="58"/>
        <v>46</v>
      </c>
      <c r="E1205" s="8">
        <f>IFERROR(VLOOKUP(D1205,$H$4:$I$70,2,0),"")</f>
        <v>262</v>
      </c>
      <c r="F1205" s="9">
        <f>IFERROR(VLOOKUP(C1205,$H$4:$I$70,2,0),"")</f>
        <v>410</v>
      </c>
    </row>
    <row r="1206" spans="2:6" x14ac:dyDescent="0.2">
      <c r="B1206" s="13">
        <f t="shared" si="56"/>
        <v>1203</v>
      </c>
      <c r="C1206" s="8">
        <f t="shared" si="57"/>
        <v>27</v>
      </c>
      <c r="D1206" s="8">
        <f t="shared" si="58"/>
        <v>46</v>
      </c>
      <c r="E1206" s="8">
        <f>IFERROR(VLOOKUP(D1206,$H$4:$I$70,2,0),"")</f>
        <v>262</v>
      </c>
      <c r="F1206" s="9">
        <f>IFERROR(VLOOKUP(C1206,$H$4:$I$70,2,0),"")</f>
        <v>409</v>
      </c>
    </row>
    <row r="1207" spans="2:6" x14ac:dyDescent="0.2">
      <c r="B1207" s="13">
        <f t="shared" si="56"/>
        <v>1204</v>
      </c>
      <c r="C1207" s="8">
        <f t="shared" si="57"/>
        <v>28</v>
      </c>
      <c r="D1207" s="8">
        <f t="shared" si="58"/>
        <v>46</v>
      </c>
      <c r="E1207" s="8">
        <f>IFERROR(VLOOKUP(D1207,$H$4:$I$70,2,0),"")</f>
        <v>262</v>
      </c>
      <c r="F1207" s="9">
        <f>IFERROR(VLOOKUP(C1207,$H$4:$I$70,2,0),"")</f>
        <v>408</v>
      </c>
    </row>
    <row r="1208" spans="2:6" x14ac:dyDescent="0.2">
      <c r="B1208" s="13">
        <f t="shared" si="56"/>
        <v>1205</v>
      </c>
      <c r="C1208" s="8">
        <f t="shared" si="57"/>
        <v>29</v>
      </c>
      <c r="D1208" s="8">
        <f t="shared" si="58"/>
        <v>46</v>
      </c>
      <c r="E1208" s="8">
        <f>IFERROR(VLOOKUP(D1208,$H$4:$I$70,2,0),"")</f>
        <v>262</v>
      </c>
      <c r="F1208" s="9">
        <f>IFERROR(VLOOKUP(C1208,$H$4:$I$70,2,0),"")</f>
        <v>404</v>
      </c>
    </row>
    <row r="1209" spans="2:6" x14ac:dyDescent="0.2">
      <c r="B1209" s="13">
        <f t="shared" si="56"/>
        <v>1206</v>
      </c>
      <c r="C1209" s="8">
        <f t="shared" si="57"/>
        <v>30</v>
      </c>
      <c r="D1209" s="8">
        <f t="shared" si="58"/>
        <v>46</v>
      </c>
      <c r="E1209" s="8">
        <f>IFERROR(VLOOKUP(D1209,$H$4:$I$70,2,0),"")</f>
        <v>262</v>
      </c>
      <c r="F1209" s="9">
        <f>IFERROR(VLOOKUP(C1209,$H$4:$I$70,2,0),"")</f>
        <v>399</v>
      </c>
    </row>
    <row r="1210" spans="2:6" x14ac:dyDescent="0.2">
      <c r="B1210" s="13">
        <f t="shared" si="56"/>
        <v>1207</v>
      </c>
      <c r="C1210" s="8">
        <f t="shared" si="57"/>
        <v>31</v>
      </c>
      <c r="D1210" s="8">
        <f t="shared" si="58"/>
        <v>46</v>
      </c>
      <c r="E1210" s="8">
        <f>IFERROR(VLOOKUP(D1210,$H$4:$I$70,2,0),"")</f>
        <v>262</v>
      </c>
      <c r="F1210" s="9">
        <f>IFERROR(VLOOKUP(C1210,$H$4:$I$70,2,0),"")</f>
        <v>396</v>
      </c>
    </row>
    <row r="1211" spans="2:6" x14ac:dyDescent="0.2">
      <c r="B1211" s="13">
        <f t="shared" si="56"/>
        <v>1208</v>
      </c>
      <c r="C1211" s="8">
        <f t="shared" si="57"/>
        <v>32</v>
      </c>
      <c r="D1211" s="8">
        <f t="shared" si="58"/>
        <v>46</v>
      </c>
      <c r="E1211" s="8">
        <f>IFERROR(VLOOKUP(D1211,$H$4:$I$70,2,0),"")</f>
        <v>262</v>
      </c>
      <c r="F1211" s="9">
        <f>IFERROR(VLOOKUP(C1211,$H$4:$I$70,2,0),"")</f>
        <v>384</v>
      </c>
    </row>
    <row r="1212" spans="2:6" x14ac:dyDescent="0.2">
      <c r="B1212" s="13">
        <f t="shared" si="56"/>
        <v>1209</v>
      </c>
      <c r="C1212" s="8">
        <f t="shared" si="57"/>
        <v>33</v>
      </c>
      <c r="D1212" s="8">
        <f t="shared" si="58"/>
        <v>46</v>
      </c>
      <c r="E1212" s="8">
        <f>IFERROR(VLOOKUP(D1212,$H$4:$I$70,2,0),"")</f>
        <v>262</v>
      </c>
      <c r="F1212" s="9">
        <f>IFERROR(VLOOKUP(C1212,$H$4:$I$70,2,0),"")</f>
        <v>381</v>
      </c>
    </row>
    <row r="1213" spans="2:6" x14ac:dyDescent="0.2">
      <c r="B1213" s="13">
        <f t="shared" si="56"/>
        <v>1210</v>
      </c>
      <c r="C1213" s="8">
        <f t="shared" si="57"/>
        <v>34</v>
      </c>
      <c r="D1213" s="8">
        <f t="shared" si="58"/>
        <v>46</v>
      </c>
      <c r="E1213" s="8">
        <f>IFERROR(VLOOKUP(D1213,$H$4:$I$70,2,0),"")</f>
        <v>262</v>
      </c>
      <c r="F1213" s="9">
        <f>IFERROR(VLOOKUP(C1213,$H$4:$I$70,2,0),"")</f>
        <v>376</v>
      </c>
    </row>
    <row r="1214" spans="2:6" x14ac:dyDescent="0.2">
      <c r="B1214" s="13">
        <f t="shared" si="56"/>
        <v>1211</v>
      </c>
      <c r="C1214" s="8">
        <f t="shared" si="57"/>
        <v>35</v>
      </c>
      <c r="D1214" s="8">
        <f t="shared" si="58"/>
        <v>46</v>
      </c>
      <c r="E1214" s="8">
        <f>IFERROR(VLOOKUP(D1214,$H$4:$I$70,2,0),"")</f>
        <v>262</v>
      </c>
      <c r="F1214" s="9">
        <f>IFERROR(VLOOKUP(C1214,$H$4:$I$70,2,0),"")</f>
        <v>370</v>
      </c>
    </row>
    <row r="1215" spans="2:6" x14ac:dyDescent="0.2">
      <c r="B1215" s="13">
        <f t="shared" si="56"/>
        <v>1212</v>
      </c>
      <c r="C1215" s="8">
        <f t="shared" si="57"/>
        <v>36</v>
      </c>
      <c r="D1215" s="8">
        <f t="shared" si="58"/>
        <v>46</v>
      </c>
      <c r="E1215" s="8">
        <f>IFERROR(VLOOKUP(D1215,$H$4:$I$70,2,0),"")</f>
        <v>262</v>
      </c>
      <c r="F1215" s="9">
        <f>IFERROR(VLOOKUP(C1215,$H$4:$I$70,2,0),"")</f>
        <v>362</v>
      </c>
    </row>
    <row r="1216" spans="2:6" x14ac:dyDescent="0.2">
      <c r="B1216" s="13">
        <f t="shared" si="56"/>
        <v>1213</v>
      </c>
      <c r="C1216" s="8">
        <f t="shared" si="57"/>
        <v>37</v>
      </c>
      <c r="D1216" s="8">
        <f t="shared" si="58"/>
        <v>46</v>
      </c>
      <c r="E1216" s="8">
        <f>IFERROR(VLOOKUP(D1216,$H$4:$I$70,2,0),"")</f>
        <v>262</v>
      </c>
      <c r="F1216" s="9">
        <f>IFERROR(VLOOKUP(C1216,$H$4:$I$70,2,0),"")</f>
        <v>357</v>
      </c>
    </row>
    <row r="1217" spans="2:6" x14ac:dyDescent="0.2">
      <c r="B1217" s="13">
        <f t="shared" si="56"/>
        <v>1214</v>
      </c>
      <c r="C1217" s="8">
        <f t="shared" si="57"/>
        <v>38</v>
      </c>
      <c r="D1217" s="8">
        <f t="shared" si="58"/>
        <v>46</v>
      </c>
      <c r="E1217" s="8">
        <f>IFERROR(VLOOKUP(D1217,$H$4:$I$70,2,0),"")</f>
        <v>262</v>
      </c>
      <c r="F1217" s="9">
        <f>IFERROR(VLOOKUP(C1217,$H$4:$I$70,2,0),"")</f>
        <v>351</v>
      </c>
    </row>
    <row r="1218" spans="2:6" x14ac:dyDescent="0.2">
      <c r="B1218" s="13">
        <f t="shared" si="56"/>
        <v>1215</v>
      </c>
      <c r="C1218" s="8">
        <f t="shared" si="57"/>
        <v>39</v>
      </c>
      <c r="D1218" s="8">
        <f t="shared" si="58"/>
        <v>46</v>
      </c>
      <c r="E1218" s="8">
        <f>IFERROR(VLOOKUP(D1218,$H$4:$I$70,2,0),"")</f>
        <v>262</v>
      </c>
      <c r="F1218" s="9">
        <f>IFERROR(VLOOKUP(C1218,$H$4:$I$70,2,0),"")</f>
        <v>339</v>
      </c>
    </row>
    <row r="1219" spans="2:6" x14ac:dyDescent="0.2">
      <c r="B1219" s="13">
        <f t="shared" si="56"/>
        <v>1216</v>
      </c>
      <c r="C1219" s="8">
        <f t="shared" si="57"/>
        <v>40</v>
      </c>
      <c r="D1219" s="8">
        <f t="shared" si="58"/>
        <v>46</v>
      </c>
      <c r="E1219" s="8">
        <f>IFERROR(VLOOKUP(D1219,$H$4:$I$70,2,0),"")</f>
        <v>262</v>
      </c>
      <c r="F1219" s="9">
        <f>IFERROR(VLOOKUP(C1219,$H$4:$I$70,2,0),"")</f>
        <v>304</v>
      </c>
    </row>
    <row r="1220" spans="2:6" x14ac:dyDescent="0.2">
      <c r="B1220" s="13">
        <f t="shared" si="56"/>
        <v>1217</v>
      </c>
      <c r="C1220" s="8">
        <f t="shared" si="57"/>
        <v>41</v>
      </c>
      <c r="D1220" s="8">
        <f t="shared" si="58"/>
        <v>46</v>
      </c>
      <c r="E1220" s="8">
        <f>IFERROR(VLOOKUP(D1220,$H$4:$I$70,2,0),"")</f>
        <v>262</v>
      </c>
      <c r="F1220" s="9">
        <f>IFERROR(VLOOKUP(C1220,$H$4:$I$70,2,0),"")</f>
        <v>301</v>
      </c>
    </row>
    <row r="1221" spans="2:6" x14ac:dyDescent="0.2">
      <c r="B1221" s="13">
        <f t="shared" ref="B1221:B1284" si="59">ROW()-3</f>
        <v>1218</v>
      </c>
      <c r="C1221" s="8">
        <f t="shared" si="57"/>
        <v>42</v>
      </c>
      <c r="D1221" s="8">
        <f t="shared" si="58"/>
        <v>46</v>
      </c>
      <c r="E1221" s="8">
        <f>IFERROR(VLOOKUP(D1221,$H$4:$I$70,2,0),"")</f>
        <v>262</v>
      </c>
      <c r="F1221" s="9">
        <f>IFERROR(VLOOKUP(C1221,$H$4:$I$70,2,0),"")</f>
        <v>300</v>
      </c>
    </row>
    <row r="1222" spans="2:6" x14ac:dyDescent="0.2">
      <c r="B1222" s="13">
        <f t="shared" si="59"/>
        <v>1219</v>
      </c>
      <c r="C1222" s="8">
        <f t="shared" ref="C1222:C1285" si="60">IF((D1221-C1221)=1,1,C1221+1)</f>
        <v>43</v>
      </c>
      <c r="D1222" s="8">
        <f t="shared" ref="D1222:D1285" si="61">IF((D1221-C1221)=1,D1221-1,D1221)</f>
        <v>46</v>
      </c>
      <c r="E1222" s="8">
        <f>IFERROR(VLOOKUP(D1222,$H$4:$I$70,2,0),"")</f>
        <v>262</v>
      </c>
      <c r="F1222" s="9">
        <f>IFERROR(VLOOKUP(C1222,$H$4:$I$70,2,0),"")</f>
        <v>288</v>
      </c>
    </row>
    <row r="1223" spans="2:6" x14ac:dyDescent="0.2">
      <c r="B1223" s="13">
        <f t="shared" si="59"/>
        <v>1220</v>
      </c>
      <c r="C1223" s="8">
        <f t="shared" si="60"/>
        <v>44</v>
      </c>
      <c r="D1223" s="8">
        <f t="shared" si="61"/>
        <v>46</v>
      </c>
      <c r="E1223" s="8">
        <f>IFERROR(VLOOKUP(D1223,$H$4:$I$70,2,0),"")</f>
        <v>262</v>
      </c>
      <c r="F1223" s="9">
        <f>IFERROR(VLOOKUP(C1223,$H$4:$I$70,2,0),"")</f>
        <v>273</v>
      </c>
    </row>
    <row r="1224" spans="2:6" x14ac:dyDescent="0.2">
      <c r="B1224" s="13">
        <f t="shared" si="59"/>
        <v>1221</v>
      </c>
      <c r="C1224" s="8">
        <f t="shared" si="60"/>
        <v>45</v>
      </c>
      <c r="D1224" s="8">
        <f t="shared" si="61"/>
        <v>46</v>
      </c>
      <c r="E1224" s="8">
        <f>IFERROR(VLOOKUP(D1224,$H$4:$I$70,2,0),"")</f>
        <v>262</v>
      </c>
      <c r="F1224" s="9">
        <f>IFERROR(VLOOKUP(C1224,$H$4:$I$70,2,0),"")</f>
        <v>268</v>
      </c>
    </row>
    <row r="1225" spans="2:6" x14ac:dyDescent="0.2">
      <c r="B1225" s="13">
        <f t="shared" si="59"/>
        <v>1222</v>
      </c>
      <c r="C1225" s="8">
        <f t="shared" si="60"/>
        <v>1</v>
      </c>
      <c r="D1225" s="8">
        <f t="shared" si="61"/>
        <v>45</v>
      </c>
      <c r="E1225" s="8">
        <f>IFERROR(VLOOKUP(D1225,$H$4:$I$70,2,0),"")</f>
        <v>268</v>
      </c>
      <c r="F1225" s="9">
        <f>IFERROR(VLOOKUP(C1225,$H$4:$I$70,2,0),"")</f>
        <v>1344</v>
      </c>
    </row>
    <row r="1226" spans="2:6" x14ac:dyDescent="0.2">
      <c r="B1226" s="13">
        <f t="shared" si="59"/>
        <v>1223</v>
      </c>
      <c r="C1226" s="8">
        <f t="shared" si="60"/>
        <v>2</v>
      </c>
      <c r="D1226" s="8">
        <f t="shared" si="61"/>
        <v>45</v>
      </c>
      <c r="E1226" s="8">
        <f>IFERROR(VLOOKUP(D1226,$H$4:$I$70,2,0),"")</f>
        <v>268</v>
      </c>
      <c r="F1226" s="9">
        <f>IFERROR(VLOOKUP(C1226,$H$4:$I$70,2,0),"")</f>
        <v>1048</v>
      </c>
    </row>
    <row r="1227" spans="2:6" x14ac:dyDescent="0.2">
      <c r="B1227" s="13">
        <f t="shared" si="59"/>
        <v>1224</v>
      </c>
      <c r="C1227" s="8">
        <f t="shared" si="60"/>
        <v>3</v>
      </c>
      <c r="D1227" s="8">
        <f t="shared" si="61"/>
        <v>45</v>
      </c>
      <c r="E1227" s="8">
        <f>IFERROR(VLOOKUP(D1227,$H$4:$I$70,2,0),"")</f>
        <v>268</v>
      </c>
      <c r="F1227" s="9">
        <f>IFERROR(VLOOKUP(C1227,$H$4:$I$70,2,0),"")</f>
        <v>1025</v>
      </c>
    </row>
    <row r="1228" spans="2:6" x14ac:dyDescent="0.2">
      <c r="B1228" s="13">
        <f t="shared" si="59"/>
        <v>1225</v>
      </c>
      <c r="C1228" s="8">
        <f t="shared" si="60"/>
        <v>4</v>
      </c>
      <c r="D1228" s="8">
        <f t="shared" si="61"/>
        <v>45</v>
      </c>
      <c r="E1228" s="8">
        <f>IFERROR(VLOOKUP(D1228,$H$4:$I$70,2,0),"")</f>
        <v>268</v>
      </c>
      <c r="F1228" s="9">
        <f>IFERROR(VLOOKUP(C1228,$H$4:$I$70,2,0),"")</f>
        <v>805</v>
      </c>
    </row>
    <row r="1229" spans="2:6" x14ac:dyDescent="0.2">
      <c r="B1229" s="13">
        <f t="shared" si="59"/>
        <v>1226</v>
      </c>
      <c r="C1229" s="8">
        <f t="shared" si="60"/>
        <v>5</v>
      </c>
      <c r="D1229" s="8">
        <f t="shared" si="61"/>
        <v>45</v>
      </c>
      <c r="E1229" s="8">
        <f>IFERROR(VLOOKUP(D1229,$H$4:$I$70,2,0),"")</f>
        <v>268</v>
      </c>
      <c r="F1229" s="9">
        <f>IFERROR(VLOOKUP(C1229,$H$4:$I$70,2,0),"")</f>
        <v>666</v>
      </c>
    </row>
    <row r="1230" spans="2:6" x14ac:dyDescent="0.2">
      <c r="B1230" s="13">
        <f t="shared" si="59"/>
        <v>1227</v>
      </c>
      <c r="C1230" s="8">
        <f t="shared" si="60"/>
        <v>6</v>
      </c>
      <c r="D1230" s="8">
        <f t="shared" si="61"/>
        <v>45</v>
      </c>
      <c r="E1230" s="8">
        <f>IFERROR(VLOOKUP(D1230,$H$4:$I$70,2,0),"")</f>
        <v>268</v>
      </c>
      <c r="F1230" s="9">
        <f>IFERROR(VLOOKUP(C1230,$H$4:$I$70,2,0),"")</f>
        <v>655</v>
      </c>
    </row>
    <row r="1231" spans="2:6" x14ac:dyDescent="0.2">
      <c r="B1231" s="13">
        <f t="shared" si="59"/>
        <v>1228</v>
      </c>
      <c r="C1231" s="8">
        <f t="shared" si="60"/>
        <v>7</v>
      </c>
      <c r="D1231" s="8">
        <f t="shared" si="61"/>
        <v>45</v>
      </c>
      <c r="E1231" s="8">
        <f>IFERROR(VLOOKUP(D1231,$H$4:$I$70,2,0),"")</f>
        <v>268</v>
      </c>
      <c r="F1231" s="9">
        <f>IFERROR(VLOOKUP(C1231,$H$4:$I$70,2,0),"")</f>
        <v>652</v>
      </c>
    </row>
    <row r="1232" spans="2:6" x14ac:dyDescent="0.2">
      <c r="B1232" s="13">
        <f t="shared" si="59"/>
        <v>1229</v>
      </c>
      <c r="C1232" s="8">
        <f t="shared" si="60"/>
        <v>8</v>
      </c>
      <c r="D1232" s="8">
        <f t="shared" si="61"/>
        <v>45</v>
      </c>
      <c r="E1232" s="8">
        <f>IFERROR(VLOOKUP(D1232,$H$4:$I$70,2,0),"")</f>
        <v>268</v>
      </c>
      <c r="F1232" s="9">
        <f>IFERROR(VLOOKUP(C1232,$H$4:$I$70,2,0),"")</f>
        <v>633</v>
      </c>
    </row>
    <row r="1233" spans="2:6" x14ac:dyDescent="0.2">
      <c r="B1233" s="13">
        <f t="shared" si="59"/>
        <v>1230</v>
      </c>
      <c r="C1233" s="8">
        <f t="shared" si="60"/>
        <v>9</v>
      </c>
      <c r="D1233" s="8">
        <f t="shared" si="61"/>
        <v>45</v>
      </c>
      <c r="E1233" s="8">
        <f>IFERROR(VLOOKUP(D1233,$H$4:$I$70,2,0),"")</f>
        <v>268</v>
      </c>
      <c r="F1233" s="9">
        <f>IFERROR(VLOOKUP(C1233,$H$4:$I$70,2,0),"")</f>
        <v>632</v>
      </c>
    </row>
    <row r="1234" spans="2:6" x14ac:dyDescent="0.2">
      <c r="B1234" s="13">
        <f t="shared" si="59"/>
        <v>1231</v>
      </c>
      <c r="C1234" s="8">
        <f t="shared" si="60"/>
        <v>10</v>
      </c>
      <c r="D1234" s="8">
        <f t="shared" si="61"/>
        <v>45</v>
      </c>
      <c r="E1234" s="8">
        <f>IFERROR(VLOOKUP(D1234,$H$4:$I$70,2,0),"")</f>
        <v>268</v>
      </c>
      <c r="F1234" s="9">
        <f>IFERROR(VLOOKUP(C1234,$H$4:$I$70,2,0),"")</f>
        <v>625</v>
      </c>
    </row>
    <row r="1235" spans="2:6" x14ac:dyDescent="0.2">
      <c r="B1235" s="13">
        <f t="shared" si="59"/>
        <v>1232</v>
      </c>
      <c r="C1235" s="8">
        <f t="shared" si="60"/>
        <v>11</v>
      </c>
      <c r="D1235" s="8">
        <f t="shared" si="61"/>
        <v>45</v>
      </c>
      <c r="E1235" s="8">
        <f>IFERROR(VLOOKUP(D1235,$H$4:$I$70,2,0),"")</f>
        <v>268</v>
      </c>
      <c r="F1235" s="9">
        <f>IFERROR(VLOOKUP(C1235,$H$4:$I$70,2,0),"")</f>
        <v>619</v>
      </c>
    </row>
    <row r="1236" spans="2:6" x14ac:dyDescent="0.2">
      <c r="B1236" s="13">
        <f t="shared" si="59"/>
        <v>1233</v>
      </c>
      <c r="C1236" s="8">
        <f t="shared" si="60"/>
        <v>12</v>
      </c>
      <c r="D1236" s="8">
        <f t="shared" si="61"/>
        <v>45</v>
      </c>
      <c r="E1236" s="8">
        <f>IFERROR(VLOOKUP(D1236,$H$4:$I$70,2,0),"")</f>
        <v>268</v>
      </c>
      <c r="F1236" s="9">
        <f>IFERROR(VLOOKUP(C1236,$H$4:$I$70,2,0),"")</f>
        <v>610</v>
      </c>
    </row>
    <row r="1237" spans="2:6" x14ac:dyDescent="0.2">
      <c r="B1237" s="13">
        <f t="shared" si="59"/>
        <v>1234</v>
      </c>
      <c r="C1237" s="8">
        <f t="shared" si="60"/>
        <v>13</v>
      </c>
      <c r="D1237" s="8">
        <f t="shared" si="61"/>
        <v>45</v>
      </c>
      <c r="E1237" s="8">
        <f>IFERROR(VLOOKUP(D1237,$H$4:$I$70,2,0),"")</f>
        <v>268</v>
      </c>
      <c r="F1237" s="9">
        <f>IFERROR(VLOOKUP(C1237,$H$4:$I$70,2,0),"")</f>
        <v>599</v>
      </c>
    </row>
    <row r="1238" spans="2:6" x14ac:dyDescent="0.2">
      <c r="B1238" s="13">
        <f t="shared" si="59"/>
        <v>1235</v>
      </c>
      <c r="C1238" s="8">
        <f t="shared" si="60"/>
        <v>14</v>
      </c>
      <c r="D1238" s="8">
        <f t="shared" si="61"/>
        <v>45</v>
      </c>
      <c r="E1238" s="8">
        <f>IFERROR(VLOOKUP(D1238,$H$4:$I$70,2,0),"")</f>
        <v>268</v>
      </c>
      <c r="F1238" s="9">
        <f>IFERROR(VLOOKUP(C1238,$H$4:$I$70,2,0),"")</f>
        <v>559</v>
      </c>
    </row>
    <row r="1239" spans="2:6" x14ac:dyDescent="0.2">
      <c r="B1239" s="13">
        <f t="shared" si="59"/>
        <v>1236</v>
      </c>
      <c r="C1239" s="8">
        <f t="shared" si="60"/>
        <v>15</v>
      </c>
      <c r="D1239" s="8">
        <f t="shared" si="61"/>
        <v>45</v>
      </c>
      <c r="E1239" s="8">
        <f>IFERROR(VLOOKUP(D1239,$H$4:$I$70,2,0),"")</f>
        <v>268</v>
      </c>
      <c r="F1239" s="9">
        <f>IFERROR(VLOOKUP(C1239,$H$4:$I$70,2,0),"")</f>
        <v>556</v>
      </c>
    </row>
    <row r="1240" spans="2:6" x14ac:dyDescent="0.2">
      <c r="B1240" s="13">
        <f t="shared" si="59"/>
        <v>1237</v>
      </c>
      <c r="C1240" s="8">
        <f t="shared" si="60"/>
        <v>16</v>
      </c>
      <c r="D1240" s="8">
        <f t="shared" si="61"/>
        <v>45</v>
      </c>
      <c r="E1240" s="8">
        <f>IFERROR(VLOOKUP(D1240,$H$4:$I$70,2,0),"")</f>
        <v>268</v>
      </c>
      <c r="F1240" s="9">
        <f>IFERROR(VLOOKUP(C1240,$H$4:$I$70,2,0),"")</f>
        <v>540</v>
      </c>
    </row>
    <row r="1241" spans="2:6" x14ac:dyDescent="0.2">
      <c r="B1241" s="13">
        <f t="shared" si="59"/>
        <v>1238</v>
      </c>
      <c r="C1241" s="8">
        <f t="shared" si="60"/>
        <v>17</v>
      </c>
      <c r="D1241" s="8">
        <f t="shared" si="61"/>
        <v>45</v>
      </c>
      <c r="E1241" s="8">
        <f>IFERROR(VLOOKUP(D1241,$H$4:$I$70,2,0),"")</f>
        <v>268</v>
      </c>
      <c r="F1241" s="9">
        <f>IFERROR(VLOOKUP(C1241,$H$4:$I$70,2,0),"")</f>
        <v>536</v>
      </c>
    </row>
    <row r="1242" spans="2:6" x14ac:dyDescent="0.2">
      <c r="B1242" s="13">
        <f t="shared" si="59"/>
        <v>1239</v>
      </c>
      <c r="C1242" s="8">
        <f t="shared" si="60"/>
        <v>18</v>
      </c>
      <c r="D1242" s="8">
        <f t="shared" si="61"/>
        <v>45</v>
      </c>
      <c r="E1242" s="8">
        <f>IFERROR(VLOOKUP(D1242,$H$4:$I$70,2,0),"")</f>
        <v>268</v>
      </c>
      <c r="F1242" s="9">
        <f>IFERROR(VLOOKUP(C1242,$H$4:$I$70,2,0),"")</f>
        <v>527</v>
      </c>
    </row>
    <row r="1243" spans="2:6" x14ac:dyDescent="0.2">
      <c r="B1243" s="13">
        <f t="shared" si="59"/>
        <v>1240</v>
      </c>
      <c r="C1243" s="8">
        <f t="shared" si="60"/>
        <v>19</v>
      </c>
      <c r="D1243" s="8">
        <f t="shared" si="61"/>
        <v>45</v>
      </c>
      <c r="E1243" s="8">
        <f>IFERROR(VLOOKUP(D1243,$H$4:$I$70,2,0),"")</f>
        <v>268</v>
      </c>
      <c r="F1243" s="9">
        <f>IFERROR(VLOOKUP(C1243,$H$4:$I$70,2,0),"")</f>
        <v>478</v>
      </c>
    </row>
    <row r="1244" spans="2:6" x14ac:dyDescent="0.2">
      <c r="B1244" s="13">
        <f t="shared" si="59"/>
        <v>1241</v>
      </c>
      <c r="C1244" s="8">
        <f t="shared" si="60"/>
        <v>20</v>
      </c>
      <c r="D1244" s="8">
        <f t="shared" si="61"/>
        <v>45</v>
      </c>
      <c r="E1244" s="8">
        <f>IFERROR(VLOOKUP(D1244,$H$4:$I$70,2,0),"")</f>
        <v>268</v>
      </c>
      <c r="F1244" s="9">
        <f>IFERROR(VLOOKUP(C1244,$H$4:$I$70,2,0),"")</f>
        <v>474</v>
      </c>
    </row>
    <row r="1245" spans="2:6" x14ac:dyDescent="0.2">
      <c r="B1245" s="13">
        <f t="shared" si="59"/>
        <v>1242</v>
      </c>
      <c r="C1245" s="8">
        <f t="shared" si="60"/>
        <v>21</v>
      </c>
      <c r="D1245" s="8">
        <f t="shared" si="61"/>
        <v>45</v>
      </c>
      <c r="E1245" s="8">
        <f>IFERROR(VLOOKUP(D1245,$H$4:$I$70,2,0),"")</f>
        <v>268</v>
      </c>
      <c r="F1245" s="9">
        <f>IFERROR(VLOOKUP(C1245,$H$4:$I$70,2,0),"")</f>
        <v>468</v>
      </c>
    </row>
    <row r="1246" spans="2:6" x14ac:dyDescent="0.2">
      <c r="B1246" s="13">
        <f t="shared" si="59"/>
        <v>1243</v>
      </c>
      <c r="C1246" s="8">
        <f t="shared" si="60"/>
        <v>22</v>
      </c>
      <c r="D1246" s="8">
        <f t="shared" si="61"/>
        <v>45</v>
      </c>
      <c r="E1246" s="8">
        <f>IFERROR(VLOOKUP(D1246,$H$4:$I$70,2,0),"")</f>
        <v>268</v>
      </c>
      <c r="F1246" s="9">
        <f>IFERROR(VLOOKUP(C1246,$H$4:$I$70,2,0),"")</f>
        <v>457</v>
      </c>
    </row>
    <row r="1247" spans="2:6" x14ac:dyDescent="0.2">
      <c r="B1247" s="13">
        <f t="shared" si="59"/>
        <v>1244</v>
      </c>
      <c r="C1247" s="8">
        <f t="shared" si="60"/>
        <v>23</v>
      </c>
      <c r="D1247" s="8">
        <f t="shared" si="61"/>
        <v>45</v>
      </c>
      <c r="E1247" s="8">
        <f>IFERROR(VLOOKUP(D1247,$H$4:$I$70,2,0),"")</f>
        <v>268</v>
      </c>
      <c r="F1247" s="9">
        <f>IFERROR(VLOOKUP(C1247,$H$4:$I$70,2,0),"")</f>
        <v>452</v>
      </c>
    </row>
    <row r="1248" spans="2:6" x14ac:dyDescent="0.2">
      <c r="B1248" s="13">
        <f t="shared" si="59"/>
        <v>1245</v>
      </c>
      <c r="C1248" s="8">
        <f t="shared" si="60"/>
        <v>24</v>
      </c>
      <c r="D1248" s="8">
        <f t="shared" si="61"/>
        <v>45</v>
      </c>
      <c r="E1248" s="8">
        <f>IFERROR(VLOOKUP(D1248,$H$4:$I$70,2,0),"")</f>
        <v>268</v>
      </c>
      <c r="F1248" s="9">
        <f>IFERROR(VLOOKUP(C1248,$H$4:$I$70,2,0),"")</f>
        <v>442</v>
      </c>
    </row>
    <row r="1249" spans="2:6" x14ac:dyDescent="0.2">
      <c r="B1249" s="13">
        <f t="shared" si="59"/>
        <v>1246</v>
      </c>
      <c r="C1249" s="8">
        <f t="shared" si="60"/>
        <v>25</v>
      </c>
      <c r="D1249" s="8">
        <f t="shared" si="61"/>
        <v>45</v>
      </c>
      <c r="E1249" s="8">
        <f>IFERROR(VLOOKUP(D1249,$H$4:$I$70,2,0),"")</f>
        <v>268</v>
      </c>
      <c r="F1249" s="9">
        <f>IFERROR(VLOOKUP(C1249,$H$4:$I$70,2,0),"")</f>
        <v>420</v>
      </c>
    </row>
    <row r="1250" spans="2:6" x14ac:dyDescent="0.2">
      <c r="B1250" s="13">
        <f t="shared" si="59"/>
        <v>1247</v>
      </c>
      <c r="C1250" s="8">
        <f t="shared" si="60"/>
        <v>26</v>
      </c>
      <c r="D1250" s="8">
        <f t="shared" si="61"/>
        <v>45</v>
      </c>
      <c r="E1250" s="8">
        <f>IFERROR(VLOOKUP(D1250,$H$4:$I$70,2,0),"")</f>
        <v>268</v>
      </c>
      <c r="F1250" s="9">
        <f>IFERROR(VLOOKUP(C1250,$H$4:$I$70,2,0),"")</f>
        <v>410</v>
      </c>
    </row>
    <row r="1251" spans="2:6" x14ac:dyDescent="0.2">
      <c r="B1251" s="13">
        <f t="shared" si="59"/>
        <v>1248</v>
      </c>
      <c r="C1251" s="8">
        <f t="shared" si="60"/>
        <v>27</v>
      </c>
      <c r="D1251" s="8">
        <f t="shared" si="61"/>
        <v>45</v>
      </c>
      <c r="E1251" s="8">
        <f>IFERROR(VLOOKUP(D1251,$H$4:$I$70,2,0),"")</f>
        <v>268</v>
      </c>
      <c r="F1251" s="9">
        <f>IFERROR(VLOOKUP(C1251,$H$4:$I$70,2,0),"")</f>
        <v>409</v>
      </c>
    </row>
    <row r="1252" spans="2:6" x14ac:dyDescent="0.2">
      <c r="B1252" s="13">
        <f t="shared" si="59"/>
        <v>1249</v>
      </c>
      <c r="C1252" s="8">
        <f t="shared" si="60"/>
        <v>28</v>
      </c>
      <c r="D1252" s="8">
        <f t="shared" si="61"/>
        <v>45</v>
      </c>
      <c r="E1252" s="8">
        <f>IFERROR(VLOOKUP(D1252,$H$4:$I$70,2,0),"")</f>
        <v>268</v>
      </c>
      <c r="F1252" s="9">
        <f>IFERROR(VLOOKUP(C1252,$H$4:$I$70,2,0),"")</f>
        <v>408</v>
      </c>
    </row>
    <row r="1253" spans="2:6" x14ac:dyDescent="0.2">
      <c r="B1253" s="13">
        <f t="shared" si="59"/>
        <v>1250</v>
      </c>
      <c r="C1253" s="8">
        <f t="shared" si="60"/>
        <v>29</v>
      </c>
      <c r="D1253" s="8">
        <f t="shared" si="61"/>
        <v>45</v>
      </c>
      <c r="E1253" s="8">
        <f>IFERROR(VLOOKUP(D1253,$H$4:$I$70,2,0),"")</f>
        <v>268</v>
      </c>
      <c r="F1253" s="9">
        <f>IFERROR(VLOOKUP(C1253,$H$4:$I$70,2,0),"")</f>
        <v>404</v>
      </c>
    </row>
    <row r="1254" spans="2:6" x14ac:dyDescent="0.2">
      <c r="B1254" s="13">
        <f t="shared" si="59"/>
        <v>1251</v>
      </c>
      <c r="C1254" s="8">
        <f t="shared" si="60"/>
        <v>30</v>
      </c>
      <c r="D1254" s="8">
        <f t="shared" si="61"/>
        <v>45</v>
      </c>
      <c r="E1254" s="8">
        <f>IFERROR(VLOOKUP(D1254,$H$4:$I$70,2,0),"")</f>
        <v>268</v>
      </c>
      <c r="F1254" s="9">
        <f>IFERROR(VLOOKUP(C1254,$H$4:$I$70,2,0),"")</f>
        <v>399</v>
      </c>
    </row>
    <row r="1255" spans="2:6" x14ac:dyDescent="0.2">
      <c r="B1255" s="13">
        <f t="shared" si="59"/>
        <v>1252</v>
      </c>
      <c r="C1255" s="8">
        <f t="shared" si="60"/>
        <v>31</v>
      </c>
      <c r="D1255" s="8">
        <f t="shared" si="61"/>
        <v>45</v>
      </c>
      <c r="E1255" s="8">
        <f>IFERROR(VLOOKUP(D1255,$H$4:$I$70,2,0),"")</f>
        <v>268</v>
      </c>
      <c r="F1255" s="9">
        <f>IFERROR(VLOOKUP(C1255,$H$4:$I$70,2,0),"")</f>
        <v>396</v>
      </c>
    </row>
    <row r="1256" spans="2:6" x14ac:dyDescent="0.2">
      <c r="B1256" s="13">
        <f t="shared" si="59"/>
        <v>1253</v>
      </c>
      <c r="C1256" s="8">
        <f t="shared" si="60"/>
        <v>32</v>
      </c>
      <c r="D1256" s="8">
        <f t="shared" si="61"/>
        <v>45</v>
      </c>
      <c r="E1256" s="8">
        <f>IFERROR(VLOOKUP(D1256,$H$4:$I$70,2,0),"")</f>
        <v>268</v>
      </c>
      <c r="F1256" s="9">
        <f>IFERROR(VLOOKUP(C1256,$H$4:$I$70,2,0),"")</f>
        <v>384</v>
      </c>
    </row>
    <row r="1257" spans="2:6" x14ac:dyDescent="0.2">
      <c r="B1257" s="13">
        <f t="shared" si="59"/>
        <v>1254</v>
      </c>
      <c r="C1257" s="8">
        <f t="shared" si="60"/>
        <v>33</v>
      </c>
      <c r="D1257" s="8">
        <f t="shared" si="61"/>
        <v>45</v>
      </c>
      <c r="E1257" s="8">
        <f>IFERROR(VLOOKUP(D1257,$H$4:$I$70,2,0),"")</f>
        <v>268</v>
      </c>
      <c r="F1257" s="9">
        <f>IFERROR(VLOOKUP(C1257,$H$4:$I$70,2,0),"")</f>
        <v>381</v>
      </c>
    </row>
    <row r="1258" spans="2:6" x14ac:dyDescent="0.2">
      <c r="B1258" s="13">
        <f t="shared" si="59"/>
        <v>1255</v>
      </c>
      <c r="C1258" s="8">
        <f t="shared" si="60"/>
        <v>34</v>
      </c>
      <c r="D1258" s="8">
        <f t="shared" si="61"/>
        <v>45</v>
      </c>
      <c r="E1258" s="8">
        <f>IFERROR(VLOOKUP(D1258,$H$4:$I$70,2,0),"")</f>
        <v>268</v>
      </c>
      <c r="F1258" s="9">
        <f>IFERROR(VLOOKUP(C1258,$H$4:$I$70,2,0),"")</f>
        <v>376</v>
      </c>
    </row>
    <row r="1259" spans="2:6" x14ac:dyDescent="0.2">
      <c r="B1259" s="13">
        <f t="shared" si="59"/>
        <v>1256</v>
      </c>
      <c r="C1259" s="8">
        <f t="shared" si="60"/>
        <v>35</v>
      </c>
      <c r="D1259" s="8">
        <f t="shared" si="61"/>
        <v>45</v>
      </c>
      <c r="E1259" s="8">
        <f>IFERROR(VLOOKUP(D1259,$H$4:$I$70,2,0),"")</f>
        <v>268</v>
      </c>
      <c r="F1259" s="9">
        <f>IFERROR(VLOOKUP(C1259,$H$4:$I$70,2,0),"")</f>
        <v>370</v>
      </c>
    </row>
    <row r="1260" spans="2:6" x14ac:dyDescent="0.2">
      <c r="B1260" s="13">
        <f t="shared" si="59"/>
        <v>1257</v>
      </c>
      <c r="C1260" s="8">
        <f t="shared" si="60"/>
        <v>36</v>
      </c>
      <c r="D1260" s="8">
        <f t="shared" si="61"/>
        <v>45</v>
      </c>
      <c r="E1260" s="8">
        <f>IFERROR(VLOOKUP(D1260,$H$4:$I$70,2,0),"")</f>
        <v>268</v>
      </c>
      <c r="F1260" s="9">
        <f>IFERROR(VLOOKUP(C1260,$H$4:$I$70,2,0),"")</f>
        <v>362</v>
      </c>
    </row>
    <row r="1261" spans="2:6" x14ac:dyDescent="0.2">
      <c r="B1261" s="13">
        <f t="shared" si="59"/>
        <v>1258</v>
      </c>
      <c r="C1261" s="8">
        <f t="shared" si="60"/>
        <v>37</v>
      </c>
      <c r="D1261" s="8">
        <f t="shared" si="61"/>
        <v>45</v>
      </c>
      <c r="E1261" s="8">
        <f>IFERROR(VLOOKUP(D1261,$H$4:$I$70,2,0),"")</f>
        <v>268</v>
      </c>
      <c r="F1261" s="9">
        <f>IFERROR(VLOOKUP(C1261,$H$4:$I$70,2,0),"")</f>
        <v>357</v>
      </c>
    </row>
    <row r="1262" spans="2:6" x14ac:dyDescent="0.2">
      <c r="B1262" s="13">
        <f t="shared" si="59"/>
        <v>1259</v>
      </c>
      <c r="C1262" s="8">
        <f t="shared" si="60"/>
        <v>38</v>
      </c>
      <c r="D1262" s="8">
        <f t="shared" si="61"/>
        <v>45</v>
      </c>
      <c r="E1262" s="8">
        <f>IFERROR(VLOOKUP(D1262,$H$4:$I$70,2,0),"")</f>
        <v>268</v>
      </c>
      <c r="F1262" s="9">
        <f>IFERROR(VLOOKUP(C1262,$H$4:$I$70,2,0),"")</f>
        <v>351</v>
      </c>
    </row>
    <row r="1263" spans="2:6" x14ac:dyDescent="0.2">
      <c r="B1263" s="13">
        <f t="shared" si="59"/>
        <v>1260</v>
      </c>
      <c r="C1263" s="8">
        <f t="shared" si="60"/>
        <v>39</v>
      </c>
      <c r="D1263" s="8">
        <f t="shared" si="61"/>
        <v>45</v>
      </c>
      <c r="E1263" s="8">
        <f>IFERROR(VLOOKUP(D1263,$H$4:$I$70,2,0),"")</f>
        <v>268</v>
      </c>
      <c r="F1263" s="9">
        <f>IFERROR(VLOOKUP(C1263,$H$4:$I$70,2,0),"")</f>
        <v>339</v>
      </c>
    </row>
    <row r="1264" spans="2:6" x14ac:dyDescent="0.2">
      <c r="B1264" s="13">
        <f t="shared" si="59"/>
        <v>1261</v>
      </c>
      <c r="C1264" s="8">
        <f t="shared" si="60"/>
        <v>40</v>
      </c>
      <c r="D1264" s="8">
        <f t="shared" si="61"/>
        <v>45</v>
      </c>
      <c r="E1264" s="8">
        <f>IFERROR(VLOOKUP(D1264,$H$4:$I$70,2,0),"")</f>
        <v>268</v>
      </c>
      <c r="F1264" s="9">
        <f>IFERROR(VLOOKUP(C1264,$H$4:$I$70,2,0),"")</f>
        <v>304</v>
      </c>
    </row>
    <row r="1265" spans="2:6" x14ac:dyDescent="0.2">
      <c r="B1265" s="13">
        <f t="shared" si="59"/>
        <v>1262</v>
      </c>
      <c r="C1265" s="8">
        <f t="shared" si="60"/>
        <v>41</v>
      </c>
      <c r="D1265" s="8">
        <f t="shared" si="61"/>
        <v>45</v>
      </c>
      <c r="E1265" s="8">
        <f>IFERROR(VLOOKUP(D1265,$H$4:$I$70,2,0),"")</f>
        <v>268</v>
      </c>
      <c r="F1265" s="9">
        <f>IFERROR(VLOOKUP(C1265,$H$4:$I$70,2,0),"")</f>
        <v>301</v>
      </c>
    </row>
    <row r="1266" spans="2:6" x14ac:dyDescent="0.2">
      <c r="B1266" s="13">
        <f t="shared" si="59"/>
        <v>1263</v>
      </c>
      <c r="C1266" s="8">
        <f t="shared" si="60"/>
        <v>42</v>
      </c>
      <c r="D1266" s="8">
        <f t="shared" si="61"/>
        <v>45</v>
      </c>
      <c r="E1266" s="8">
        <f>IFERROR(VLOOKUP(D1266,$H$4:$I$70,2,0),"")</f>
        <v>268</v>
      </c>
      <c r="F1266" s="9">
        <f>IFERROR(VLOOKUP(C1266,$H$4:$I$70,2,0),"")</f>
        <v>300</v>
      </c>
    </row>
    <row r="1267" spans="2:6" x14ac:dyDescent="0.2">
      <c r="B1267" s="13">
        <f t="shared" si="59"/>
        <v>1264</v>
      </c>
      <c r="C1267" s="8">
        <f t="shared" si="60"/>
        <v>43</v>
      </c>
      <c r="D1267" s="8">
        <f t="shared" si="61"/>
        <v>45</v>
      </c>
      <c r="E1267" s="8">
        <f>IFERROR(VLOOKUP(D1267,$H$4:$I$70,2,0),"")</f>
        <v>268</v>
      </c>
      <c r="F1267" s="9">
        <f>IFERROR(VLOOKUP(C1267,$H$4:$I$70,2,0),"")</f>
        <v>288</v>
      </c>
    </row>
    <row r="1268" spans="2:6" x14ac:dyDescent="0.2">
      <c r="B1268" s="13">
        <f t="shared" si="59"/>
        <v>1265</v>
      </c>
      <c r="C1268" s="8">
        <f t="shared" si="60"/>
        <v>44</v>
      </c>
      <c r="D1268" s="8">
        <f t="shared" si="61"/>
        <v>45</v>
      </c>
      <c r="E1268" s="8">
        <f>IFERROR(VLOOKUP(D1268,$H$4:$I$70,2,0),"")</f>
        <v>268</v>
      </c>
      <c r="F1268" s="9">
        <f>IFERROR(VLOOKUP(C1268,$H$4:$I$70,2,0),"")</f>
        <v>273</v>
      </c>
    </row>
    <row r="1269" spans="2:6" x14ac:dyDescent="0.2">
      <c r="B1269" s="13">
        <f t="shared" si="59"/>
        <v>1266</v>
      </c>
      <c r="C1269" s="8">
        <f t="shared" si="60"/>
        <v>1</v>
      </c>
      <c r="D1269" s="8">
        <f t="shared" si="61"/>
        <v>44</v>
      </c>
      <c r="E1269" s="8">
        <f>IFERROR(VLOOKUP(D1269,$H$4:$I$70,2,0),"")</f>
        <v>273</v>
      </c>
      <c r="F1269" s="9">
        <f>IFERROR(VLOOKUP(C1269,$H$4:$I$70,2,0),"")</f>
        <v>1344</v>
      </c>
    </row>
    <row r="1270" spans="2:6" x14ac:dyDescent="0.2">
      <c r="B1270" s="13">
        <f t="shared" si="59"/>
        <v>1267</v>
      </c>
      <c r="C1270" s="8">
        <f t="shared" si="60"/>
        <v>2</v>
      </c>
      <c r="D1270" s="8">
        <f t="shared" si="61"/>
        <v>44</v>
      </c>
      <c r="E1270" s="8">
        <f>IFERROR(VLOOKUP(D1270,$H$4:$I$70,2,0),"")</f>
        <v>273</v>
      </c>
      <c r="F1270" s="9">
        <f>IFERROR(VLOOKUP(C1270,$H$4:$I$70,2,0),"")</f>
        <v>1048</v>
      </c>
    </row>
    <row r="1271" spans="2:6" x14ac:dyDescent="0.2">
      <c r="B1271" s="13">
        <f t="shared" si="59"/>
        <v>1268</v>
      </c>
      <c r="C1271" s="8">
        <f t="shared" si="60"/>
        <v>3</v>
      </c>
      <c r="D1271" s="8">
        <f t="shared" si="61"/>
        <v>44</v>
      </c>
      <c r="E1271" s="8">
        <f>IFERROR(VLOOKUP(D1271,$H$4:$I$70,2,0),"")</f>
        <v>273</v>
      </c>
      <c r="F1271" s="9">
        <f>IFERROR(VLOOKUP(C1271,$H$4:$I$70,2,0),"")</f>
        <v>1025</v>
      </c>
    </row>
    <row r="1272" spans="2:6" x14ac:dyDescent="0.2">
      <c r="B1272" s="13">
        <f t="shared" si="59"/>
        <v>1269</v>
      </c>
      <c r="C1272" s="8">
        <f t="shared" si="60"/>
        <v>4</v>
      </c>
      <c r="D1272" s="8">
        <f t="shared" si="61"/>
        <v>44</v>
      </c>
      <c r="E1272" s="8">
        <f>IFERROR(VLOOKUP(D1272,$H$4:$I$70,2,0),"")</f>
        <v>273</v>
      </c>
      <c r="F1272" s="9">
        <f>IFERROR(VLOOKUP(C1272,$H$4:$I$70,2,0),"")</f>
        <v>805</v>
      </c>
    </row>
    <row r="1273" spans="2:6" x14ac:dyDescent="0.2">
      <c r="B1273" s="13">
        <f t="shared" si="59"/>
        <v>1270</v>
      </c>
      <c r="C1273" s="8">
        <f t="shared" si="60"/>
        <v>5</v>
      </c>
      <c r="D1273" s="8">
        <f t="shared" si="61"/>
        <v>44</v>
      </c>
      <c r="E1273" s="8">
        <f>IFERROR(VLOOKUP(D1273,$H$4:$I$70,2,0),"")</f>
        <v>273</v>
      </c>
      <c r="F1273" s="9">
        <f>IFERROR(VLOOKUP(C1273,$H$4:$I$70,2,0),"")</f>
        <v>666</v>
      </c>
    </row>
    <row r="1274" spans="2:6" x14ac:dyDescent="0.2">
      <c r="B1274" s="13">
        <f t="shared" si="59"/>
        <v>1271</v>
      </c>
      <c r="C1274" s="8">
        <f t="shared" si="60"/>
        <v>6</v>
      </c>
      <c r="D1274" s="8">
        <f t="shared" si="61"/>
        <v>44</v>
      </c>
      <c r="E1274" s="8">
        <f>IFERROR(VLOOKUP(D1274,$H$4:$I$70,2,0),"")</f>
        <v>273</v>
      </c>
      <c r="F1274" s="9">
        <f>IFERROR(VLOOKUP(C1274,$H$4:$I$70,2,0),"")</f>
        <v>655</v>
      </c>
    </row>
    <row r="1275" spans="2:6" x14ac:dyDescent="0.2">
      <c r="B1275" s="13">
        <f t="shared" si="59"/>
        <v>1272</v>
      </c>
      <c r="C1275" s="8">
        <f t="shared" si="60"/>
        <v>7</v>
      </c>
      <c r="D1275" s="8">
        <f t="shared" si="61"/>
        <v>44</v>
      </c>
      <c r="E1275" s="8">
        <f>IFERROR(VLOOKUP(D1275,$H$4:$I$70,2,0),"")</f>
        <v>273</v>
      </c>
      <c r="F1275" s="9">
        <f>IFERROR(VLOOKUP(C1275,$H$4:$I$70,2,0),"")</f>
        <v>652</v>
      </c>
    </row>
    <row r="1276" spans="2:6" x14ac:dyDescent="0.2">
      <c r="B1276" s="13">
        <f t="shared" si="59"/>
        <v>1273</v>
      </c>
      <c r="C1276" s="8">
        <f t="shared" si="60"/>
        <v>8</v>
      </c>
      <c r="D1276" s="8">
        <f t="shared" si="61"/>
        <v>44</v>
      </c>
      <c r="E1276" s="8">
        <f>IFERROR(VLOOKUP(D1276,$H$4:$I$70,2,0),"")</f>
        <v>273</v>
      </c>
      <c r="F1276" s="9">
        <f>IFERROR(VLOOKUP(C1276,$H$4:$I$70,2,0),"")</f>
        <v>633</v>
      </c>
    </row>
    <row r="1277" spans="2:6" x14ac:dyDescent="0.2">
      <c r="B1277" s="13">
        <f t="shared" si="59"/>
        <v>1274</v>
      </c>
      <c r="C1277" s="8">
        <f t="shared" si="60"/>
        <v>9</v>
      </c>
      <c r="D1277" s="8">
        <f t="shared" si="61"/>
        <v>44</v>
      </c>
      <c r="E1277" s="8">
        <f>IFERROR(VLOOKUP(D1277,$H$4:$I$70,2,0),"")</f>
        <v>273</v>
      </c>
      <c r="F1277" s="9">
        <f>IFERROR(VLOOKUP(C1277,$H$4:$I$70,2,0),"")</f>
        <v>632</v>
      </c>
    </row>
    <row r="1278" spans="2:6" x14ac:dyDescent="0.2">
      <c r="B1278" s="13">
        <f t="shared" si="59"/>
        <v>1275</v>
      </c>
      <c r="C1278" s="8">
        <f t="shared" si="60"/>
        <v>10</v>
      </c>
      <c r="D1278" s="8">
        <f t="shared" si="61"/>
        <v>44</v>
      </c>
      <c r="E1278" s="8">
        <f>IFERROR(VLOOKUP(D1278,$H$4:$I$70,2,0),"")</f>
        <v>273</v>
      </c>
      <c r="F1278" s="9">
        <f>IFERROR(VLOOKUP(C1278,$H$4:$I$70,2,0),"")</f>
        <v>625</v>
      </c>
    </row>
    <row r="1279" spans="2:6" x14ac:dyDescent="0.2">
      <c r="B1279" s="13">
        <f t="shared" si="59"/>
        <v>1276</v>
      </c>
      <c r="C1279" s="8">
        <f t="shared" si="60"/>
        <v>11</v>
      </c>
      <c r="D1279" s="8">
        <f t="shared" si="61"/>
        <v>44</v>
      </c>
      <c r="E1279" s="8">
        <f>IFERROR(VLOOKUP(D1279,$H$4:$I$70,2,0),"")</f>
        <v>273</v>
      </c>
      <c r="F1279" s="9">
        <f>IFERROR(VLOOKUP(C1279,$H$4:$I$70,2,0),"")</f>
        <v>619</v>
      </c>
    </row>
    <row r="1280" spans="2:6" x14ac:dyDescent="0.2">
      <c r="B1280" s="13">
        <f t="shared" si="59"/>
        <v>1277</v>
      </c>
      <c r="C1280" s="8">
        <f t="shared" si="60"/>
        <v>12</v>
      </c>
      <c r="D1280" s="8">
        <f t="shared" si="61"/>
        <v>44</v>
      </c>
      <c r="E1280" s="8">
        <f>IFERROR(VLOOKUP(D1280,$H$4:$I$70,2,0),"")</f>
        <v>273</v>
      </c>
      <c r="F1280" s="9">
        <f>IFERROR(VLOOKUP(C1280,$H$4:$I$70,2,0),"")</f>
        <v>610</v>
      </c>
    </row>
    <row r="1281" spans="2:6" x14ac:dyDescent="0.2">
      <c r="B1281" s="13">
        <f t="shared" si="59"/>
        <v>1278</v>
      </c>
      <c r="C1281" s="8">
        <f t="shared" si="60"/>
        <v>13</v>
      </c>
      <c r="D1281" s="8">
        <f t="shared" si="61"/>
        <v>44</v>
      </c>
      <c r="E1281" s="8">
        <f>IFERROR(VLOOKUP(D1281,$H$4:$I$70,2,0),"")</f>
        <v>273</v>
      </c>
      <c r="F1281" s="9">
        <f>IFERROR(VLOOKUP(C1281,$H$4:$I$70,2,0),"")</f>
        <v>599</v>
      </c>
    </row>
    <row r="1282" spans="2:6" x14ac:dyDescent="0.2">
      <c r="B1282" s="13">
        <f t="shared" si="59"/>
        <v>1279</v>
      </c>
      <c r="C1282" s="8">
        <f t="shared" si="60"/>
        <v>14</v>
      </c>
      <c r="D1282" s="8">
        <f t="shared" si="61"/>
        <v>44</v>
      </c>
      <c r="E1282" s="8">
        <f>IFERROR(VLOOKUP(D1282,$H$4:$I$70,2,0),"")</f>
        <v>273</v>
      </c>
      <c r="F1282" s="9">
        <f>IFERROR(VLOOKUP(C1282,$H$4:$I$70,2,0),"")</f>
        <v>559</v>
      </c>
    </row>
    <row r="1283" spans="2:6" x14ac:dyDescent="0.2">
      <c r="B1283" s="13">
        <f t="shared" si="59"/>
        <v>1280</v>
      </c>
      <c r="C1283" s="8">
        <f t="shared" si="60"/>
        <v>15</v>
      </c>
      <c r="D1283" s="8">
        <f t="shared" si="61"/>
        <v>44</v>
      </c>
      <c r="E1283" s="8">
        <f>IFERROR(VLOOKUP(D1283,$H$4:$I$70,2,0),"")</f>
        <v>273</v>
      </c>
      <c r="F1283" s="9">
        <f>IFERROR(VLOOKUP(C1283,$H$4:$I$70,2,0),"")</f>
        <v>556</v>
      </c>
    </row>
    <row r="1284" spans="2:6" x14ac:dyDescent="0.2">
      <c r="B1284" s="13">
        <f t="shared" si="59"/>
        <v>1281</v>
      </c>
      <c r="C1284" s="8">
        <f t="shared" si="60"/>
        <v>16</v>
      </c>
      <c r="D1284" s="8">
        <f t="shared" si="61"/>
        <v>44</v>
      </c>
      <c r="E1284" s="8">
        <f>IFERROR(VLOOKUP(D1284,$H$4:$I$70,2,0),"")</f>
        <v>273</v>
      </c>
      <c r="F1284" s="9">
        <f>IFERROR(VLOOKUP(C1284,$H$4:$I$70,2,0),"")</f>
        <v>540</v>
      </c>
    </row>
    <row r="1285" spans="2:6" x14ac:dyDescent="0.2">
      <c r="B1285" s="13">
        <f t="shared" ref="B1285:B1348" si="62">ROW()-3</f>
        <v>1282</v>
      </c>
      <c r="C1285" s="8">
        <f t="shared" si="60"/>
        <v>17</v>
      </c>
      <c r="D1285" s="8">
        <f t="shared" si="61"/>
        <v>44</v>
      </c>
      <c r="E1285" s="8">
        <f>IFERROR(VLOOKUP(D1285,$H$4:$I$70,2,0),"")</f>
        <v>273</v>
      </c>
      <c r="F1285" s="9">
        <f>IFERROR(VLOOKUP(C1285,$H$4:$I$70,2,0),"")</f>
        <v>536</v>
      </c>
    </row>
    <row r="1286" spans="2:6" x14ac:dyDescent="0.2">
      <c r="B1286" s="13">
        <f t="shared" si="62"/>
        <v>1283</v>
      </c>
      <c r="C1286" s="8">
        <f t="shared" ref="C1286:C1349" si="63">IF((D1285-C1285)=1,1,C1285+1)</f>
        <v>18</v>
      </c>
      <c r="D1286" s="8">
        <f t="shared" ref="D1286:D1349" si="64">IF((D1285-C1285)=1,D1285-1,D1285)</f>
        <v>44</v>
      </c>
      <c r="E1286" s="8">
        <f>IFERROR(VLOOKUP(D1286,$H$4:$I$70,2,0),"")</f>
        <v>273</v>
      </c>
      <c r="F1286" s="9">
        <f>IFERROR(VLOOKUP(C1286,$H$4:$I$70,2,0),"")</f>
        <v>527</v>
      </c>
    </row>
    <row r="1287" spans="2:6" x14ac:dyDescent="0.2">
      <c r="B1287" s="13">
        <f t="shared" si="62"/>
        <v>1284</v>
      </c>
      <c r="C1287" s="8">
        <f t="shared" si="63"/>
        <v>19</v>
      </c>
      <c r="D1287" s="8">
        <f t="shared" si="64"/>
        <v>44</v>
      </c>
      <c r="E1287" s="8">
        <f>IFERROR(VLOOKUP(D1287,$H$4:$I$70,2,0),"")</f>
        <v>273</v>
      </c>
      <c r="F1287" s="9">
        <f>IFERROR(VLOOKUP(C1287,$H$4:$I$70,2,0),"")</f>
        <v>478</v>
      </c>
    </row>
    <row r="1288" spans="2:6" x14ac:dyDescent="0.2">
      <c r="B1288" s="13">
        <f t="shared" si="62"/>
        <v>1285</v>
      </c>
      <c r="C1288" s="8">
        <f t="shared" si="63"/>
        <v>20</v>
      </c>
      <c r="D1288" s="8">
        <f t="shared" si="64"/>
        <v>44</v>
      </c>
      <c r="E1288" s="8">
        <f>IFERROR(VLOOKUP(D1288,$H$4:$I$70,2,0),"")</f>
        <v>273</v>
      </c>
      <c r="F1288" s="9">
        <f>IFERROR(VLOOKUP(C1288,$H$4:$I$70,2,0),"")</f>
        <v>474</v>
      </c>
    </row>
    <row r="1289" spans="2:6" x14ac:dyDescent="0.2">
      <c r="B1289" s="13">
        <f t="shared" si="62"/>
        <v>1286</v>
      </c>
      <c r="C1289" s="8">
        <f t="shared" si="63"/>
        <v>21</v>
      </c>
      <c r="D1289" s="8">
        <f t="shared" si="64"/>
        <v>44</v>
      </c>
      <c r="E1289" s="8">
        <f>IFERROR(VLOOKUP(D1289,$H$4:$I$70,2,0),"")</f>
        <v>273</v>
      </c>
      <c r="F1289" s="9">
        <f>IFERROR(VLOOKUP(C1289,$H$4:$I$70,2,0),"")</f>
        <v>468</v>
      </c>
    </row>
    <row r="1290" spans="2:6" x14ac:dyDescent="0.2">
      <c r="B1290" s="13">
        <f t="shared" si="62"/>
        <v>1287</v>
      </c>
      <c r="C1290" s="8">
        <f t="shared" si="63"/>
        <v>22</v>
      </c>
      <c r="D1290" s="8">
        <f t="shared" si="64"/>
        <v>44</v>
      </c>
      <c r="E1290" s="8">
        <f>IFERROR(VLOOKUP(D1290,$H$4:$I$70,2,0),"")</f>
        <v>273</v>
      </c>
      <c r="F1290" s="9">
        <f>IFERROR(VLOOKUP(C1290,$H$4:$I$70,2,0),"")</f>
        <v>457</v>
      </c>
    </row>
    <row r="1291" spans="2:6" x14ac:dyDescent="0.2">
      <c r="B1291" s="13">
        <f t="shared" si="62"/>
        <v>1288</v>
      </c>
      <c r="C1291" s="8">
        <f t="shared" si="63"/>
        <v>23</v>
      </c>
      <c r="D1291" s="8">
        <f t="shared" si="64"/>
        <v>44</v>
      </c>
      <c r="E1291" s="8">
        <f>IFERROR(VLOOKUP(D1291,$H$4:$I$70,2,0),"")</f>
        <v>273</v>
      </c>
      <c r="F1291" s="9">
        <f>IFERROR(VLOOKUP(C1291,$H$4:$I$70,2,0),"")</f>
        <v>452</v>
      </c>
    </row>
    <row r="1292" spans="2:6" x14ac:dyDescent="0.2">
      <c r="B1292" s="13">
        <f t="shared" si="62"/>
        <v>1289</v>
      </c>
      <c r="C1292" s="8">
        <f t="shared" si="63"/>
        <v>24</v>
      </c>
      <c r="D1292" s="8">
        <f t="shared" si="64"/>
        <v>44</v>
      </c>
      <c r="E1292" s="8">
        <f>IFERROR(VLOOKUP(D1292,$H$4:$I$70,2,0),"")</f>
        <v>273</v>
      </c>
      <c r="F1292" s="9">
        <f>IFERROR(VLOOKUP(C1292,$H$4:$I$70,2,0),"")</f>
        <v>442</v>
      </c>
    </row>
    <row r="1293" spans="2:6" x14ac:dyDescent="0.2">
      <c r="B1293" s="13">
        <f t="shared" si="62"/>
        <v>1290</v>
      </c>
      <c r="C1293" s="8">
        <f t="shared" si="63"/>
        <v>25</v>
      </c>
      <c r="D1293" s="8">
        <f t="shared" si="64"/>
        <v>44</v>
      </c>
      <c r="E1293" s="8">
        <f>IFERROR(VLOOKUP(D1293,$H$4:$I$70,2,0),"")</f>
        <v>273</v>
      </c>
      <c r="F1293" s="9">
        <f>IFERROR(VLOOKUP(C1293,$H$4:$I$70,2,0),"")</f>
        <v>420</v>
      </c>
    </row>
    <row r="1294" spans="2:6" x14ac:dyDescent="0.2">
      <c r="B1294" s="13">
        <f t="shared" si="62"/>
        <v>1291</v>
      </c>
      <c r="C1294" s="8">
        <f t="shared" si="63"/>
        <v>26</v>
      </c>
      <c r="D1294" s="8">
        <f t="shared" si="64"/>
        <v>44</v>
      </c>
      <c r="E1294" s="8">
        <f>IFERROR(VLOOKUP(D1294,$H$4:$I$70,2,0),"")</f>
        <v>273</v>
      </c>
      <c r="F1294" s="9">
        <f>IFERROR(VLOOKUP(C1294,$H$4:$I$70,2,0),"")</f>
        <v>410</v>
      </c>
    </row>
    <row r="1295" spans="2:6" x14ac:dyDescent="0.2">
      <c r="B1295" s="13">
        <f t="shared" si="62"/>
        <v>1292</v>
      </c>
      <c r="C1295" s="8">
        <f t="shared" si="63"/>
        <v>27</v>
      </c>
      <c r="D1295" s="8">
        <f t="shared" si="64"/>
        <v>44</v>
      </c>
      <c r="E1295" s="8">
        <f>IFERROR(VLOOKUP(D1295,$H$4:$I$70,2,0),"")</f>
        <v>273</v>
      </c>
      <c r="F1295" s="9">
        <f>IFERROR(VLOOKUP(C1295,$H$4:$I$70,2,0),"")</f>
        <v>409</v>
      </c>
    </row>
    <row r="1296" spans="2:6" x14ac:dyDescent="0.2">
      <c r="B1296" s="13">
        <f t="shared" si="62"/>
        <v>1293</v>
      </c>
      <c r="C1296" s="8">
        <f t="shared" si="63"/>
        <v>28</v>
      </c>
      <c r="D1296" s="8">
        <f t="shared" si="64"/>
        <v>44</v>
      </c>
      <c r="E1296" s="8">
        <f>IFERROR(VLOOKUP(D1296,$H$4:$I$70,2,0),"")</f>
        <v>273</v>
      </c>
      <c r="F1296" s="9">
        <f>IFERROR(VLOOKUP(C1296,$H$4:$I$70,2,0),"")</f>
        <v>408</v>
      </c>
    </row>
    <row r="1297" spans="2:6" x14ac:dyDescent="0.2">
      <c r="B1297" s="13">
        <f t="shared" si="62"/>
        <v>1294</v>
      </c>
      <c r="C1297" s="8">
        <f t="shared" si="63"/>
        <v>29</v>
      </c>
      <c r="D1297" s="8">
        <f t="shared" si="64"/>
        <v>44</v>
      </c>
      <c r="E1297" s="8">
        <f>IFERROR(VLOOKUP(D1297,$H$4:$I$70,2,0),"")</f>
        <v>273</v>
      </c>
      <c r="F1297" s="9">
        <f>IFERROR(VLOOKUP(C1297,$H$4:$I$70,2,0),"")</f>
        <v>404</v>
      </c>
    </row>
    <row r="1298" spans="2:6" x14ac:dyDescent="0.2">
      <c r="B1298" s="13">
        <f t="shared" si="62"/>
        <v>1295</v>
      </c>
      <c r="C1298" s="8">
        <f t="shared" si="63"/>
        <v>30</v>
      </c>
      <c r="D1298" s="8">
        <f t="shared" si="64"/>
        <v>44</v>
      </c>
      <c r="E1298" s="8">
        <f>IFERROR(VLOOKUP(D1298,$H$4:$I$70,2,0),"")</f>
        <v>273</v>
      </c>
      <c r="F1298" s="9">
        <f>IFERROR(VLOOKUP(C1298,$H$4:$I$70,2,0),"")</f>
        <v>399</v>
      </c>
    </row>
    <row r="1299" spans="2:6" x14ac:dyDescent="0.2">
      <c r="B1299" s="13">
        <f t="shared" si="62"/>
        <v>1296</v>
      </c>
      <c r="C1299" s="8">
        <f t="shared" si="63"/>
        <v>31</v>
      </c>
      <c r="D1299" s="8">
        <f t="shared" si="64"/>
        <v>44</v>
      </c>
      <c r="E1299" s="8">
        <f>IFERROR(VLOOKUP(D1299,$H$4:$I$70,2,0),"")</f>
        <v>273</v>
      </c>
      <c r="F1299" s="9">
        <f>IFERROR(VLOOKUP(C1299,$H$4:$I$70,2,0),"")</f>
        <v>396</v>
      </c>
    </row>
    <row r="1300" spans="2:6" x14ac:dyDescent="0.2">
      <c r="B1300" s="13">
        <f t="shared" si="62"/>
        <v>1297</v>
      </c>
      <c r="C1300" s="8">
        <f t="shared" si="63"/>
        <v>32</v>
      </c>
      <c r="D1300" s="8">
        <f t="shared" si="64"/>
        <v>44</v>
      </c>
      <c r="E1300" s="8">
        <f>IFERROR(VLOOKUP(D1300,$H$4:$I$70,2,0),"")</f>
        <v>273</v>
      </c>
      <c r="F1300" s="9">
        <f>IFERROR(VLOOKUP(C1300,$H$4:$I$70,2,0),"")</f>
        <v>384</v>
      </c>
    </row>
    <row r="1301" spans="2:6" x14ac:dyDescent="0.2">
      <c r="B1301" s="13">
        <f t="shared" si="62"/>
        <v>1298</v>
      </c>
      <c r="C1301" s="8">
        <f t="shared" si="63"/>
        <v>33</v>
      </c>
      <c r="D1301" s="8">
        <f t="shared" si="64"/>
        <v>44</v>
      </c>
      <c r="E1301" s="8">
        <f>IFERROR(VLOOKUP(D1301,$H$4:$I$70,2,0),"")</f>
        <v>273</v>
      </c>
      <c r="F1301" s="9">
        <f>IFERROR(VLOOKUP(C1301,$H$4:$I$70,2,0),"")</f>
        <v>381</v>
      </c>
    </row>
    <row r="1302" spans="2:6" x14ac:dyDescent="0.2">
      <c r="B1302" s="13">
        <f t="shared" si="62"/>
        <v>1299</v>
      </c>
      <c r="C1302" s="8">
        <f t="shared" si="63"/>
        <v>34</v>
      </c>
      <c r="D1302" s="8">
        <f t="shared" si="64"/>
        <v>44</v>
      </c>
      <c r="E1302" s="8">
        <f>IFERROR(VLOOKUP(D1302,$H$4:$I$70,2,0),"")</f>
        <v>273</v>
      </c>
      <c r="F1302" s="9">
        <f>IFERROR(VLOOKUP(C1302,$H$4:$I$70,2,0),"")</f>
        <v>376</v>
      </c>
    </row>
    <row r="1303" spans="2:6" x14ac:dyDescent="0.2">
      <c r="B1303" s="13">
        <f t="shared" si="62"/>
        <v>1300</v>
      </c>
      <c r="C1303" s="8">
        <f t="shared" si="63"/>
        <v>35</v>
      </c>
      <c r="D1303" s="8">
        <f t="shared" si="64"/>
        <v>44</v>
      </c>
      <c r="E1303" s="8">
        <f>IFERROR(VLOOKUP(D1303,$H$4:$I$70,2,0),"")</f>
        <v>273</v>
      </c>
      <c r="F1303" s="9">
        <f>IFERROR(VLOOKUP(C1303,$H$4:$I$70,2,0),"")</f>
        <v>370</v>
      </c>
    </row>
    <row r="1304" spans="2:6" x14ac:dyDescent="0.2">
      <c r="B1304" s="13">
        <f t="shared" si="62"/>
        <v>1301</v>
      </c>
      <c r="C1304" s="8">
        <f t="shared" si="63"/>
        <v>36</v>
      </c>
      <c r="D1304" s="8">
        <f t="shared" si="64"/>
        <v>44</v>
      </c>
      <c r="E1304" s="8">
        <f>IFERROR(VLOOKUP(D1304,$H$4:$I$70,2,0),"")</f>
        <v>273</v>
      </c>
      <c r="F1304" s="9">
        <f>IFERROR(VLOOKUP(C1304,$H$4:$I$70,2,0),"")</f>
        <v>362</v>
      </c>
    </row>
    <row r="1305" spans="2:6" x14ac:dyDescent="0.2">
      <c r="B1305" s="13">
        <f t="shared" si="62"/>
        <v>1302</v>
      </c>
      <c r="C1305" s="8">
        <f t="shared" si="63"/>
        <v>37</v>
      </c>
      <c r="D1305" s="8">
        <f t="shared" si="64"/>
        <v>44</v>
      </c>
      <c r="E1305" s="8">
        <f>IFERROR(VLOOKUP(D1305,$H$4:$I$70,2,0),"")</f>
        <v>273</v>
      </c>
      <c r="F1305" s="9">
        <f>IFERROR(VLOOKUP(C1305,$H$4:$I$70,2,0),"")</f>
        <v>357</v>
      </c>
    </row>
    <row r="1306" spans="2:6" x14ac:dyDescent="0.2">
      <c r="B1306" s="13">
        <f t="shared" si="62"/>
        <v>1303</v>
      </c>
      <c r="C1306" s="8">
        <f t="shared" si="63"/>
        <v>38</v>
      </c>
      <c r="D1306" s="8">
        <f t="shared" si="64"/>
        <v>44</v>
      </c>
      <c r="E1306" s="8">
        <f>IFERROR(VLOOKUP(D1306,$H$4:$I$70,2,0),"")</f>
        <v>273</v>
      </c>
      <c r="F1306" s="9">
        <f>IFERROR(VLOOKUP(C1306,$H$4:$I$70,2,0),"")</f>
        <v>351</v>
      </c>
    </row>
    <row r="1307" spans="2:6" x14ac:dyDescent="0.2">
      <c r="B1307" s="13">
        <f t="shared" si="62"/>
        <v>1304</v>
      </c>
      <c r="C1307" s="8">
        <f t="shared" si="63"/>
        <v>39</v>
      </c>
      <c r="D1307" s="8">
        <f t="shared" si="64"/>
        <v>44</v>
      </c>
      <c r="E1307" s="8">
        <f>IFERROR(VLOOKUP(D1307,$H$4:$I$70,2,0),"")</f>
        <v>273</v>
      </c>
      <c r="F1307" s="9">
        <f>IFERROR(VLOOKUP(C1307,$H$4:$I$70,2,0),"")</f>
        <v>339</v>
      </c>
    </row>
    <row r="1308" spans="2:6" x14ac:dyDescent="0.2">
      <c r="B1308" s="13">
        <f t="shared" si="62"/>
        <v>1305</v>
      </c>
      <c r="C1308" s="8">
        <f t="shared" si="63"/>
        <v>40</v>
      </c>
      <c r="D1308" s="8">
        <f t="shared" si="64"/>
        <v>44</v>
      </c>
      <c r="E1308" s="8">
        <f>IFERROR(VLOOKUP(D1308,$H$4:$I$70,2,0),"")</f>
        <v>273</v>
      </c>
      <c r="F1308" s="9">
        <f>IFERROR(VLOOKUP(C1308,$H$4:$I$70,2,0),"")</f>
        <v>304</v>
      </c>
    </row>
    <row r="1309" spans="2:6" x14ac:dyDescent="0.2">
      <c r="B1309" s="13">
        <f t="shared" si="62"/>
        <v>1306</v>
      </c>
      <c r="C1309" s="8">
        <f t="shared" si="63"/>
        <v>41</v>
      </c>
      <c r="D1309" s="8">
        <f t="shared" si="64"/>
        <v>44</v>
      </c>
      <c r="E1309" s="8">
        <f>IFERROR(VLOOKUP(D1309,$H$4:$I$70,2,0),"")</f>
        <v>273</v>
      </c>
      <c r="F1309" s="9">
        <f>IFERROR(VLOOKUP(C1309,$H$4:$I$70,2,0),"")</f>
        <v>301</v>
      </c>
    </row>
    <row r="1310" spans="2:6" x14ac:dyDescent="0.2">
      <c r="B1310" s="13">
        <f t="shared" si="62"/>
        <v>1307</v>
      </c>
      <c r="C1310" s="8">
        <f t="shared" si="63"/>
        <v>42</v>
      </c>
      <c r="D1310" s="8">
        <f t="shared" si="64"/>
        <v>44</v>
      </c>
      <c r="E1310" s="8">
        <f>IFERROR(VLOOKUP(D1310,$H$4:$I$70,2,0),"")</f>
        <v>273</v>
      </c>
      <c r="F1310" s="9">
        <f>IFERROR(VLOOKUP(C1310,$H$4:$I$70,2,0),"")</f>
        <v>300</v>
      </c>
    </row>
    <row r="1311" spans="2:6" x14ac:dyDescent="0.2">
      <c r="B1311" s="13">
        <f t="shared" si="62"/>
        <v>1308</v>
      </c>
      <c r="C1311" s="8">
        <f t="shared" si="63"/>
        <v>43</v>
      </c>
      <c r="D1311" s="8">
        <f t="shared" si="64"/>
        <v>44</v>
      </c>
      <c r="E1311" s="8">
        <f>IFERROR(VLOOKUP(D1311,$H$4:$I$70,2,0),"")</f>
        <v>273</v>
      </c>
      <c r="F1311" s="9">
        <f>IFERROR(VLOOKUP(C1311,$H$4:$I$70,2,0),"")</f>
        <v>288</v>
      </c>
    </row>
    <row r="1312" spans="2:6" x14ac:dyDescent="0.2">
      <c r="B1312" s="13">
        <f t="shared" si="62"/>
        <v>1309</v>
      </c>
      <c r="C1312" s="8">
        <f t="shared" si="63"/>
        <v>1</v>
      </c>
      <c r="D1312" s="8">
        <f t="shared" si="64"/>
        <v>43</v>
      </c>
      <c r="E1312" s="8">
        <f>IFERROR(VLOOKUP(D1312,$H$4:$I$70,2,0),"")</f>
        <v>288</v>
      </c>
      <c r="F1312" s="9">
        <f>IFERROR(VLOOKUP(C1312,$H$4:$I$70,2,0),"")</f>
        <v>1344</v>
      </c>
    </row>
    <row r="1313" spans="2:6" x14ac:dyDescent="0.2">
      <c r="B1313" s="13">
        <f t="shared" si="62"/>
        <v>1310</v>
      </c>
      <c r="C1313" s="8">
        <f t="shared" si="63"/>
        <v>2</v>
      </c>
      <c r="D1313" s="8">
        <f t="shared" si="64"/>
        <v>43</v>
      </c>
      <c r="E1313" s="8">
        <f>IFERROR(VLOOKUP(D1313,$H$4:$I$70,2,0),"")</f>
        <v>288</v>
      </c>
      <c r="F1313" s="9">
        <f>IFERROR(VLOOKUP(C1313,$H$4:$I$70,2,0),"")</f>
        <v>1048</v>
      </c>
    </row>
    <row r="1314" spans="2:6" x14ac:dyDescent="0.2">
      <c r="B1314" s="13">
        <f t="shared" si="62"/>
        <v>1311</v>
      </c>
      <c r="C1314" s="8">
        <f t="shared" si="63"/>
        <v>3</v>
      </c>
      <c r="D1314" s="8">
        <f t="shared" si="64"/>
        <v>43</v>
      </c>
      <c r="E1314" s="8">
        <f>IFERROR(VLOOKUP(D1314,$H$4:$I$70,2,0),"")</f>
        <v>288</v>
      </c>
      <c r="F1314" s="9">
        <f>IFERROR(VLOOKUP(C1314,$H$4:$I$70,2,0),"")</f>
        <v>1025</v>
      </c>
    </row>
    <row r="1315" spans="2:6" x14ac:dyDescent="0.2">
      <c r="B1315" s="13">
        <f t="shared" si="62"/>
        <v>1312</v>
      </c>
      <c r="C1315" s="8">
        <f t="shared" si="63"/>
        <v>4</v>
      </c>
      <c r="D1315" s="8">
        <f t="shared" si="64"/>
        <v>43</v>
      </c>
      <c r="E1315" s="8">
        <f>IFERROR(VLOOKUP(D1315,$H$4:$I$70,2,0),"")</f>
        <v>288</v>
      </c>
      <c r="F1315" s="9">
        <f>IFERROR(VLOOKUP(C1315,$H$4:$I$70,2,0),"")</f>
        <v>805</v>
      </c>
    </row>
    <row r="1316" spans="2:6" x14ac:dyDescent="0.2">
      <c r="B1316" s="13">
        <f t="shared" si="62"/>
        <v>1313</v>
      </c>
      <c r="C1316" s="8">
        <f t="shared" si="63"/>
        <v>5</v>
      </c>
      <c r="D1316" s="8">
        <f t="shared" si="64"/>
        <v>43</v>
      </c>
      <c r="E1316" s="8">
        <f>IFERROR(VLOOKUP(D1316,$H$4:$I$70,2,0),"")</f>
        <v>288</v>
      </c>
      <c r="F1316" s="9">
        <f>IFERROR(VLOOKUP(C1316,$H$4:$I$70,2,0),"")</f>
        <v>666</v>
      </c>
    </row>
    <row r="1317" spans="2:6" x14ac:dyDescent="0.2">
      <c r="B1317" s="13">
        <f t="shared" si="62"/>
        <v>1314</v>
      </c>
      <c r="C1317" s="8">
        <f t="shared" si="63"/>
        <v>6</v>
      </c>
      <c r="D1317" s="8">
        <f t="shared" si="64"/>
        <v>43</v>
      </c>
      <c r="E1317" s="8">
        <f>IFERROR(VLOOKUP(D1317,$H$4:$I$70,2,0),"")</f>
        <v>288</v>
      </c>
      <c r="F1317" s="9">
        <f>IFERROR(VLOOKUP(C1317,$H$4:$I$70,2,0),"")</f>
        <v>655</v>
      </c>
    </row>
    <row r="1318" spans="2:6" x14ac:dyDescent="0.2">
      <c r="B1318" s="13">
        <f t="shared" si="62"/>
        <v>1315</v>
      </c>
      <c r="C1318" s="8">
        <f t="shared" si="63"/>
        <v>7</v>
      </c>
      <c r="D1318" s="8">
        <f t="shared" si="64"/>
        <v>43</v>
      </c>
      <c r="E1318" s="8">
        <f>IFERROR(VLOOKUP(D1318,$H$4:$I$70,2,0),"")</f>
        <v>288</v>
      </c>
      <c r="F1318" s="9">
        <f>IFERROR(VLOOKUP(C1318,$H$4:$I$70,2,0),"")</f>
        <v>652</v>
      </c>
    </row>
    <row r="1319" spans="2:6" x14ac:dyDescent="0.2">
      <c r="B1319" s="13">
        <f t="shared" si="62"/>
        <v>1316</v>
      </c>
      <c r="C1319" s="8">
        <f t="shared" si="63"/>
        <v>8</v>
      </c>
      <c r="D1319" s="8">
        <f t="shared" si="64"/>
        <v>43</v>
      </c>
      <c r="E1319" s="8">
        <f>IFERROR(VLOOKUP(D1319,$H$4:$I$70,2,0),"")</f>
        <v>288</v>
      </c>
      <c r="F1319" s="9">
        <f>IFERROR(VLOOKUP(C1319,$H$4:$I$70,2,0),"")</f>
        <v>633</v>
      </c>
    </row>
    <row r="1320" spans="2:6" x14ac:dyDescent="0.2">
      <c r="B1320" s="13">
        <f t="shared" si="62"/>
        <v>1317</v>
      </c>
      <c r="C1320" s="8">
        <f t="shared" si="63"/>
        <v>9</v>
      </c>
      <c r="D1320" s="8">
        <f t="shared" si="64"/>
        <v>43</v>
      </c>
      <c r="E1320" s="8">
        <f>IFERROR(VLOOKUP(D1320,$H$4:$I$70,2,0),"")</f>
        <v>288</v>
      </c>
      <c r="F1320" s="9">
        <f>IFERROR(VLOOKUP(C1320,$H$4:$I$70,2,0),"")</f>
        <v>632</v>
      </c>
    </row>
    <row r="1321" spans="2:6" x14ac:dyDescent="0.2">
      <c r="B1321" s="13">
        <f t="shared" si="62"/>
        <v>1318</v>
      </c>
      <c r="C1321" s="8">
        <f t="shared" si="63"/>
        <v>10</v>
      </c>
      <c r="D1321" s="8">
        <f t="shared" si="64"/>
        <v>43</v>
      </c>
      <c r="E1321" s="8">
        <f>IFERROR(VLOOKUP(D1321,$H$4:$I$70,2,0),"")</f>
        <v>288</v>
      </c>
      <c r="F1321" s="9">
        <f>IFERROR(VLOOKUP(C1321,$H$4:$I$70,2,0),"")</f>
        <v>625</v>
      </c>
    </row>
    <row r="1322" spans="2:6" x14ac:dyDescent="0.2">
      <c r="B1322" s="13">
        <f t="shared" si="62"/>
        <v>1319</v>
      </c>
      <c r="C1322" s="8">
        <f t="shared" si="63"/>
        <v>11</v>
      </c>
      <c r="D1322" s="8">
        <f t="shared" si="64"/>
        <v>43</v>
      </c>
      <c r="E1322" s="8">
        <f>IFERROR(VLOOKUP(D1322,$H$4:$I$70,2,0),"")</f>
        <v>288</v>
      </c>
      <c r="F1322" s="9">
        <f>IFERROR(VLOOKUP(C1322,$H$4:$I$70,2,0),"")</f>
        <v>619</v>
      </c>
    </row>
    <row r="1323" spans="2:6" x14ac:dyDescent="0.2">
      <c r="B1323" s="13">
        <f t="shared" si="62"/>
        <v>1320</v>
      </c>
      <c r="C1323" s="8">
        <f t="shared" si="63"/>
        <v>12</v>
      </c>
      <c r="D1323" s="8">
        <f t="shared" si="64"/>
        <v>43</v>
      </c>
      <c r="E1323" s="8">
        <f>IFERROR(VLOOKUP(D1323,$H$4:$I$70,2,0),"")</f>
        <v>288</v>
      </c>
      <c r="F1323" s="9">
        <f>IFERROR(VLOOKUP(C1323,$H$4:$I$70,2,0),"")</f>
        <v>610</v>
      </c>
    </row>
    <row r="1324" spans="2:6" x14ac:dyDescent="0.2">
      <c r="B1324" s="13">
        <f t="shared" si="62"/>
        <v>1321</v>
      </c>
      <c r="C1324" s="8">
        <f t="shared" si="63"/>
        <v>13</v>
      </c>
      <c r="D1324" s="8">
        <f t="shared" si="64"/>
        <v>43</v>
      </c>
      <c r="E1324" s="8">
        <f>IFERROR(VLOOKUP(D1324,$H$4:$I$70,2,0),"")</f>
        <v>288</v>
      </c>
      <c r="F1324" s="9">
        <f>IFERROR(VLOOKUP(C1324,$H$4:$I$70,2,0),"")</f>
        <v>599</v>
      </c>
    </row>
    <row r="1325" spans="2:6" x14ac:dyDescent="0.2">
      <c r="B1325" s="13">
        <f t="shared" si="62"/>
        <v>1322</v>
      </c>
      <c r="C1325" s="8">
        <f t="shared" si="63"/>
        <v>14</v>
      </c>
      <c r="D1325" s="8">
        <f t="shared" si="64"/>
        <v>43</v>
      </c>
      <c r="E1325" s="8">
        <f>IFERROR(VLOOKUP(D1325,$H$4:$I$70,2,0),"")</f>
        <v>288</v>
      </c>
      <c r="F1325" s="9">
        <f>IFERROR(VLOOKUP(C1325,$H$4:$I$70,2,0),"")</f>
        <v>559</v>
      </c>
    </row>
    <row r="1326" spans="2:6" x14ac:dyDescent="0.2">
      <c r="B1326" s="13">
        <f t="shared" si="62"/>
        <v>1323</v>
      </c>
      <c r="C1326" s="8">
        <f t="shared" si="63"/>
        <v>15</v>
      </c>
      <c r="D1326" s="8">
        <f t="shared" si="64"/>
        <v>43</v>
      </c>
      <c r="E1326" s="8">
        <f>IFERROR(VLOOKUP(D1326,$H$4:$I$70,2,0),"")</f>
        <v>288</v>
      </c>
      <c r="F1326" s="9">
        <f>IFERROR(VLOOKUP(C1326,$H$4:$I$70,2,0),"")</f>
        <v>556</v>
      </c>
    </row>
    <row r="1327" spans="2:6" x14ac:dyDescent="0.2">
      <c r="B1327" s="13">
        <f t="shared" si="62"/>
        <v>1324</v>
      </c>
      <c r="C1327" s="8">
        <f t="shared" si="63"/>
        <v>16</v>
      </c>
      <c r="D1327" s="8">
        <f t="shared" si="64"/>
        <v>43</v>
      </c>
      <c r="E1327" s="8">
        <f>IFERROR(VLOOKUP(D1327,$H$4:$I$70,2,0),"")</f>
        <v>288</v>
      </c>
      <c r="F1327" s="9">
        <f>IFERROR(VLOOKUP(C1327,$H$4:$I$70,2,0),"")</f>
        <v>540</v>
      </c>
    </row>
    <row r="1328" spans="2:6" x14ac:dyDescent="0.2">
      <c r="B1328" s="13">
        <f t="shared" si="62"/>
        <v>1325</v>
      </c>
      <c r="C1328" s="8">
        <f t="shared" si="63"/>
        <v>17</v>
      </c>
      <c r="D1328" s="8">
        <f t="shared" si="64"/>
        <v>43</v>
      </c>
      <c r="E1328" s="8">
        <f>IFERROR(VLOOKUP(D1328,$H$4:$I$70,2,0),"")</f>
        <v>288</v>
      </c>
      <c r="F1328" s="9">
        <f>IFERROR(VLOOKUP(C1328,$H$4:$I$70,2,0),"")</f>
        <v>536</v>
      </c>
    </row>
    <row r="1329" spans="2:6" x14ac:dyDescent="0.2">
      <c r="B1329" s="13">
        <f t="shared" si="62"/>
        <v>1326</v>
      </c>
      <c r="C1329" s="8">
        <f t="shared" si="63"/>
        <v>18</v>
      </c>
      <c r="D1329" s="8">
        <f t="shared" si="64"/>
        <v>43</v>
      </c>
      <c r="E1329" s="8">
        <f>IFERROR(VLOOKUP(D1329,$H$4:$I$70,2,0),"")</f>
        <v>288</v>
      </c>
      <c r="F1329" s="9">
        <f>IFERROR(VLOOKUP(C1329,$H$4:$I$70,2,0),"")</f>
        <v>527</v>
      </c>
    </row>
    <row r="1330" spans="2:6" x14ac:dyDescent="0.2">
      <c r="B1330" s="13">
        <f t="shared" si="62"/>
        <v>1327</v>
      </c>
      <c r="C1330" s="8">
        <f t="shared" si="63"/>
        <v>19</v>
      </c>
      <c r="D1330" s="8">
        <f t="shared" si="64"/>
        <v>43</v>
      </c>
      <c r="E1330" s="8">
        <f>IFERROR(VLOOKUP(D1330,$H$4:$I$70,2,0),"")</f>
        <v>288</v>
      </c>
      <c r="F1330" s="9">
        <f>IFERROR(VLOOKUP(C1330,$H$4:$I$70,2,0),"")</f>
        <v>478</v>
      </c>
    </row>
    <row r="1331" spans="2:6" x14ac:dyDescent="0.2">
      <c r="B1331" s="13">
        <f t="shared" si="62"/>
        <v>1328</v>
      </c>
      <c r="C1331" s="8">
        <f t="shared" si="63"/>
        <v>20</v>
      </c>
      <c r="D1331" s="8">
        <f t="shared" si="64"/>
        <v>43</v>
      </c>
      <c r="E1331" s="8">
        <f>IFERROR(VLOOKUP(D1331,$H$4:$I$70,2,0),"")</f>
        <v>288</v>
      </c>
      <c r="F1331" s="9">
        <f>IFERROR(VLOOKUP(C1331,$H$4:$I$70,2,0),"")</f>
        <v>474</v>
      </c>
    </row>
    <row r="1332" spans="2:6" x14ac:dyDescent="0.2">
      <c r="B1332" s="13">
        <f t="shared" si="62"/>
        <v>1329</v>
      </c>
      <c r="C1332" s="8">
        <f t="shared" si="63"/>
        <v>21</v>
      </c>
      <c r="D1332" s="8">
        <f t="shared" si="64"/>
        <v>43</v>
      </c>
      <c r="E1332" s="8">
        <f>IFERROR(VLOOKUP(D1332,$H$4:$I$70,2,0),"")</f>
        <v>288</v>
      </c>
      <c r="F1332" s="9">
        <f>IFERROR(VLOOKUP(C1332,$H$4:$I$70,2,0),"")</f>
        <v>468</v>
      </c>
    </row>
    <row r="1333" spans="2:6" x14ac:dyDescent="0.2">
      <c r="B1333" s="13">
        <f t="shared" si="62"/>
        <v>1330</v>
      </c>
      <c r="C1333" s="8">
        <f t="shared" si="63"/>
        <v>22</v>
      </c>
      <c r="D1333" s="8">
        <f t="shared" si="64"/>
        <v>43</v>
      </c>
      <c r="E1333" s="8">
        <f>IFERROR(VLOOKUP(D1333,$H$4:$I$70,2,0),"")</f>
        <v>288</v>
      </c>
      <c r="F1333" s="9">
        <f>IFERROR(VLOOKUP(C1333,$H$4:$I$70,2,0),"")</f>
        <v>457</v>
      </c>
    </row>
    <row r="1334" spans="2:6" x14ac:dyDescent="0.2">
      <c r="B1334" s="13">
        <f t="shared" si="62"/>
        <v>1331</v>
      </c>
      <c r="C1334" s="8">
        <f t="shared" si="63"/>
        <v>23</v>
      </c>
      <c r="D1334" s="8">
        <f t="shared" si="64"/>
        <v>43</v>
      </c>
      <c r="E1334" s="8">
        <f>IFERROR(VLOOKUP(D1334,$H$4:$I$70,2,0),"")</f>
        <v>288</v>
      </c>
      <c r="F1334" s="9">
        <f>IFERROR(VLOOKUP(C1334,$H$4:$I$70,2,0),"")</f>
        <v>452</v>
      </c>
    </row>
    <row r="1335" spans="2:6" x14ac:dyDescent="0.2">
      <c r="B1335" s="13">
        <f t="shared" si="62"/>
        <v>1332</v>
      </c>
      <c r="C1335" s="8">
        <f t="shared" si="63"/>
        <v>24</v>
      </c>
      <c r="D1335" s="8">
        <f t="shared" si="64"/>
        <v>43</v>
      </c>
      <c r="E1335" s="8">
        <f>IFERROR(VLOOKUP(D1335,$H$4:$I$70,2,0),"")</f>
        <v>288</v>
      </c>
      <c r="F1335" s="9">
        <f>IFERROR(VLOOKUP(C1335,$H$4:$I$70,2,0),"")</f>
        <v>442</v>
      </c>
    </row>
    <row r="1336" spans="2:6" x14ac:dyDescent="0.2">
      <c r="B1336" s="13">
        <f t="shared" si="62"/>
        <v>1333</v>
      </c>
      <c r="C1336" s="8">
        <f t="shared" si="63"/>
        <v>25</v>
      </c>
      <c r="D1336" s="8">
        <f t="shared" si="64"/>
        <v>43</v>
      </c>
      <c r="E1336" s="8">
        <f>IFERROR(VLOOKUP(D1336,$H$4:$I$70,2,0),"")</f>
        <v>288</v>
      </c>
      <c r="F1336" s="9">
        <f>IFERROR(VLOOKUP(C1336,$H$4:$I$70,2,0),"")</f>
        <v>420</v>
      </c>
    </row>
    <row r="1337" spans="2:6" x14ac:dyDescent="0.2">
      <c r="B1337" s="13">
        <f t="shared" si="62"/>
        <v>1334</v>
      </c>
      <c r="C1337" s="8">
        <f t="shared" si="63"/>
        <v>26</v>
      </c>
      <c r="D1337" s="8">
        <f t="shared" si="64"/>
        <v>43</v>
      </c>
      <c r="E1337" s="8">
        <f>IFERROR(VLOOKUP(D1337,$H$4:$I$70,2,0),"")</f>
        <v>288</v>
      </c>
      <c r="F1337" s="9">
        <f>IFERROR(VLOOKUP(C1337,$H$4:$I$70,2,0),"")</f>
        <v>410</v>
      </c>
    </row>
    <row r="1338" spans="2:6" x14ac:dyDescent="0.2">
      <c r="B1338" s="13">
        <f t="shared" si="62"/>
        <v>1335</v>
      </c>
      <c r="C1338" s="8">
        <f t="shared" si="63"/>
        <v>27</v>
      </c>
      <c r="D1338" s="8">
        <f t="shared" si="64"/>
        <v>43</v>
      </c>
      <c r="E1338" s="8">
        <f>IFERROR(VLOOKUP(D1338,$H$4:$I$70,2,0),"")</f>
        <v>288</v>
      </c>
      <c r="F1338" s="9">
        <f>IFERROR(VLOOKUP(C1338,$H$4:$I$70,2,0),"")</f>
        <v>409</v>
      </c>
    </row>
    <row r="1339" spans="2:6" x14ac:dyDescent="0.2">
      <c r="B1339" s="13">
        <f t="shared" si="62"/>
        <v>1336</v>
      </c>
      <c r="C1339" s="8">
        <f t="shared" si="63"/>
        <v>28</v>
      </c>
      <c r="D1339" s="8">
        <f t="shared" si="64"/>
        <v>43</v>
      </c>
      <c r="E1339" s="8">
        <f>IFERROR(VLOOKUP(D1339,$H$4:$I$70,2,0),"")</f>
        <v>288</v>
      </c>
      <c r="F1339" s="9">
        <f>IFERROR(VLOOKUP(C1339,$H$4:$I$70,2,0),"")</f>
        <v>408</v>
      </c>
    </row>
    <row r="1340" spans="2:6" x14ac:dyDescent="0.2">
      <c r="B1340" s="13">
        <f t="shared" si="62"/>
        <v>1337</v>
      </c>
      <c r="C1340" s="8">
        <f t="shared" si="63"/>
        <v>29</v>
      </c>
      <c r="D1340" s="8">
        <f t="shared" si="64"/>
        <v>43</v>
      </c>
      <c r="E1340" s="8">
        <f>IFERROR(VLOOKUP(D1340,$H$4:$I$70,2,0),"")</f>
        <v>288</v>
      </c>
      <c r="F1340" s="9">
        <f>IFERROR(VLOOKUP(C1340,$H$4:$I$70,2,0),"")</f>
        <v>404</v>
      </c>
    </row>
    <row r="1341" spans="2:6" x14ac:dyDescent="0.2">
      <c r="B1341" s="13">
        <f t="shared" si="62"/>
        <v>1338</v>
      </c>
      <c r="C1341" s="8">
        <f t="shared" si="63"/>
        <v>30</v>
      </c>
      <c r="D1341" s="8">
        <f t="shared" si="64"/>
        <v>43</v>
      </c>
      <c r="E1341" s="8">
        <f>IFERROR(VLOOKUP(D1341,$H$4:$I$70,2,0),"")</f>
        <v>288</v>
      </c>
      <c r="F1341" s="9">
        <f>IFERROR(VLOOKUP(C1341,$H$4:$I$70,2,0),"")</f>
        <v>399</v>
      </c>
    </row>
    <row r="1342" spans="2:6" x14ac:dyDescent="0.2">
      <c r="B1342" s="13">
        <f t="shared" si="62"/>
        <v>1339</v>
      </c>
      <c r="C1342" s="8">
        <f t="shared" si="63"/>
        <v>31</v>
      </c>
      <c r="D1342" s="8">
        <f t="shared" si="64"/>
        <v>43</v>
      </c>
      <c r="E1342" s="8">
        <f>IFERROR(VLOOKUP(D1342,$H$4:$I$70,2,0),"")</f>
        <v>288</v>
      </c>
      <c r="F1342" s="9">
        <f>IFERROR(VLOOKUP(C1342,$H$4:$I$70,2,0),"")</f>
        <v>396</v>
      </c>
    </row>
    <row r="1343" spans="2:6" x14ac:dyDescent="0.2">
      <c r="B1343" s="13">
        <f t="shared" si="62"/>
        <v>1340</v>
      </c>
      <c r="C1343" s="8">
        <f t="shared" si="63"/>
        <v>32</v>
      </c>
      <c r="D1343" s="8">
        <f t="shared" si="64"/>
        <v>43</v>
      </c>
      <c r="E1343" s="8">
        <f>IFERROR(VLOOKUP(D1343,$H$4:$I$70,2,0),"")</f>
        <v>288</v>
      </c>
      <c r="F1343" s="9">
        <f>IFERROR(VLOOKUP(C1343,$H$4:$I$70,2,0),"")</f>
        <v>384</v>
      </c>
    </row>
    <row r="1344" spans="2:6" x14ac:dyDescent="0.2">
      <c r="B1344" s="13">
        <f t="shared" si="62"/>
        <v>1341</v>
      </c>
      <c r="C1344" s="8">
        <f t="shared" si="63"/>
        <v>33</v>
      </c>
      <c r="D1344" s="8">
        <f t="shared" si="64"/>
        <v>43</v>
      </c>
      <c r="E1344" s="8">
        <f>IFERROR(VLOOKUP(D1344,$H$4:$I$70,2,0),"")</f>
        <v>288</v>
      </c>
      <c r="F1344" s="9">
        <f>IFERROR(VLOOKUP(C1344,$H$4:$I$70,2,0),"")</f>
        <v>381</v>
      </c>
    </row>
    <row r="1345" spans="2:6" x14ac:dyDescent="0.2">
      <c r="B1345" s="13">
        <f t="shared" si="62"/>
        <v>1342</v>
      </c>
      <c r="C1345" s="8">
        <f t="shared" si="63"/>
        <v>34</v>
      </c>
      <c r="D1345" s="8">
        <f t="shared" si="64"/>
        <v>43</v>
      </c>
      <c r="E1345" s="8">
        <f>IFERROR(VLOOKUP(D1345,$H$4:$I$70,2,0),"")</f>
        <v>288</v>
      </c>
      <c r="F1345" s="9">
        <f>IFERROR(VLOOKUP(C1345,$H$4:$I$70,2,0),"")</f>
        <v>376</v>
      </c>
    </row>
    <row r="1346" spans="2:6" x14ac:dyDescent="0.2">
      <c r="B1346" s="13">
        <f t="shared" si="62"/>
        <v>1343</v>
      </c>
      <c r="C1346" s="8">
        <f t="shared" si="63"/>
        <v>35</v>
      </c>
      <c r="D1346" s="8">
        <f t="shared" si="64"/>
        <v>43</v>
      </c>
      <c r="E1346" s="8">
        <f>IFERROR(VLOOKUP(D1346,$H$4:$I$70,2,0),"")</f>
        <v>288</v>
      </c>
      <c r="F1346" s="9">
        <f>IFERROR(VLOOKUP(C1346,$H$4:$I$70,2,0),"")</f>
        <v>370</v>
      </c>
    </row>
    <row r="1347" spans="2:6" x14ac:dyDescent="0.2">
      <c r="B1347" s="13">
        <f t="shared" si="62"/>
        <v>1344</v>
      </c>
      <c r="C1347" s="8">
        <f t="shared" si="63"/>
        <v>36</v>
      </c>
      <c r="D1347" s="8">
        <f t="shared" si="64"/>
        <v>43</v>
      </c>
      <c r="E1347" s="8">
        <f>IFERROR(VLOOKUP(D1347,$H$4:$I$70,2,0),"")</f>
        <v>288</v>
      </c>
      <c r="F1347" s="9">
        <f>IFERROR(VLOOKUP(C1347,$H$4:$I$70,2,0),"")</f>
        <v>362</v>
      </c>
    </row>
    <row r="1348" spans="2:6" x14ac:dyDescent="0.2">
      <c r="B1348" s="13">
        <f t="shared" si="62"/>
        <v>1345</v>
      </c>
      <c r="C1348" s="8">
        <f t="shared" si="63"/>
        <v>37</v>
      </c>
      <c r="D1348" s="8">
        <f t="shared" si="64"/>
        <v>43</v>
      </c>
      <c r="E1348" s="8">
        <f>IFERROR(VLOOKUP(D1348,$H$4:$I$70,2,0),"")</f>
        <v>288</v>
      </c>
      <c r="F1348" s="9">
        <f>IFERROR(VLOOKUP(C1348,$H$4:$I$70,2,0),"")</f>
        <v>357</v>
      </c>
    </row>
    <row r="1349" spans="2:6" x14ac:dyDescent="0.2">
      <c r="B1349" s="13">
        <f t="shared" ref="B1349:B1412" si="65">ROW()-3</f>
        <v>1346</v>
      </c>
      <c r="C1349" s="8">
        <f t="shared" si="63"/>
        <v>38</v>
      </c>
      <c r="D1349" s="8">
        <f t="shared" si="64"/>
        <v>43</v>
      </c>
      <c r="E1349" s="8">
        <f>IFERROR(VLOOKUP(D1349,$H$4:$I$70,2,0),"")</f>
        <v>288</v>
      </c>
      <c r="F1349" s="9">
        <f>IFERROR(VLOOKUP(C1349,$H$4:$I$70,2,0),"")</f>
        <v>351</v>
      </c>
    </row>
    <row r="1350" spans="2:6" x14ac:dyDescent="0.2">
      <c r="B1350" s="13">
        <f t="shared" si="65"/>
        <v>1347</v>
      </c>
      <c r="C1350" s="8">
        <f t="shared" ref="C1350:C1413" si="66">IF((D1349-C1349)=1,1,C1349+1)</f>
        <v>39</v>
      </c>
      <c r="D1350" s="8">
        <f t="shared" ref="D1350:D1413" si="67">IF((D1349-C1349)=1,D1349-1,D1349)</f>
        <v>43</v>
      </c>
      <c r="E1350" s="8">
        <f>IFERROR(VLOOKUP(D1350,$H$4:$I$70,2,0),"")</f>
        <v>288</v>
      </c>
      <c r="F1350" s="9">
        <f>IFERROR(VLOOKUP(C1350,$H$4:$I$70,2,0),"")</f>
        <v>339</v>
      </c>
    </row>
    <row r="1351" spans="2:6" x14ac:dyDescent="0.2">
      <c r="B1351" s="13">
        <f t="shared" si="65"/>
        <v>1348</v>
      </c>
      <c r="C1351" s="8">
        <f t="shared" si="66"/>
        <v>40</v>
      </c>
      <c r="D1351" s="8">
        <f t="shared" si="67"/>
        <v>43</v>
      </c>
      <c r="E1351" s="8">
        <f>IFERROR(VLOOKUP(D1351,$H$4:$I$70,2,0),"")</f>
        <v>288</v>
      </c>
      <c r="F1351" s="9">
        <f>IFERROR(VLOOKUP(C1351,$H$4:$I$70,2,0),"")</f>
        <v>304</v>
      </c>
    </row>
    <row r="1352" spans="2:6" x14ac:dyDescent="0.2">
      <c r="B1352" s="13">
        <f t="shared" si="65"/>
        <v>1349</v>
      </c>
      <c r="C1352" s="8">
        <f t="shared" si="66"/>
        <v>41</v>
      </c>
      <c r="D1352" s="8">
        <f t="shared" si="67"/>
        <v>43</v>
      </c>
      <c r="E1352" s="8">
        <f>IFERROR(VLOOKUP(D1352,$H$4:$I$70,2,0),"")</f>
        <v>288</v>
      </c>
      <c r="F1352" s="9">
        <f>IFERROR(VLOOKUP(C1352,$H$4:$I$70,2,0),"")</f>
        <v>301</v>
      </c>
    </row>
    <row r="1353" spans="2:6" x14ac:dyDescent="0.2">
      <c r="B1353" s="13">
        <f t="shared" si="65"/>
        <v>1350</v>
      </c>
      <c r="C1353" s="8">
        <f t="shared" si="66"/>
        <v>42</v>
      </c>
      <c r="D1353" s="8">
        <f t="shared" si="67"/>
        <v>43</v>
      </c>
      <c r="E1353" s="8">
        <f>IFERROR(VLOOKUP(D1353,$H$4:$I$70,2,0),"")</f>
        <v>288</v>
      </c>
      <c r="F1353" s="9">
        <f>IFERROR(VLOOKUP(C1353,$H$4:$I$70,2,0),"")</f>
        <v>300</v>
      </c>
    </row>
    <row r="1354" spans="2:6" x14ac:dyDescent="0.2">
      <c r="B1354" s="13">
        <f t="shared" si="65"/>
        <v>1351</v>
      </c>
      <c r="C1354" s="8">
        <f t="shared" si="66"/>
        <v>1</v>
      </c>
      <c r="D1354" s="8">
        <f t="shared" si="67"/>
        <v>42</v>
      </c>
      <c r="E1354" s="8">
        <f>IFERROR(VLOOKUP(D1354,$H$4:$I$70,2,0),"")</f>
        <v>300</v>
      </c>
      <c r="F1354" s="9">
        <f>IFERROR(VLOOKUP(C1354,$H$4:$I$70,2,0),"")</f>
        <v>1344</v>
      </c>
    </row>
    <row r="1355" spans="2:6" x14ac:dyDescent="0.2">
      <c r="B1355" s="13">
        <f t="shared" si="65"/>
        <v>1352</v>
      </c>
      <c r="C1355" s="8">
        <f t="shared" si="66"/>
        <v>2</v>
      </c>
      <c r="D1355" s="8">
        <f t="shared" si="67"/>
        <v>42</v>
      </c>
      <c r="E1355" s="8">
        <f>IFERROR(VLOOKUP(D1355,$H$4:$I$70,2,0),"")</f>
        <v>300</v>
      </c>
      <c r="F1355" s="9">
        <f>IFERROR(VLOOKUP(C1355,$H$4:$I$70,2,0),"")</f>
        <v>1048</v>
      </c>
    </row>
    <row r="1356" spans="2:6" x14ac:dyDescent="0.2">
      <c r="B1356" s="13">
        <f t="shared" si="65"/>
        <v>1353</v>
      </c>
      <c r="C1356" s="8">
        <f t="shared" si="66"/>
        <v>3</v>
      </c>
      <c r="D1356" s="8">
        <f t="shared" si="67"/>
        <v>42</v>
      </c>
      <c r="E1356" s="8">
        <f>IFERROR(VLOOKUP(D1356,$H$4:$I$70,2,0),"")</f>
        <v>300</v>
      </c>
      <c r="F1356" s="9">
        <f>IFERROR(VLOOKUP(C1356,$H$4:$I$70,2,0),"")</f>
        <v>1025</v>
      </c>
    </row>
    <row r="1357" spans="2:6" x14ac:dyDescent="0.2">
      <c r="B1357" s="13">
        <f t="shared" si="65"/>
        <v>1354</v>
      </c>
      <c r="C1357" s="8">
        <f t="shared" si="66"/>
        <v>4</v>
      </c>
      <c r="D1357" s="8">
        <f t="shared" si="67"/>
        <v>42</v>
      </c>
      <c r="E1357" s="8">
        <f>IFERROR(VLOOKUP(D1357,$H$4:$I$70,2,0),"")</f>
        <v>300</v>
      </c>
      <c r="F1357" s="9">
        <f>IFERROR(VLOOKUP(C1357,$H$4:$I$70,2,0),"")</f>
        <v>805</v>
      </c>
    </row>
    <row r="1358" spans="2:6" x14ac:dyDescent="0.2">
      <c r="B1358" s="13">
        <f t="shared" si="65"/>
        <v>1355</v>
      </c>
      <c r="C1358" s="8">
        <f t="shared" si="66"/>
        <v>5</v>
      </c>
      <c r="D1358" s="8">
        <f t="shared" si="67"/>
        <v>42</v>
      </c>
      <c r="E1358" s="8">
        <f>IFERROR(VLOOKUP(D1358,$H$4:$I$70,2,0),"")</f>
        <v>300</v>
      </c>
      <c r="F1358" s="9">
        <f>IFERROR(VLOOKUP(C1358,$H$4:$I$70,2,0),"")</f>
        <v>666</v>
      </c>
    </row>
    <row r="1359" spans="2:6" x14ac:dyDescent="0.2">
      <c r="B1359" s="13">
        <f t="shared" si="65"/>
        <v>1356</v>
      </c>
      <c r="C1359" s="8">
        <f t="shared" si="66"/>
        <v>6</v>
      </c>
      <c r="D1359" s="8">
        <f t="shared" si="67"/>
        <v>42</v>
      </c>
      <c r="E1359" s="8">
        <f>IFERROR(VLOOKUP(D1359,$H$4:$I$70,2,0),"")</f>
        <v>300</v>
      </c>
      <c r="F1359" s="9">
        <f>IFERROR(VLOOKUP(C1359,$H$4:$I$70,2,0),"")</f>
        <v>655</v>
      </c>
    </row>
    <row r="1360" spans="2:6" x14ac:dyDescent="0.2">
      <c r="B1360" s="13">
        <f t="shared" si="65"/>
        <v>1357</v>
      </c>
      <c r="C1360" s="8">
        <f t="shared" si="66"/>
        <v>7</v>
      </c>
      <c r="D1360" s="8">
        <f t="shared" si="67"/>
        <v>42</v>
      </c>
      <c r="E1360" s="8">
        <f>IFERROR(VLOOKUP(D1360,$H$4:$I$70,2,0),"")</f>
        <v>300</v>
      </c>
      <c r="F1360" s="9">
        <f>IFERROR(VLOOKUP(C1360,$H$4:$I$70,2,0),"")</f>
        <v>652</v>
      </c>
    </row>
    <row r="1361" spans="2:6" x14ac:dyDescent="0.2">
      <c r="B1361" s="13">
        <f t="shared" si="65"/>
        <v>1358</v>
      </c>
      <c r="C1361" s="8">
        <f t="shared" si="66"/>
        <v>8</v>
      </c>
      <c r="D1361" s="8">
        <f t="shared" si="67"/>
        <v>42</v>
      </c>
      <c r="E1361" s="8">
        <f>IFERROR(VLOOKUP(D1361,$H$4:$I$70,2,0),"")</f>
        <v>300</v>
      </c>
      <c r="F1361" s="9">
        <f>IFERROR(VLOOKUP(C1361,$H$4:$I$70,2,0),"")</f>
        <v>633</v>
      </c>
    </row>
    <row r="1362" spans="2:6" x14ac:dyDescent="0.2">
      <c r="B1362" s="13">
        <f t="shared" si="65"/>
        <v>1359</v>
      </c>
      <c r="C1362" s="8">
        <f t="shared" si="66"/>
        <v>9</v>
      </c>
      <c r="D1362" s="8">
        <f t="shared" si="67"/>
        <v>42</v>
      </c>
      <c r="E1362" s="8">
        <f>IFERROR(VLOOKUP(D1362,$H$4:$I$70,2,0),"")</f>
        <v>300</v>
      </c>
      <c r="F1362" s="9">
        <f>IFERROR(VLOOKUP(C1362,$H$4:$I$70,2,0),"")</f>
        <v>632</v>
      </c>
    </row>
    <row r="1363" spans="2:6" x14ac:dyDescent="0.2">
      <c r="B1363" s="13">
        <f t="shared" si="65"/>
        <v>1360</v>
      </c>
      <c r="C1363" s="8">
        <f t="shared" si="66"/>
        <v>10</v>
      </c>
      <c r="D1363" s="8">
        <f t="shared" si="67"/>
        <v>42</v>
      </c>
      <c r="E1363" s="8">
        <f>IFERROR(VLOOKUP(D1363,$H$4:$I$70,2,0),"")</f>
        <v>300</v>
      </c>
      <c r="F1363" s="9">
        <f>IFERROR(VLOOKUP(C1363,$H$4:$I$70,2,0),"")</f>
        <v>625</v>
      </c>
    </row>
    <row r="1364" spans="2:6" x14ac:dyDescent="0.2">
      <c r="B1364" s="13">
        <f t="shared" si="65"/>
        <v>1361</v>
      </c>
      <c r="C1364" s="8">
        <f t="shared" si="66"/>
        <v>11</v>
      </c>
      <c r="D1364" s="8">
        <f t="shared" si="67"/>
        <v>42</v>
      </c>
      <c r="E1364" s="8">
        <f>IFERROR(VLOOKUP(D1364,$H$4:$I$70,2,0),"")</f>
        <v>300</v>
      </c>
      <c r="F1364" s="9">
        <f>IFERROR(VLOOKUP(C1364,$H$4:$I$70,2,0),"")</f>
        <v>619</v>
      </c>
    </row>
    <row r="1365" spans="2:6" x14ac:dyDescent="0.2">
      <c r="B1365" s="13">
        <f t="shared" si="65"/>
        <v>1362</v>
      </c>
      <c r="C1365" s="8">
        <f t="shared" si="66"/>
        <v>12</v>
      </c>
      <c r="D1365" s="8">
        <f t="shared" si="67"/>
        <v>42</v>
      </c>
      <c r="E1365" s="8">
        <f>IFERROR(VLOOKUP(D1365,$H$4:$I$70,2,0),"")</f>
        <v>300</v>
      </c>
      <c r="F1365" s="9">
        <f>IFERROR(VLOOKUP(C1365,$H$4:$I$70,2,0),"")</f>
        <v>610</v>
      </c>
    </row>
    <row r="1366" spans="2:6" x14ac:dyDescent="0.2">
      <c r="B1366" s="13">
        <f t="shared" si="65"/>
        <v>1363</v>
      </c>
      <c r="C1366" s="8">
        <f t="shared" si="66"/>
        <v>13</v>
      </c>
      <c r="D1366" s="8">
        <f t="shared" si="67"/>
        <v>42</v>
      </c>
      <c r="E1366" s="8">
        <f>IFERROR(VLOOKUP(D1366,$H$4:$I$70,2,0),"")</f>
        <v>300</v>
      </c>
      <c r="F1366" s="9">
        <f>IFERROR(VLOOKUP(C1366,$H$4:$I$70,2,0),"")</f>
        <v>599</v>
      </c>
    </row>
    <row r="1367" spans="2:6" x14ac:dyDescent="0.2">
      <c r="B1367" s="13">
        <f t="shared" si="65"/>
        <v>1364</v>
      </c>
      <c r="C1367" s="8">
        <f t="shared" si="66"/>
        <v>14</v>
      </c>
      <c r="D1367" s="8">
        <f t="shared" si="67"/>
        <v>42</v>
      </c>
      <c r="E1367" s="8">
        <f>IFERROR(VLOOKUP(D1367,$H$4:$I$70,2,0),"")</f>
        <v>300</v>
      </c>
      <c r="F1367" s="9">
        <f>IFERROR(VLOOKUP(C1367,$H$4:$I$70,2,0),"")</f>
        <v>559</v>
      </c>
    </row>
    <row r="1368" spans="2:6" x14ac:dyDescent="0.2">
      <c r="B1368" s="13">
        <f t="shared" si="65"/>
        <v>1365</v>
      </c>
      <c r="C1368" s="8">
        <f t="shared" si="66"/>
        <v>15</v>
      </c>
      <c r="D1368" s="8">
        <f t="shared" si="67"/>
        <v>42</v>
      </c>
      <c r="E1368" s="8">
        <f>IFERROR(VLOOKUP(D1368,$H$4:$I$70,2,0),"")</f>
        <v>300</v>
      </c>
      <c r="F1368" s="9">
        <f>IFERROR(VLOOKUP(C1368,$H$4:$I$70,2,0),"")</f>
        <v>556</v>
      </c>
    </row>
    <row r="1369" spans="2:6" x14ac:dyDescent="0.2">
      <c r="B1369" s="13">
        <f t="shared" si="65"/>
        <v>1366</v>
      </c>
      <c r="C1369" s="8">
        <f t="shared" si="66"/>
        <v>16</v>
      </c>
      <c r="D1369" s="8">
        <f t="shared" si="67"/>
        <v>42</v>
      </c>
      <c r="E1369" s="8">
        <f>IFERROR(VLOOKUP(D1369,$H$4:$I$70,2,0),"")</f>
        <v>300</v>
      </c>
      <c r="F1369" s="9">
        <f>IFERROR(VLOOKUP(C1369,$H$4:$I$70,2,0),"")</f>
        <v>540</v>
      </c>
    </row>
    <row r="1370" spans="2:6" x14ac:dyDescent="0.2">
      <c r="B1370" s="13">
        <f t="shared" si="65"/>
        <v>1367</v>
      </c>
      <c r="C1370" s="8">
        <f t="shared" si="66"/>
        <v>17</v>
      </c>
      <c r="D1370" s="8">
        <f t="shared" si="67"/>
        <v>42</v>
      </c>
      <c r="E1370" s="8">
        <f>IFERROR(VLOOKUP(D1370,$H$4:$I$70,2,0),"")</f>
        <v>300</v>
      </c>
      <c r="F1370" s="9">
        <f>IFERROR(VLOOKUP(C1370,$H$4:$I$70,2,0),"")</f>
        <v>536</v>
      </c>
    </row>
    <row r="1371" spans="2:6" x14ac:dyDescent="0.2">
      <c r="B1371" s="13">
        <f t="shared" si="65"/>
        <v>1368</v>
      </c>
      <c r="C1371" s="8">
        <f t="shared" si="66"/>
        <v>18</v>
      </c>
      <c r="D1371" s="8">
        <f t="shared" si="67"/>
        <v>42</v>
      </c>
      <c r="E1371" s="8">
        <f>IFERROR(VLOOKUP(D1371,$H$4:$I$70,2,0),"")</f>
        <v>300</v>
      </c>
      <c r="F1371" s="9">
        <f>IFERROR(VLOOKUP(C1371,$H$4:$I$70,2,0),"")</f>
        <v>527</v>
      </c>
    </row>
    <row r="1372" spans="2:6" x14ac:dyDescent="0.2">
      <c r="B1372" s="13">
        <f t="shared" si="65"/>
        <v>1369</v>
      </c>
      <c r="C1372" s="8">
        <f t="shared" si="66"/>
        <v>19</v>
      </c>
      <c r="D1372" s="8">
        <f t="shared" si="67"/>
        <v>42</v>
      </c>
      <c r="E1372" s="8">
        <f>IFERROR(VLOOKUP(D1372,$H$4:$I$70,2,0),"")</f>
        <v>300</v>
      </c>
      <c r="F1372" s="9">
        <f>IFERROR(VLOOKUP(C1372,$H$4:$I$70,2,0),"")</f>
        <v>478</v>
      </c>
    </row>
    <row r="1373" spans="2:6" x14ac:dyDescent="0.2">
      <c r="B1373" s="13">
        <f t="shared" si="65"/>
        <v>1370</v>
      </c>
      <c r="C1373" s="8">
        <f t="shared" si="66"/>
        <v>20</v>
      </c>
      <c r="D1373" s="8">
        <f t="shared" si="67"/>
        <v>42</v>
      </c>
      <c r="E1373" s="8">
        <f>IFERROR(VLOOKUP(D1373,$H$4:$I$70,2,0),"")</f>
        <v>300</v>
      </c>
      <c r="F1373" s="9">
        <f>IFERROR(VLOOKUP(C1373,$H$4:$I$70,2,0),"")</f>
        <v>474</v>
      </c>
    </row>
    <row r="1374" spans="2:6" x14ac:dyDescent="0.2">
      <c r="B1374" s="13">
        <f t="shared" si="65"/>
        <v>1371</v>
      </c>
      <c r="C1374" s="8">
        <f t="shared" si="66"/>
        <v>21</v>
      </c>
      <c r="D1374" s="8">
        <f t="shared" si="67"/>
        <v>42</v>
      </c>
      <c r="E1374" s="8">
        <f>IFERROR(VLOOKUP(D1374,$H$4:$I$70,2,0),"")</f>
        <v>300</v>
      </c>
      <c r="F1374" s="9">
        <f>IFERROR(VLOOKUP(C1374,$H$4:$I$70,2,0),"")</f>
        <v>468</v>
      </c>
    </row>
    <row r="1375" spans="2:6" x14ac:dyDescent="0.2">
      <c r="B1375" s="13">
        <f t="shared" si="65"/>
        <v>1372</v>
      </c>
      <c r="C1375" s="8">
        <f t="shared" si="66"/>
        <v>22</v>
      </c>
      <c r="D1375" s="8">
        <f t="shared" si="67"/>
        <v>42</v>
      </c>
      <c r="E1375" s="8">
        <f>IFERROR(VLOOKUP(D1375,$H$4:$I$70,2,0),"")</f>
        <v>300</v>
      </c>
      <c r="F1375" s="9">
        <f>IFERROR(VLOOKUP(C1375,$H$4:$I$70,2,0),"")</f>
        <v>457</v>
      </c>
    </row>
    <row r="1376" spans="2:6" x14ac:dyDescent="0.2">
      <c r="B1376" s="13">
        <f t="shared" si="65"/>
        <v>1373</v>
      </c>
      <c r="C1376" s="8">
        <f t="shared" si="66"/>
        <v>23</v>
      </c>
      <c r="D1376" s="8">
        <f t="shared" si="67"/>
        <v>42</v>
      </c>
      <c r="E1376" s="8">
        <f>IFERROR(VLOOKUP(D1376,$H$4:$I$70,2,0),"")</f>
        <v>300</v>
      </c>
      <c r="F1376" s="9">
        <f>IFERROR(VLOOKUP(C1376,$H$4:$I$70,2,0),"")</f>
        <v>452</v>
      </c>
    </row>
    <row r="1377" spans="2:6" x14ac:dyDescent="0.2">
      <c r="B1377" s="13">
        <f t="shared" si="65"/>
        <v>1374</v>
      </c>
      <c r="C1377" s="8">
        <f t="shared" si="66"/>
        <v>24</v>
      </c>
      <c r="D1377" s="8">
        <f t="shared" si="67"/>
        <v>42</v>
      </c>
      <c r="E1377" s="8">
        <f>IFERROR(VLOOKUP(D1377,$H$4:$I$70,2,0),"")</f>
        <v>300</v>
      </c>
      <c r="F1377" s="9">
        <f>IFERROR(VLOOKUP(C1377,$H$4:$I$70,2,0),"")</f>
        <v>442</v>
      </c>
    </row>
    <row r="1378" spans="2:6" x14ac:dyDescent="0.2">
      <c r="B1378" s="13">
        <f t="shared" si="65"/>
        <v>1375</v>
      </c>
      <c r="C1378" s="8">
        <f t="shared" si="66"/>
        <v>25</v>
      </c>
      <c r="D1378" s="8">
        <f t="shared" si="67"/>
        <v>42</v>
      </c>
      <c r="E1378" s="8">
        <f>IFERROR(VLOOKUP(D1378,$H$4:$I$70,2,0),"")</f>
        <v>300</v>
      </c>
      <c r="F1378" s="9">
        <f>IFERROR(VLOOKUP(C1378,$H$4:$I$70,2,0),"")</f>
        <v>420</v>
      </c>
    </row>
    <row r="1379" spans="2:6" x14ac:dyDescent="0.2">
      <c r="B1379" s="13">
        <f t="shared" si="65"/>
        <v>1376</v>
      </c>
      <c r="C1379" s="8">
        <f t="shared" si="66"/>
        <v>26</v>
      </c>
      <c r="D1379" s="8">
        <f t="shared" si="67"/>
        <v>42</v>
      </c>
      <c r="E1379" s="8">
        <f>IFERROR(VLOOKUP(D1379,$H$4:$I$70,2,0),"")</f>
        <v>300</v>
      </c>
      <c r="F1379" s="9">
        <f>IFERROR(VLOOKUP(C1379,$H$4:$I$70,2,0),"")</f>
        <v>410</v>
      </c>
    </row>
    <row r="1380" spans="2:6" x14ac:dyDescent="0.2">
      <c r="B1380" s="13">
        <f t="shared" si="65"/>
        <v>1377</v>
      </c>
      <c r="C1380" s="8">
        <f t="shared" si="66"/>
        <v>27</v>
      </c>
      <c r="D1380" s="8">
        <f t="shared" si="67"/>
        <v>42</v>
      </c>
      <c r="E1380" s="8">
        <f>IFERROR(VLOOKUP(D1380,$H$4:$I$70,2,0),"")</f>
        <v>300</v>
      </c>
      <c r="F1380" s="9">
        <f>IFERROR(VLOOKUP(C1380,$H$4:$I$70,2,0),"")</f>
        <v>409</v>
      </c>
    </row>
    <row r="1381" spans="2:6" x14ac:dyDescent="0.2">
      <c r="B1381" s="13">
        <f t="shared" si="65"/>
        <v>1378</v>
      </c>
      <c r="C1381" s="8">
        <f t="shared" si="66"/>
        <v>28</v>
      </c>
      <c r="D1381" s="8">
        <f t="shared" si="67"/>
        <v>42</v>
      </c>
      <c r="E1381" s="8">
        <f>IFERROR(VLOOKUP(D1381,$H$4:$I$70,2,0),"")</f>
        <v>300</v>
      </c>
      <c r="F1381" s="9">
        <f>IFERROR(VLOOKUP(C1381,$H$4:$I$70,2,0),"")</f>
        <v>408</v>
      </c>
    </row>
    <row r="1382" spans="2:6" x14ac:dyDescent="0.2">
      <c r="B1382" s="13">
        <f t="shared" si="65"/>
        <v>1379</v>
      </c>
      <c r="C1382" s="8">
        <f t="shared" si="66"/>
        <v>29</v>
      </c>
      <c r="D1382" s="8">
        <f t="shared" si="67"/>
        <v>42</v>
      </c>
      <c r="E1382" s="8">
        <f>IFERROR(VLOOKUP(D1382,$H$4:$I$70,2,0),"")</f>
        <v>300</v>
      </c>
      <c r="F1382" s="9">
        <f>IFERROR(VLOOKUP(C1382,$H$4:$I$70,2,0),"")</f>
        <v>404</v>
      </c>
    </row>
    <row r="1383" spans="2:6" x14ac:dyDescent="0.2">
      <c r="B1383" s="13">
        <f t="shared" si="65"/>
        <v>1380</v>
      </c>
      <c r="C1383" s="8">
        <f t="shared" si="66"/>
        <v>30</v>
      </c>
      <c r="D1383" s="8">
        <f t="shared" si="67"/>
        <v>42</v>
      </c>
      <c r="E1383" s="8">
        <f>IFERROR(VLOOKUP(D1383,$H$4:$I$70,2,0),"")</f>
        <v>300</v>
      </c>
      <c r="F1383" s="9">
        <f>IFERROR(VLOOKUP(C1383,$H$4:$I$70,2,0),"")</f>
        <v>399</v>
      </c>
    </row>
    <row r="1384" spans="2:6" x14ac:dyDescent="0.2">
      <c r="B1384" s="13">
        <f t="shared" si="65"/>
        <v>1381</v>
      </c>
      <c r="C1384" s="8">
        <f t="shared" si="66"/>
        <v>31</v>
      </c>
      <c r="D1384" s="8">
        <f t="shared" si="67"/>
        <v>42</v>
      </c>
      <c r="E1384" s="8">
        <f>IFERROR(VLOOKUP(D1384,$H$4:$I$70,2,0),"")</f>
        <v>300</v>
      </c>
      <c r="F1384" s="9">
        <f>IFERROR(VLOOKUP(C1384,$H$4:$I$70,2,0),"")</f>
        <v>396</v>
      </c>
    </row>
    <row r="1385" spans="2:6" x14ac:dyDescent="0.2">
      <c r="B1385" s="13">
        <f t="shared" si="65"/>
        <v>1382</v>
      </c>
      <c r="C1385" s="8">
        <f t="shared" si="66"/>
        <v>32</v>
      </c>
      <c r="D1385" s="8">
        <f t="shared" si="67"/>
        <v>42</v>
      </c>
      <c r="E1385" s="8">
        <f>IFERROR(VLOOKUP(D1385,$H$4:$I$70,2,0),"")</f>
        <v>300</v>
      </c>
      <c r="F1385" s="9">
        <f>IFERROR(VLOOKUP(C1385,$H$4:$I$70,2,0),"")</f>
        <v>384</v>
      </c>
    </row>
    <row r="1386" spans="2:6" x14ac:dyDescent="0.2">
      <c r="B1386" s="13">
        <f t="shared" si="65"/>
        <v>1383</v>
      </c>
      <c r="C1386" s="8">
        <f t="shared" si="66"/>
        <v>33</v>
      </c>
      <c r="D1386" s="8">
        <f t="shared" si="67"/>
        <v>42</v>
      </c>
      <c r="E1386" s="8">
        <f>IFERROR(VLOOKUP(D1386,$H$4:$I$70,2,0),"")</f>
        <v>300</v>
      </c>
      <c r="F1386" s="9">
        <f>IFERROR(VLOOKUP(C1386,$H$4:$I$70,2,0),"")</f>
        <v>381</v>
      </c>
    </row>
    <row r="1387" spans="2:6" x14ac:dyDescent="0.2">
      <c r="B1387" s="13">
        <f t="shared" si="65"/>
        <v>1384</v>
      </c>
      <c r="C1387" s="8">
        <f t="shared" si="66"/>
        <v>34</v>
      </c>
      <c r="D1387" s="8">
        <f t="shared" si="67"/>
        <v>42</v>
      </c>
      <c r="E1387" s="8">
        <f>IFERROR(VLOOKUP(D1387,$H$4:$I$70,2,0),"")</f>
        <v>300</v>
      </c>
      <c r="F1387" s="9">
        <f>IFERROR(VLOOKUP(C1387,$H$4:$I$70,2,0),"")</f>
        <v>376</v>
      </c>
    </row>
    <row r="1388" spans="2:6" x14ac:dyDescent="0.2">
      <c r="B1388" s="13">
        <f t="shared" si="65"/>
        <v>1385</v>
      </c>
      <c r="C1388" s="8">
        <f t="shared" si="66"/>
        <v>35</v>
      </c>
      <c r="D1388" s="8">
        <f t="shared" si="67"/>
        <v>42</v>
      </c>
      <c r="E1388" s="8">
        <f>IFERROR(VLOOKUP(D1388,$H$4:$I$70,2,0),"")</f>
        <v>300</v>
      </c>
      <c r="F1388" s="9">
        <f>IFERROR(VLOOKUP(C1388,$H$4:$I$70,2,0),"")</f>
        <v>370</v>
      </c>
    </row>
    <row r="1389" spans="2:6" x14ac:dyDescent="0.2">
      <c r="B1389" s="13">
        <f t="shared" si="65"/>
        <v>1386</v>
      </c>
      <c r="C1389" s="8">
        <f t="shared" si="66"/>
        <v>36</v>
      </c>
      <c r="D1389" s="8">
        <f t="shared" si="67"/>
        <v>42</v>
      </c>
      <c r="E1389" s="8">
        <f>IFERROR(VLOOKUP(D1389,$H$4:$I$70,2,0),"")</f>
        <v>300</v>
      </c>
      <c r="F1389" s="9">
        <f>IFERROR(VLOOKUP(C1389,$H$4:$I$70,2,0),"")</f>
        <v>362</v>
      </c>
    </row>
    <row r="1390" spans="2:6" x14ac:dyDescent="0.2">
      <c r="B1390" s="13">
        <f t="shared" si="65"/>
        <v>1387</v>
      </c>
      <c r="C1390" s="8">
        <f t="shared" si="66"/>
        <v>37</v>
      </c>
      <c r="D1390" s="8">
        <f t="shared" si="67"/>
        <v>42</v>
      </c>
      <c r="E1390" s="8">
        <f>IFERROR(VLOOKUP(D1390,$H$4:$I$70,2,0),"")</f>
        <v>300</v>
      </c>
      <c r="F1390" s="9">
        <f>IFERROR(VLOOKUP(C1390,$H$4:$I$70,2,0),"")</f>
        <v>357</v>
      </c>
    </row>
    <row r="1391" spans="2:6" x14ac:dyDescent="0.2">
      <c r="B1391" s="13">
        <f t="shared" si="65"/>
        <v>1388</v>
      </c>
      <c r="C1391" s="8">
        <f t="shared" si="66"/>
        <v>38</v>
      </c>
      <c r="D1391" s="8">
        <f t="shared" si="67"/>
        <v>42</v>
      </c>
      <c r="E1391" s="8">
        <f>IFERROR(VLOOKUP(D1391,$H$4:$I$70,2,0),"")</f>
        <v>300</v>
      </c>
      <c r="F1391" s="9">
        <f>IFERROR(VLOOKUP(C1391,$H$4:$I$70,2,0),"")</f>
        <v>351</v>
      </c>
    </row>
    <row r="1392" spans="2:6" x14ac:dyDescent="0.2">
      <c r="B1392" s="13">
        <f t="shared" si="65"/>
        <v>1389</v>
      </c>
      <c r="C1392" s="8">
        <f t="shared" si="66"/>
        <v>39</v>
      </c>
      <c r="D1392" s="8">
        <f t="shared" si="67"/>
        <v>42</v>
      </c>
      <c r="E1392" s="8">
        <f>IFERROR(VLOOKUP(D1392,$H$4:$I$70,2,0),"")</f>
        <v>300</v>
      </c>
      <c r="F1392" s="9">
        <f>IFERROR(VLOOKUP(C1392,$H$4:$I$70,2,0),"")</f>
        <v>339</v>
      </c>
    </row>
    <row r="1393" spans="2:6" x14ac:dyDescent="0.2">
      <c r="B1393" s="13">
        <f t="shared" si="65"/>
        <v>1390</v>
      </c>
      <c r="C1393" s="8">
        <f t="shared" si="66"/>
        <v>40</v>
      </c>
      <c r="D1393" s="8">
        <f t="shared" si="67"/>
        <v>42</v>
      </c>
      <c r="E1393" s="8">
        <f>IFERROR(VLOOKUP(D1393,$H$4:$I$70,2,0),"")</f>
        <v>300</v>
      </c>
      <c r="F1393" s="9">
        <f>IFERROR(VLOOKUP(C1393,$H$4:$I$70,2,0),"")</f>
        <v>304</v>
      </c>
    </row>
    <row r="1394" spans="2:6" x14ac:dyDescent="0.2">
      <c r="B1394" s="13">
        <f t="shared" si="65"/>
        <v>1391</v>
      </c>
      <c r="C1394" s="8">
        <f t="shared" si="66"/>
        <v>41</v>
      </c>
      <c r="D1394" s="8">
        <f t="shared" si="67"/>
        <v>42</v>
      </c>
      <c r="E1394" s="8">
        <f>IFERROR(VLOOKUP(D1394,$H$4:$I$70,2,0),"")</f>
        <v>300</v>
      </c>
      <c r="F1394" s="9">
        <f>IFERROR(VLOOKUP(C1394,$H$4:$I$70,2,0),"")</f>
        <v>301</v>
      </c>
    </row>
    <row r="1395" spans="2:6" x14ac:dyDescent="0.2">
      <c r="B1395" s="13">
        <f t="shared" si="65"/>
        <v>1392</v>
      </c>
      <c r="C1395" s="8">
        <f t="shared" si="66"/>
        <v>1</v>
      </c>
      <c r="D1395" s="8">
        <f t="shared" si="67"/>
        <v>41</v>
      </c>
      <c r="E1395" s="8">
        <f>IFERROR(VLOOKUP(D1395,$H$4:$I$70,2,0),"")</f>
        <v>301</v>
      </c>
      <c r="F1395" s="9">
        <f>IFERROR(VLOOKUP(C1395,$H$4:$I$70,2,0),"")</f>
        <v>1344</v>
      </c>
    </row>
    <row r="1396" spans="2:6" x14ac:dyDescent="0.2">
      <c r="B1396" s="13">
        <f t="shared" si="65"/>
        <v>1393</v>
      </c>
      <c r="C1396" s="8">
        <f t="shared" si="66"/>
        <v>2</v>
      </c>
      <c r="D1396" s="8">
        <f t="shared" si="67"/>
        <v>41</v>
      </c>
      <c r="E1396" s="8">
        <f>IFERROR(VLOOKUP(D1396,$H$4:$I$70,2,0),"")</f>
        <v>301</v>
      </c>
      <c r="F1396" s="9">
        <f>IFERROR(VLOOKUP(C1396,$H$4:$I$70,2,0),"")</f>
        <v>1048</v>
      </c>
    </row>
    <row r="1397" spans="2:6" x14ac:dyDescent="0.2">
      <c r="B1397" s="13">
        <f t="shared" si="65"/>
        <v>1394</v>
      </c>
      <c r="C1397" s="8">
        <f t="shared" si="66"/>
        <v>3</v>
      </c>
      <c r="D1397" s="8">
        <f t="shared" si="67"/>
        <v>41</v>
      </c>
      <c r="E1397" s="8">
        <f>IFERROR(VLOOKUP(D1397,$H$4:$I$70,2,0),"")</f>
        <v>301</v>
      </c>
      <c r="F1397" s="9">
        <f>IFERROR(VLOOKUP(C1397,$H$4:$I$70,2,0),"")</f>
        <v>1025</v>
      </c>
    </row>
    <row r="1398" spans="2:6" x14ac:dyDescent="0.2">
      <c r="B1398" s="13">
        <f t="shared" si="65"/>
        <v>1395</v>
      </c>
      <c r="C1398" s="8">
        <f t="shared" si="66"/>
        <v>4</v>
      </c>
      <c r="D1398" s="8">
        <f t="shared" si="67"/>
        <v>41</v>
      </c>
      <c r="E1398" s="8">
        <f>IFERROR(VLOOKUP(D1398,$H$4:$I$70,2,0),"")</f>
        <v>301</v>
      </c>
      <c r="F1398" s="9">
        <f>IFERROR(VLOOKUP(C1398,$H$4:$I$70,2,0),"")</f>
        <v>805</v>
      </c>
    </row>
    <row r="1399" spans="2:6" x14ac:dyDescent="0.2">
      <c r="B1399" s="13">
        <f t="shared" si="65"/>
        <v>1396</v>
      </c>
      <c r="C1399" s="8">
        <f t="shared" si="66"/>
        <v>5</v>
      </c>
      <c r="D1399" s="8">
        <f t="shared" si="67"/>
        <v>41</v>
      </c>
      <c r="E1399" s="8">
        <f>IFERROR(VLOOKUP(D1399,$H$4:$I$70,2,0),"")</f>
        <v>301</v>
      </c>
      <c r="F1399" s="9">
        <f>IFERROR(VLOOKUP(C1399,$H$4:$I$70,2,0),"")</f>
        <v>666</v>
      </c>
    </row>
    <row r="1400" spans="2:6" x14ac:dyDescent="0.2">
      <c r="B1400" s="13">
        <f t="shared" si="65"/>
        <v>1397</v>
      </c>
      <c r="C1400" s="8">
        <f t="shared" si="66"/>
        <v>6</v>
      </c>
      <c r="D1400" s="8">
        <f t="shared" si="67"/>
        <v>41</v>
      </c>
      <c r="E1400" s="8">
        <f>IFERROR(VLOOKUP(D1400,$H$4:$I$70,2,0),"")</f>
        <v>301</v>
      </c>
      <c r="F1400" s="9">
        <f>IFERROR(VLOOKUP(C1400,$H$4:$I$70,2,0),"")</f>
        <v>655</v>
      </c>
    </row>
    <row r="1401" spans="2:6" x14ac:dyDescent="0.2">
      <c r="B1401" s="13">
        <f t="shared" si="65"/>
        <v>1398</v>
      </c>
      <c r="C1401" s="8">
        <f t="shared" si="66"/>
        <v>7</v>
      </c>
      <c r="D1401" s="8">
        <f t="shared" si="67"/>
        <v>41</v>
      </c>
      <c r="E1401" s="8">
        <f>IFERROR(VLOOKUP(D1401,$H$4:$I$70,2,0),"")</f>
        <v>301</v>
      </c>
      <c r="F1401" s="9">
        <f>IFERROR(VLOOKUP(C1401,$H$4:$I$70,2,0),"")</f>
        <v>652</v>
      </c>
    </row>
    <row r="1402" spans="2:6" x14ac:dyDescent="0.2">
      <c r="B1402" s="13">
        <f t="shared" si="65"/>
        <v>1399</v>
      </c>
      <c r="C1402" s="8">
        <f t="shared" si="66"/>
        <v>8</v>
      </c>
      <c r="D1402" s="8">
        <f t="shared" si="67"/>
        <v>41</v>
      </c>
      <c r="E1402" s="8">
        <f>IFERROR(VLOOKUP(D1402,$H$4:$I$70,2,0),"")</f>
        <v>301</v>
      </c>
      <c r="F1402" s="9">
        <f>IFERROR(VLOOKUP(C1402,$H$4:$I$70,2,0),"")</f>
        <v>633</v>
      </c>
    </row>
    <row r="1403" spans="2:6" x14ac:dyDescent="0.2">
      <c r="B1403" s="13">
        <f t="shared" si="65"/>
        <v>1400</v>
      </c>
      <c r="C1403" s="8">
        <f t="shared" si="66"/>
        <v>9</v>
      </c>
      <c r="D1403" s="8">
        <f t="shared" si="67"/>
        <v>41</v>
      </c>
      <c r="E1403" s="8">
        <f>IFERROR(VLOOKUP(D1403,$H$4:$I$70,2,0),"")</f>
        <v>301</v>
      </c>
      <c r="F1403" s="9">
        <f>IFERROR(VLOOKUP(C1403,$H$4:$I$70,2,0),"")</f>
        <v>632</v>
      </c>
    </row>
    <row r="1404" spans="2:6" x14ac:dyDescent="0.2">
      <c r="B1404" s="13">
        <f t="shared" si="65"/>
        <v>1401</v>
      </c>
      <c r="C1404" s="8">
        <f t="shared" si="66"/>
        <v>10</v>
      </c>
      <c r="D1404" s="8">
        <f t="shared" si="67"/>
        <v>41</v>
      </c>
      <c r="E1404" s="8">
        <f>IFERROR(VLOOKUP(D1404,$H$4:$I$70,2,0),"")</f>
        <v>301</v>
      </c>
      <c r="F1404" s="9">
        <f>IFERROR(VLOOKUP(C1404,$H$4:$I$70,2,0),"")</f>
        <v>625</v>
      </c>
    </row>
    <row r="1405" spans="2:6" x14ac:dyDescent="0.2">
      <c r="B1405" s="13">
        <f t="shared" si="65"/>
        <v>1402</v>
      </c>
      <c r="C1405" s="8">
        <f t="shared" si="66"/>
        <v>11</v>
      </c>
      <c r="D1405" s="8">
        <f t="shared" si="67"/>
        <v>41</v>
      </c>
      <c r="E1405" s="8">
        <f>IFERROR(VLOOKUP(D1405,$H$4:$I$70,2,0),"")</f>
        <v>301</v>
      </c>
      <c r="F1405" s="9">
        <f>IFERROR(VLOOKUP(C1405,$H$4:$I$70,2,0),"")</f>
        <v>619</v>
      </c>
    </row>
    <row r="1406" spans="2:6" x14ac:dyDescent="0.2">
      <c r="B1406" s="13">
        <f t="shared" si="65"/>
        <v>1403</v>
      </c>
      <c r="C1406" s="8">
        <f t="shared" si="66"/>
        <v>12</v>
      </c>
      <c r="D1406" s="8">
        <f t="shared" si="67"/>
        <v>41</v>
      </c>
      <c r="E1406" s="8">
        <f>IFERROR(VLOOKUP(D1406,$H$4:$I$70,2,0),"")</f>
        <v>301</v>
      </c>
      <c r="F1406" s="9">
        <f>IFERROR(VLOOKUP(C1406,$H$4:$I$70,2,0),"")</f>
        <v>610</v>
      </c>
    </row>
    <row r="1407" spans="2:6" x14ac:dyDescent="0.2">
      <c r="B1407" s="13">
        <f t="shared" si="65"/>
        <v>1404</v>
      </c>
      <c r="C1407" s="8">
        <f t="shared" si="66"/>
        <v>13</v>
      </c>
      <c r="D1407" s="8">
        <f t="shared" si="67"/>
        <v>41</v>
      </c>
      <c r="E1407" s="8">
        <f>IFERROR(VLOOKUP(D1407,$H$4:$I$70,2,0),"")</f>
        <v>301</v>
      </c>
      <c r="F1407" s="9">
        <f>IFERROR(VLOOKUP(C1407,$H$4:$I$70,2,0),"")</f>
        <v>599</v>
      </c>
    </row>
    <row r="1408" spans="2:6" x14ac:dyDescent="0.2">
      <c r="B1408" s="13">
        <f t="shared" si="65"/>
        <v>1405</v>
      </c>
      <c r="C1408" s="8">
        <f t="shared" si="66"/>
        <v>14</v>
      </c>
      <c r="D1408" s="8">
        <f t="shared" si="67"/>
        <v>41</v>
      </c>
      <c r="E1408" s="8">
        <f>IFERROR(VLOOKUP(D1408,$H$4:$I$70,2,0),"")</f>
        <v>301</v>
      </c>
      <c r="F1408" s="9">
        <f>IFERROR(VLOOKUP(C1408,$H$4:$I$70,2,0),"")</f>
        <v>559</v>
      </c>
    </row>
    <row r="1409" spans="2:6" x14ac:dyDescent="0.2">
      <c r="B1409" s="13">
        <f t="shared" si="65"/>
        <v>1406</v>
      </c>
      <c r="C1409" s="8">
        <f t="shared" si="66"/>
        <v>15</v>
      </c>
      <c r="D1409" s="8">
        <f t="shared" si="67"/>
        <v>41</v>
      </c>
      <c r="E1409" s="8">
        <f>IFERROR(VLOOKUP(D1409,$H$4:$I$70,2,0),"")</f>
        <v>301</v>
      </c>
      <c r="F1409" s="9">
        <f>IFERROR(VLOOKUP(C1409,$H$4:$I$70,2,0),"")</f>
        <v>556</v>
      </c>
    </row>
    <row r="1410" spans="2:6" x14ac:dyDescent="0.2">
      <c r="B1410" s="13">
        <f t="shared" si="65"/>
        <v>1407</v>
      </c>
      <c r="C1410" s="8">
        <f t="shared" si="66"/>
        <v>16</v>
      </c>
      <c r="D1410" s="8">
        <f t="shared" si="67"/>
        <v>41</v>
      </c>
      <c r="E1410" s="8">
        <f>IFERROR(VLOOKUP(D1410,$H$4:$I$70,2,0),"")</f>
        <v>301</v>
      </c>
      <c r="F1410" s="9">
        <f>IFERROR(VLOOKUP(C1410,$H$4:$I$70,2,0),"")</f>
        <v>540</v>
      </c>
    </row>
    <row r="1411" spans="2:6" x14ac:dyDescent="0.2">
      <c r="B1411" s="13">
        <f t="shared" si="65"/>
        <v>1408</v>
      </c>
      <c r="C1411" s="8">
        <f t="shared" si="66"/>
        <v>17</v>
      </c>
      <c r="D1411" s="8">
        <f t="shared" si="67"/>
        <v>41</v>
      </c>
      <c r="E1411" s="8">
        <f>IFERROR(VLOOKUP(D1411,$H$4:$I$70,2,0),"")</f>
        <v>301</v>
      </c>
      <c r="F1411" s="9">
        <f>IFERROR(VLOOKUP(C1411,$H$4:$I$70,2,0),"")</f>
        <v>536</v>
      </c>
    </row>
    <row r="1412" spans="2:6" x14ac:dyDescent="0.2">
      <c r="B1412" s="13">
        <f t="shared" si="65"/>
        <v>1409</v>
      </c>
      <c r="C1412" s="8">
        <f t="shared" si="66"/>
        <v>18</v>
      </c>
      <c r="D1412" s="8">
        <f t="shared" si="67"/>
        <v>41</v>
      </c>
      <c r="E1412" s="8">
        <f>IFERROR(VLOOKUP(D1412,$H$4:$I$70,2,0),"")</f>
        <v>301</v>
      </c>
      <c r="F1412" s="9">
        <f>IFERROR(VLOOKUP(C1412,$H$4:$I$70,2,0),"")</f>
        <v>527</v>
      </c>
    </row>
    <row r="1413" spans="2:6" x14ac:dyDescent="0.2">
      <c r="B1413" s="13">
        <f t="shared" ref="B1413:B1476" si="68">ROW()-3</f>
        <v>1410</v>
      </c>
      <c r="C1413" s="8">
        <f t="shared" si="66"/>
        <v>19</v>
      </c>
      <c r="D1413" s="8">
        <f t="shared" si="67"/>
        <v>41</v>
      </c>
      <c r="E1413" s="8">
        <f>IFERROR(VLOOKUP(D1413,$H$4:$I$70,2,0),"")</f>
        <v>301</v>
      </c>
      <c r="F1413" s="9">
        <f>IFERROR(VLOOKUP(C1413,$H$4:$I$70,2,0),"")</f>
        <v>478</v>
      </c>
    </row>
    <row r="1414" spans="2:6" x14ac:dyDescent="0.2">
      <c r="B1414" s="13">
        <f t="shared" si="68"/>
        <v>1411</v>
      </c>
      <c r="C1414" s="8">
        <f t="shared" ref="C1414:C1477" si="69">IF((D1413-C1413)=1,1,C1413+1)</f>
        <v>20</v>
      </c>
      <c r="D1414" s="8">
        <f t="shared" ref="D1414:D1477" si="70">IF((D1413-C1413)=1,D1413-1,D1413)</f>
        <v>41</v>
      </c>
      <c r="E1414" s="8">
        <f>IFERROR(VLOOKUP(D1414,$H$4:$I$70,2,0),"")</f>
        <v>301</v>
      </c>
      <c r="F1414" s="9">
        <f>IFERROR(VLOOKUP(C1414,$H$4:$I$70,2,0),"")</f>
        <v>474</v>
      </c>
    </row>
    <row r="1415" spans="2:6" x14ac:dyDescent="0.2">
      <c r="B1415" s="13">
        <f t="shared" si="68"/>
        <v>1412</v>
      </c>
      <c r="C1415" s="8">
        <f t="shared" si="69"/>
        <v>21</v>
      </c>
      <c r="D1415" s="8">
        <f t="shared" si="70"/>
        <v>41</v>
      </c>
      <c r="E1415" s="8">
        <f>IFERROR(VLOOKUP(D1415,$H$4:$I$70,2,0),"")</f>
        <v>301</v>
      </c>
      <c r="F1415" s="9">
        <f>IFERROR(VLOOKUP(C1415,$H$4:$I$70,2,0),"")</f>
        <v>468</v>
      </c>
    </row>
    <row r="1416" spans="2:6" x14ac:dyDescent="0.2">
      <c r="B1416" s="13">
        <f t="shared" si="68"/>
        <v>1413</v>
      </c>
      <c r="C1416" s="8">
        <f t="shared" si="69"/>
        <v>22</v>
      </c>
      <c r="D1416" s="8">
        <f t="shared" si="70"/>
        <v>41</v>
      </c>
      <c r="E1416" s="8">
        <f>IFERROR(VLOOKUP(D1416,$H$4:$I$70,2,0),"")</f>
        <v>301</v>
      </c>
      <c r="F1416" s="9">
        <f>IFERROR(VLOOKUP(C1416,$H$4:$I$70,2,0),"")</f>
        <v>457</v>
      </c>
    </row>
    <row r="1417" spans="2:6" x14ac:dyDescent="0.2">
      <c r="B1417" s="13">
        <f t="shared" si="68"/>
        <v>1414</v>
      </c>
      <c r="C1417" s="8">
        <f t="shared" si="69"/>
        <v>23</v>
      </c>
      <c r="D1417" s="8">
        <f t="shared" si="70"/>
        <v>41</v>
      </c>
      <c r="E1417" s="8">
        <f>IFERROR(VLOOKUP(D1417,$H$4:$I$70,2,0),"")</f>
        <v>301</v>
      </c>
      <c r="F1417" s="9">
        <f>IFERROR(VLOOKUP(C1417,$H$4:$I$70,2,0),"")</f>
        <v>452</v>
      </c>
    </row>
    <row r="1418" spans="2:6" x14ac:dyDescent="0.2">
      <c r="B1418" s="13">
        <f t="shared" si="68"/>
        <v>1415</v>
      </c>
      <c r="C1418" s="8">
        <f t="shared" si="69"/>
        <v>24</v>
      </c>
      <c r="D1418" s="8">
        <f t="shared" si="70"/>
        <v>41</v>
      </c>
      <c r="E1418" s="8">
        <f>IFERROR(VLOOKUP(D1418,$H$4:$I$70,2,0),"")</f>
        <v>301</v>
      </c>
      <c r="F1418" s="9">
        <f>IFERROR(VLOOKUP(C1418,$H$4:$I$70,2,0),"")</f>
        <v>442</v>
      </c>
    </row>
    <row r="1419" spans="2:6" x14ac:dyDescent="0.2">
      <c r="B1419" s="13">
        <f t="shared" si="68"/>
        <v>1416</v>
      </c>
      <c r="C1419" s="8">
        <f t="shared" si="69"/>
        <v>25</v>
      </c>
      <c r="D1419" s="8">
        <f t="shared" si="70"/>
        <v>41</v>
      </c>
      <c r="E1419" s="8">
        <f>IFERROR(VLOOKUP(D1419,$H$4:$I$70,2,0),"")</f>
        <v>301</v>
      </c>
      <c r="F1419" s="9">
        <f>IFERROR(VLOOKUP(C1419,$H$4:$I$70,2,0),"")</f>
        <v>420</v>
      </c>
    </row>
    <row r="1420" spans="2:6" x14ac:dyDescent="0.2">
      <c r="B1420" s="13">
        <f t="shared" si="68"/>
        <v>1417</v>
      </c>
      <c r="C1420" s="8">
        <f t="shared" si="69"/>
        <v>26</v>
      </c>
      <c r="D1420" s="8">
        <f t="shared" si="70"/>
        <v>41</v>
      </c>
      <c r="E1420" s="8">
        <f>IFERROR(VLOOKUP(D1420,$H$4:$I$70,2,0),"")</f>
        <v>301</v>
      </c>
      <c r="F1420" s="9">
        <f>IFERROR(VLOOKUP(C1420,$H$4:$I$70,2,0),"")</f>
        <v>410</v>
      </c>
    </row>
    <row r="1421" spans="2:6" x14ac:dyDescent="0.2">
      <c r="B1421" s="13">
        <f t="shared" si="68"/>
        <v>1418</v>
      </c>
      <c r="C1421" s="8">
        <f t="shared" si="69"/>
        <v>27</v>
      </c>
      <c r="D1421" s="8">
        <f t="shared" si="70"/>
        <v>41</v>
      </c>
      <c r="E1421" s="8">
        <f>IFERROR(VLOOKUP(D1421,$H$4:$I$70,2,0),"")</f>
        <v>301</v>
      </c>
      <c r="F1421" s="9">
        <f>IFERROR(VLOOKUP(C1421,$H$4:$I$70,2,0),"")</f>
        <v>409</v>
      </c>
    </row>
    <row r="1422" spans="2:6" x14ac:dyDescent="0.2">
      <c r="B1422" s="13">
        <f t="shared" si="68"/>
        <v>1419</v>
      </c>
      <c r="C1422" s="8">
        <f t="shared" si="69"/>
        <v>28</v>
      </c>
      <c r="D1422" s="8">
        <f t="shared" si="70"/>
        <v>41</v>
      </c>
      <c r="E1422" s="8">
        <f>IFERROR(VLOOKUP(D1422,$H$4:$I$70,2,0),"")</f>
        <v>301</v>
      </c>
      <c r="F1422" s="9">
        <f>IFERROR(VLOOKUP(C1422,$H$4:$I$70,2,0),"")</f>
        <v>408</v>
      </c>
    </row>
    <row r="1423" spans="2:6" x14ac:dyDescent="0.2">
      <c r="B1423" s="13">
        <f t="shared" si="68"/>
        <v>1420</v>
      </c>
      <c r="C1423" s="8">
        <f t="shared" si="69"/>
        <v>29</v>
      </c>
      <c r="D1423" s="8">
        <f t="shared" si="70"/>
        <v>41</v>
      </c>
      <c r="E1423" s="8">
        <f>IFERROR(VLOOKUP(D1423,$H$4:$I$70,2,0),"")</f>
        <v>301</v>
      </c>
      <c r="F1423" s="9">
        <f>IFERROR(VLOOKUP(C1423,$H$4:$I$70,2,0),"")</f>
        <v>404</v>
      </c>
    </row>
    <row r="1424" spans="2:6" x14ac:dyDescent="0.2">
      <c r="B1424" s="13">
        <f t="shared" si="68"/>
        <v>1421</v>
      </c>
      <c r="C1424" s="8">
        <f t="shared" si="69"/>
        <v>30</v>
      </c>
      <c r="D1424" s="8">
        <f t="shared" si="70"/>
        <v>41</v>
      </c>
      <c r="E1424" s="8">
        <f>IFERROR(VLOOKUP(D1424,$H$4:$I$70,2,0),"")</f>
        <v>301</v>
      </c>
      <c r="F1424" s="9">
        <f>IFERROR(VLOOKUP(C1424,$H$4:$I$70,2,0),"")</f>
        <v>399</v>
      </c>
    </row>
    <row r="1425" spans="2:6" x14ac:dyDescent="0.2">
      <c r="B1425" s="13">
        <f t="shared" si="68"/>
        <v>1422</v>
      </c>
      <c r="C1425" s="8">
        <f t="shared" si="69"/>
        <v>31</v>
      </c>
      <c r="D1425" s="8">
        <f t="shared" si="70"/>
        <v>41</v>
      </c>
      <c r="E1425" s="8">
        <f>IFERROR(VLOOKUP(D1425,$H$4:$I$70,2,0),"")</f>
        <v>301</v>
      </c>
      <c r="F1425" s="9">
        <f>IFERROR(VLOOKUP(C1425,$H$4:$I$70,2,0),"")</f>
        <v>396</v>
      </c>
    </row>
    <row r="1426" spans="2:6" x14ac:dyDescent="0.2">
      <c r="B1426" s="13">
        <f t="shared" si="68"/>
        <v>1423</v>
      </c>
      <c r="C1426" s="8">
        <f t="shared" si="69"/>
        <v>32</v>
      </c>
      <c r="D1426" s="8">
        <f t="shared" si="70"/>
        <v>41</v>
      </c>
      <c r="E1426" s="8">
        <f>IFERROR(VLOOKUP(D1426,$H$4:$I$70,2,0),"")</f>
        <v>301</v>
      </c>
      <c r="F1426" s="9">
        <f>IFERROR(VLOOKUP(C1426,$H$4:$I$70,2,0),"")</f>
        <v>384</v>
      </c>
    </row>
    <row r="1427" spans="2:6" x14ac:dyDescent="0.2">
      <c r="B1427" s="13">
        <f t="shared" si="68"/>
        <v>1424</v>
      </c>
      <c r="C1427" s="8">
        <f t="shared" si="69"/>
        <v>33</v>
      </c>
      <c r="D1427" s="8">
        <f t="shared" si="70"/>
        <v>41</v>
      </c>
      <c r="E1427" s="8">
        <f>IFERROR(VLOOKUP(D1427,$H$4:$I$70,2,0),"")</f>
        <v>301</v>
      </c>
      <c r="F1427" s="9">
        <f>IFERROR(VLOOKUP(C1427,$H$4:$I$70,2,0),"")</f>
        <v>381</v>
      </c>
    </row>
    <row r="1428" spans="2:6" x14ac:dyDescent="0.2">
      <c r="B1428" s="13">
        <f t="shared" si="68"/>
        <v>1425</v>
      </c>
      <c r="C1428" s="8">
        <f t="shared" si="69"/>
        <v>34</v>
      </c>
      <c r="D1428" s="8">
        <f t="shared" si="70"/>
        <v>41</v>
      </c>
      <c r="E1428" s="8">
        <f>IFERROR(VLOOKUP(D1428,$H$4:$I$70,2,0),"")</f>
        <v>301</v>
      </c>
      <c r="F1428" s="9">
        <f>IFERROR(VLOOKUP(C1428,$H$4:$I$70,2,0),"")</f>
        <v>376</v>
      </c>
    </row>
    <row r="1429" spans="2:6" x14ac:dyDescent="0.2">
      <c r="B1429" s="13">
        <f t="shared" si="68"/>
        <v>1426</v>
      </c>
      <c r="C1429" s="8">
        <f t="shared" si="69"/>
        <v>35</v>
      </c>
      <c r="D1429" s="8">
        <f t="shared" si="70"/>
        <v>41</v>
      </c>
      <c r="E1429" s="8">
        <f>IFERROR(VLOOKUP(D1429,$H$4:$I$70,2,0),"")</f>
        <v>301</v>
      </c>
      <c r="F1429" s="9">
        <f>IFERROR(VLOOKUP(C1429,$H$4:$I$70,2,0),"")</f>
        <v>370</v>
      </c>
    </row>
    <row r="1430" spans="2:6" x14ac:dyDescent="0.2">
      <c r="B1430" s="13">
        <f t="shared" si="68"/>
        <v>1427</v>
      </c>
      <c r="C1430" s="8">
        <f t="shared" si="69"/>
        <v>36</v>
      </c>
      <c r="D1430" s="8">
        <f t="shared" si="70"/>
        <v>41</v>
      </c>
      <c r="E1430" s="8">
        <f>IFERROR(VLOOKUP(D1430,$H$4:$I$70,2,0),"")</f>
        <v>301</v>
      </c>
      <c r="F1430" s="9">
        <f>IFERROR(VLOOKUP(C1430,$H$4:$I$70,2,0),"")</f>
        <v>362</v>
      </c>
    </row>
    <row r="1431" spans="2:6" x14ac:dyDescent="0.2">
      <c r="B1431" s="13">
        <f t="shared" si="68"/>
        <v>1428</v>
      </c>
      <c r="C1431" s="8">
        <f t="shared" si="69"/>
        <v>37</v>
      </c>
      <c r="D1431" s="8">
        <f t="shared" si="70"/>
        <v>41</v>
      </c>
      <c r="E1431" s="8">
        <f>IFERROR(VLOOKUP(D1431,$H$4:$I$70,2,0),"")</f>
        <v>301</v>
      </c>
      <c r="F1431" s="9">
        <f>IFERROR(VLOOKUP(C1431,$H$4:$I$70,2,0),"")</f>
        <v>357</v>
      </c>
    </row>
    <row r="1432" spans="2:6" x14ac:dyDescent="0.2">
      <c r="B1432" s="13">
        <f t="shared" si="68"/>
        <v>1429</v>
      </c>
      <c r="C1432" s="8">
        <f t="shared" si="69"/>
        <v>38</v>
      </c>
      <c r="D1432" s="8">
        <f t="shared" si="70"/>
        <v>41</v>
      </c>
      <c r="E1432" s="8">
        <f>IFERROR(VLOOKUP(D1432,$H$4:$I$70,2,0),"")</f>
        <v>301</v>
      </c>
      <c r="F1432" s="9">
        <f>IFERROR(VLOOKUP(C1432,$H$4:$I$70,2,0),"")</f>
        <v>351</v>
      </c>
    </row>
    <row r="1433" spans="2:6" x14ac:dyDescent="0.2">
      <c r="B1433" s="13">
        <f t="shared" si="68"/>
        <v>1430</v>
      </c>
      <c r="C1433" s="8">
        <f t="shared" si="69"/>
        <v>39</v>
      </c>
      <c r="D1433" s="8">
        <f t="shared" si="70"/>
        <v>41</v>
      </c>
      <c r="E1433" s="8">
        <f>IFERROR(VLOOKUP(D1433,$H$4:$I$70,2,0),"")</f>
        <v>301</v>
      </c>
      <c r="F1433" s="9">
        <f>IFERROR(VLOOKUP(C1433,$H$4:$I$70,2,0),"")</f>
        <v>339</v>
      </c>
    </row>
    <row r="1434" spans="2:6" x14ac:dyDescent="0.2">
      <c r="B1434" s="13">
        <f t="shared" si="68"/>
        <v>1431</v>
      </c>
      <c r="C1434" s="8">
        <f t="shared" si="69"/>
        <v>40</v>
      </c>
      <c r="D1434" s="8">
        <f t="shared" si="70"/>
        <v>41</v>
      </c>
      <c r="E1434" s="8">
        <f>IFERROR(VLOOKUP(D1434,$H$4:$I$70,2,0),"")</f>
        <v>301</v>
      </c>
      <c r="F1434" s="9">
        <f>IFERROR(VLOOKUP(C1434,$H$4:$I$70,2,0),"")</f>
        <v>304</v>
      </c>
    </row>
    <row r="1435" spans="2:6" x14ac:dyDescent="0.2">
      <c r="B1435" s="13">
        <f t="shared" si="68"/>
        <v>1432</v>
      </c>
      <c r="C1435" s="8">
        <f t="shared" si="69"/>
        <v>1</v>
      </c>
      <c r="D1435" s="8">
        <f t="shared" si="70"/>
        <v>40</v>
      </c>
      <c r="E1435" s="8">
        <f>IFERROR(VLOOKUP(D1435,$H$4:$I$70,2,0),"")</f>
        <v>304</v>
      </c>
      <c r="F1435" s="9">
        <f>IFERROR(VLOOKUP(C1435,$H$4:$I$70,2,0),"")</f>
        <v>1344</v>
      </c>
    </row>
    <row r="1436" spans="2:6" x14ac:dyDescent="0.2">
      <c r="B1436" s="13">
        <f t="shared" si="68"/>
        <v>1433</v>
      </c>
      <c r="C1436" s="8">
        <f t="shared" si="69"/>
        <v>2</v>
      </c>
      <c r="D1436" s="8">
        <f t="shared" si="70"/>
        <v>40</v>
      </c>
      <c r="E1436" s="8">
        <f>IFERROR(VLOOKUP(D1436,$H$4:$I$70,2,0),"")</f>
        <v>304</v>
      </c>
      <c r="F1436" s="9">
        <f>IFERROR(VLOOKUP(C1436,$H$4:$I$70,2,0),"")</f>
        <v>1048</v>
      </c>
    </row>
    <row r="1437" spans="2:6" x14ac:dyDescent="0.2">
      <c r="B1437" s="13">
        <f t="shared" si="68"/>
        <v>1434</v>
      </c>
      <c r="C1437" s="8">
        <f t="shared" si="69"/>
        <v>3</v>
      </c>
      <c r="D1437" s="8">
        <f t="shared" si="70"/>
        <v>40</v>
      </c>
      <c r="E1437" s="8">
        <f>IFERROR(VLOOKUP(D1437,$H$4:$I$70,2,0),"")</f>
        <v>304</v>
      </c>
      <c r="F1437" s="9">
        <f>IFERROR(VLOOKUP(C1437,$H$4:$I$70,2,0),"")</f>
        <v>1025</v>
      </c>
    </row>
    <row r="1438" spans="2:6" x14ac:dyDescent="0.2">
      <c r="B1438" s="13">
        <f t="shared" si="68"/>
        <v>1435</v>
      </c>
      <c r="C1438" s="8">
        <f t="shared" si="69"/>
        <v>4</v>
      </c>
      <c r="D1438" s="8">
        <f t="shared" si="70"/>
        <v>40</v>
      </c>
      <c r="E1438" s="8">
        <f>IFERROR(VLOOKUP(D1438,$H$4:$I$70,2,0),"")</f>
        <v>304</v>
      </c>
      <c r="F1438" s="9">
        <f>IFERROR(VLOOKUP(C1438,$H$4:$I$70,2,0),"")</f>
        <v>805</v>
      </c>
    </row>
    <row r="1439" spans="2:6" x14ac:dyDescent="0.2">
      <c r="B1439" s="13">
        <f t="shared" si="68"/>
        <v>1436</v>
      </c>
      <c r="C1439" s="8">
        <f t="shared" si="69"/>
        <v>5</v>
      </c>
      <c r="D1439" s="8">
        <f t="shared" si="70"/>
        <v>40</v>
      </c>
      <c r="E1439" s="8">
        <f>IFERROR(VLOOKUP(D1439,$H$4:$I$70,2,0),"")</f>
        <v>304</v>
      </c>
      <c r="F1439" s="9">
        <f>IFERROR(VLOOKUP(C1439,$H$4:$I$70,2,0),"")</f>
        <v>666</v>
      </c>
    </row>
    <row r="1440" spans="2:6" x14ac:dyDescent="0.2">
      <c r="B1440" s="13">
        <f t="shared" si="68"/>
        <v>1437</v>
      </c>
      <c r="C1440" s="8">
        <f t="shared" si="69"/>
        <v>6</v>
      </c>
      <c r="D1440" s="8">
        <f t="shared" si="70"/>
        <v>40</v>
      </c>
      <c r="E1440" s="8">
        <f>IFERROR(VLOOKUP(D1440,$H$4:$I$70,2,0),"")</f>
        <v>304</v>
      </c>
      <c r="F1440" s="9">
        <f>IFERROR(VLOOKUP(C1440,$H$4:$I$70,2,0),"")</f>
        <v>655</v>
      </c>
    </row>
    <row r="1441" spans="2:6" x14ac:dyDescent="0.2">
      <c r="B1441" s="13">
        <f t="shared" si="68"/>
        <v>1438</v>
      </c>
      <c r="C1441" s="8">
        <f t="shared" si="69"/>
        <v>7</v>
      </c>
      <c r="D1441" s="8">
        <f t="shared" si="70"/>
        <v>40</v>
      </c>
      <c r="E1441" s="8">
        <f>IFERROR(VLOOKUP(D1441,$H$4:$I$70,2,0),"")</f>
        <v>304</v>
      </c>
      <c r="F1441" s="9">
        <f>IFERROR(VLOOKUP(C1441,$H$4:$I$70,2,0),"")</f>
        <v>652</v>
      </c>
    </row>
    <row r="1442" spans="2:6" x14ac:dyDescent="0.2">
      <c r="B1442" s="13">
        <f t="shared" si="68"/>
        <v>1439</v>
      </c>
      <c r="C1442" s="8">
        <f t="shared" si="69"/>
        <v>8</v>
      </c>
      <c r="D1442" s="8">
        <f t="shared" si="70"/>
        <v>40</v>
      </c>
      <c r="E1442" s="8">
        <f>IFERROR(VLOOKUP(D1442,$H$4:$I$70,2,0),"")</f>
        <v>304</v>
      </c>
      <c r="F1442" s="9">
        <f>IFERROR(VLOOKUP(C1442,$H$4:$I$70,2,0),"")</f>
        <v>633</v>
      </c>
    </row>
    <row r="1443" spans="2:6" x14ac:dyDescent="0.2">
      <c r="B1443" s="13">
        <f t="shared" si="68"/>
        <v>1440</v>
      </c>
      <c r="C1443" s="8">
        <f t="shared" si="69"/>
        <v>9</v>
      </c>
      <c r="D1443" s="8">
        <f t="shared" si="70"/>
        <v>40</v>
      </c>
      <c r="E1443" s="8">
        <f>IFERROR(VLOOKUP(D1443,$H$4:$I$70,2,0),"")</f>
        <v>304</v>
      </c>
      <c r="F1443" s="9">
        <f>IFERROR(VLOOKUP(C1443,$H$4:$I$70,2,0),"")</f>
        <v>632</v>
      </c>
    </row>
    <row r="1444" spans="2:6" x14ac:dyDescent="0.2">
      <c r="B1444" s="13">
        <f t="shared" si="68"/>
        <v>1441</v>
      </c>
      <c r="C1444" s="8">
        <f t="shared" si="69"/>
        <v>10</v>
      </c>
      <c r="D1444" s="8">
        <f t="shared" si="70"/>
        <v>40</v>
      </c>
      <c r="E1444" s="8">
        <f>IFERROR(VLOOKUP(D1444,$H$4:$I$70,2,0),"")</f>
        <v>304</v>
      </c>
      <c r="F1444" s="9">
        <f>IFERROR(VLOOKUP(C1444,$H$4:$I$70,2,0),"")</f>
        <v>625</v>
      </c>
    </row>
    <row r="1445" spans="2:6" x14ac:dyDescent="0.2">
      <c r="B1445" s="13">
        <f t="shared" si="68"/>
        <v>1442</v>
      </c>
      <c r="C1445" s="8">
        <f t="shared" si="69"/>
        <v>11</v>
      </c>
      <c r="D1445" s="8">
        <f t="shared" si="70"/>
        <v>40</v>
      </c>
      <c r="E1445" s="8">
        <f>IFERROR(VLOOKUP(D1445,$H$4:$I$70,2,0),"")</f>
        <v>304</v>
      </c>
      <c r="F1445" s="9">
        <f>IFERROR(VLOOKUP(C1445,$H$4:$I$70,2,0),"")</f>
        <v>619</v>
      </c>
    </row>
    <row r="1446" spans="2:6" x14ac:dyDescent="0.2">
      <c r="B1446" s="13">
        <f t="shared" si="68"/>
        <v>1443</v>
      </c>
      <c r="C1446" s="8">
        <f t="shared" si="69"/>
        <v>12</v>
      </c>
      <c r="D1446" s="8">
        <f t="shared" si="70"/>
        <v>40</v>
      </c>
      <c r="E1446" s="8">
        <f>IFERROR(VLOOKUP(D1446,$H$4:$I$70,2,0),"")</f>
        <v>304</v>
      </c>
      <c r="F1446" s="9">
        <f>IFERROR(VLOOKUP(C1446,$H$4:$I$70,2,0),"")</f>
        <v>610</v>
      </c>
    </row>
    <row r="1447" spans="2:6" x14ac:dyDescent="0.2">
      <c r="B1447" s="13">
        <f t="shared" si="68"/>
        <v>1444</v>
      </c>
      <c r="C1447" s="8">
        <f t="shared" si="69"/>
        <v>13</v>
      </c>
      <c r="D1447" s="8">
        <f t="shared" si="70"/>
        <v>40</v>
      </c>
      <c r="E1447" s="8">
        <f>IFERROR(VLOOKUP(D1447,$H$4:$I$70,2,0),"")</f>
        <v>304</v>
      </c>
      <c r="F1447" s="9">
        <f>IFERROR(VLOOKUP(C1447,$H$4:$I$70,2,0),"")</f>
        <v>599</v>
      </c>
    </row>
    <row r="1448" spans="2:6" x14ac:dyDescent="0.2">
      <c r="B1448" s="13">
        <f t="shared" si="68"/>
        <v>1445</v>
      </c>
      <c r="C1448" s="8">
        <f t="shared" si="69"/>
        <v>14</v>
      </c>
      <c r="D1448" s="8">
        <f t="shared" si="70"/>
        <v>40</v>
      </c>
      <c r="E1448" s="8">
        <f>IFERROR(VLOOKUP(D1448,$H$4:$I$70,2,0),"")</f>
        <v>304</v>
      </c>
      <c r="F1448" s="9">
        <f>IFERROR(VLOOKUP(C1448,$H$4:$I$70,2,0),"")</f>
        <v>559</v>
      </c>
    </row>
    <row r="1449" spans="2:6" x14ac:dyDescent="0.2">
      <c r="B1449" s="13">
        <f t="shared" si="68"/>
        <v>1446</v>
      </c>
      <c r="C1449" s="8">
        <f t="shared" si="69"/>
        <v>15</v>
      </c>
      <c r="D1449" s="8">
        <f t="shared" si="70"/>
        <v>40</v>
      </c>
      <c r="E1449" s="8">
        <f>IFERROR(VLOOKUP(D1449,$H$4:$I$70,2,0),"")</f>
        <v>304</v>
      </c>
      <c r="F1449" s="9">
        <f>IFERROR(VLOOKUP(C1449,$H$4:$I$70,2,0),"")</f>
        <v>556</v>
      </c>
    </row>
    <row r="1450" spans="2:6" x14ac:dyDescent="0.2">
      <c r="B1450" s="13">
        <f t="shared" si="68"/>
        <v>1447</v>
      </c>
      <c r="C1450" s="8">
        <f t="shared" si="69"/>
        <v>16</v>
      </c>
      <c r="D1450" s="8">
        <f t="shared" si="70"/>
        <v>40</v>
      </c>
      <c r="E1450" s="8">
        <f>IFERROR(VLOOKUP(D1450,$H$4:$I$70,2,0),"")</f>
        <v>304</v>
      </c>
      <c r="F1450" s="9">
        <f>IFERROR(VLOOKUP(C1450,$H$4:$I$70,2,0),"")</f>
        <v>540</v>
      </c>
    </row>
    <row r="1451" spans="2:6" x14ac:dyDescent="0.2">
      <c r="B1451" s="13">
        <f t="shared" si="68"/>
        <v>1448</v>
      </c>
      <c r="C1451" s="8">
        <f t="shared" si="69"/>
        <v>17</v>
      </c>
      <c r="D1451" s="8">
        <f t="shared" si="70"/>
        <v>40</v>
      </c>
      <c r="E1451" s="8">
        <f>IFERROR(VLOOKUP(D1451,$H$4:$I$70,2,0),"")</f>
        <v>304</v>
      </c>
      <c r="F1451" s="9">
        <f>IFERROR(VLOOKUP(C1451,$H$4:$I$70,2,0),"")</f>
        <v>536</v>
      </c>
    </row>
    <row r="1452" spans="2:6" x14ac:dyDescent="0.2">
      <c r="B1452" s="13">
        <f t="shared" si="68"/>
        <v>1449</v>
      </c>
      <c r="C1452" s="8">
        <f t="shared" si="69"/>
        <v>18</v>
      </c>
      <c r="D1452" s="8">
        <f t="shared" si="70"/>
        <v>40</v>
      </c>
      <c r="E1452" s="8">
        <f>IFERROR(VLOOKUP(D1452,$H$4:$I$70,2,0),"")</f>
        <v>304</v>
      </c>
      <c r="F1452" s="9">
        <f>IFERROR(VLOOKUP(C1452,$H$4:$I$70,2,0),"")</f>
        <v>527</v>
      </c>
    </row>
    <row r="1453" spans="2:6" x14ac:dyDescent="0.2">
      <c r="B1453" s="13">
        <f t="shared" si="68"/>
        <v>1450</v>
      </c>
      <c r="C1453" s="8">
        <f t="shared" si="69"/>
        <v>19</v>
      </c>
      <c r="D1453" s="8">
        <f t="shared" si="70"/>
        <v>40</v>
      </c>
      <c r="E1453" s="8">
        <f>IFERROR(VLOOKUP(D1453,$H$4:$I$70,2,0),"")</f>
        <v>304</v>
      </c>
      <c r="F1453" s="9">
        <f>IFERROR(VLOOKUP(C1453,$H$4:$I$70,2,0),"")</f>
        <v>478</v>
      </c>
    </row>
    <row r="1454" spans="2:6" x14ac:dyDescent="0.2">
      <c r="B1454" s="13">
        <f t="shared" si="68"/>
        <v>1451</v>
      </c>
      <c r="C1454" s="8">
        <f t="shared" si="69"/>
        <v>20</v>
      </c>
      <c r="D1454" s="8">
        <f t="shared" si="70"/>
        <v>40</v>
      </c>
      <c r="E1454" s="8">
        <f>IFERROR(VLOOKUP(D1454,$H$4:$I$70,2,0),"")</f>
        <v>304</v>
      </c>
      <c r="F1454" s="9">
        <f>IFERROR(VLOOKUP(C1454,$H$4:$I$70,2,0),"")</f>
        <v>474</v>
      </c>
    </row>
    <row r="1455" spans="2:6" x14ac:dyDescent="0.2">
      <c r="B1455" s="13">
        <f t="shared" si="68"/>
        <v>1452</v>
      </c>
      <c r="C1455" s="8">
        <f t="shared" si="69"/>
        <v>21</v>
      </c>
      <c r="D1455" s="8">
        <f t="shared" si="70"/>
        <v>40</v>
      </c>
      <c r="E1455" s="8">
        <f>IFERROR(VLOOKUP(D1455,$H$4:$I$70,2,0),"")</f>
        <v>304</v>
      </c>
      <c r="F1455" s="9">
        <f>IFERROR(VLOOKUP(C1455,$H$4:$I$70,2,0),"")</f>
        <v>468</v>
      </c>
    </row>
    <row r="1456" spans="2:6" x14ac:dyDescent="0.2">
      <c r="B1456" s="13">
        <f t="shared" si="68"/>
        <v>1453</v>
      </c>
      <c r="C1456" s="8">
        <f t="shared" si="69"/>
        <v>22</v>
      </c>
      <c r="D1456" s="8">
        <f t="shared" si="70"/>
        <v>40</v>
      </c>
      <c r="E1456" s="8">
        <f>IFERROR(VLOOKUP(D1456,$H$4:$I$70,2,0),"")</f>
        <v>304</v>
      </c>
      <c r="F1456" s="9">
        <f>IFERROR(VLOOKUP(C1456,$H$4:$I$70,2,0),"")</f>
        <v>457</v>
      </c>
    </row>
    <row r="1457" spans="2:6" x14ac:dyDescent="0.2">
      <c r="B1457" s="13">
        <f t="shared" si="68"/>
        <v>1454</v>
      </c>
      <c r="C1457" s="8">
        <f t="shared" si="69"/>
        <v>23</v>
      </c>
      <c r="D1457" s="8">
        <f t="shared" si="70"/>
        <v>40</v>
      </c>
      <c r="E1457" s="8">
        <f>IFERROR(VLOOKUP(D1457,$H$4:$I$70,2,0),"")</f>
        <v>304</v>
      </c>
      <c r="F1457" s="9">
        <f>IFERROR(VLOOKUP(C1457,$H$4:$I$70,2,0),"")</f>
        <v>452</v>
      </c>
    </row>
    <row r="1458" spans="2:6" x14ac:dyDescent="0.2">
      <c r="B1458" s="13">
        <f t="shared" si="68"/>
        <v>1455</v>
      </c>
      <c r="C1458" s="8">
        <f t="shared" si="69"/>
        <v>24</v>
      </c>
      <c r="D1458" s="8">
        <f t="shared" si="70"/>
        <v>40</v>
      </c>
      <c r="E1458" s="8">
        <f>IFERROR(VLOOKUP(D1458,$H$4:$I$70,2,0),"")</f>
        <v>304</v>
      </c>
      <c r="F1458" s="9">
        <f>IFERROR(VLOOKUP(C1458,$H$4:$I$70,2,0),"")</f>
        <v>442</v>
      </c>
    </row>
    <row r="1459" spans="2:6" x14ac:dyDescent="0.2">
      <c r="B1459" s="13">
        <f t="shared" si="68"/>
        <v>1456</v>
      </c>
      <c r="C1459" s="8">
        <f t="shared" si="69"/>
        <v>25</v>
      </c>
      <c r="D1459" s="8">
        <f t="shared" si="70"/>
        <v>40</v>
      </c>
      <c r="E1459" s="8">
        <f>IFERROR(VLOOKUP(D1459,$H$4:$I$70,2,0),"")</f>
        <v>304</v>
      </c>
      <c r="F1459" s="9">
        <f>IFERROR(VLOOKUP(C1459,$H$4:$I$70,2,0),"")</f>
        <v>420</v>
      </c>
    </row>
    <row r="1460" spans="2:6" x14ac:dyDescent="0.2">
      <c r="B1460" s="13">
        <f t="shared" si="68"/>
        <v>1457</v>
      </c>
      <c r="C1460" s="8">
        <f t="shared" si="69"/>
        <v>26</v>
      </c>
      <c r="D1460" s="8">
        <f t="shared" si="70"/>
        <v>40</v>
      </c>
      <c r="E1460" s="8">
        <f>IFERROR(VLOOKUP(D1460,$H$4:$I$70,2,0),"")</f>
        <v>304</v>
      </c>
      <c r="F1460" s="9">
        <f>IFERROR(VLOOKUP(C1460,$H$4:$I$70,2,0),"")</f>
        <v>410</v>
      </c>
    </row>
    <row r="1461" spans="2:6" x14ac:dyDescent="0.2">
      <c r="B1461" s="13">
        <f t="shared" si="68"/>
        <v>1458</v>
      </c>
      <c r="C1461" s="8">
        <f t="shared" si="69"/>
        <v>27</v>
      </c>
      <c r="D1461" s="8">
        <f t="shared" si="70"/>
        <v>40</v>
      </c>
      <c r="E1461" s="8">
        <f>IFERROR(VLOOKUP(D1461,$H$4:$I$70,2,0),"")</f>
        <v>304</v>
      </c>
      <c r="F1461" s="9">
        <f>IFERROR(VLOOKUP(C1461,$H$4:$I$70,2,0),"")</f>
        <v>409</v>
      </c>
    </row>
    <row r="1462" spans="2:6" x14ac:dyDescent="0.2">
      <c r="B1462" s="13">
        <f t="shared" si="68"/>
        <v>1459</v>
      </c>
      <c r="C1462" s="8">
        <f t="shared" si="69"/>
        <v>28</v>
      </c>
      <c r="D1462" s="8">
        <f t="shared" si="70"/>
        <v>40</v>
      </c>
      <c r="E1462" s="8">
        <f>IFERROR(VLOOKUP(D1462,$H$4:$I$70,2,0),"")</f>
        <v>304</v>
      </c>
      <c r="F1462" s="9">
        <f>IFERROR(VLOOKUP(C1462,$H$4:$I$70,2,0),"")</f>
        <v>408</v>
      </c>
    </row>
    <row r="1463" spans="2:6" x14ac:dyDescent="0.2">
      <c r="B1463" s="13">
        <f t="shared" si="68"/>
        <v>1460</v>
      </c>
      <c r="C1463" s="8">
        <f t="shared" si="69"/>
        <v>29</v>
      </c>
      <c r="D1463" s="8">
        <f t="shared" si="70"/>
        <v>40</v>
      </c>
      <c r="E1463" s="8">
        <f>IFERROR(VLOOKUP(D1463,$H$4:$I$70,2,0),"")</f>
        <v>304</v>
      </c>
      <c r="F1463" s="9">
        <f>IFERROR(VLOOKUP(C1463,$H$4:$I$70,2,0),"")</f>
        <v>404</v>
      </c>
    </row>
    <row r="1464" spans="2:6" x14ac:dyDescent="0.2">
      <c r="B1464" s="13">
        <f t="shared" si="68"/>
        <v>1461</v>
      </c>
      <c r="C1464" s="8">
        <f t="shared" si="69"/>
        <v>30</v>
      </c>
      <c r="D1464" s="8">
        <f t="shared" si="70"/>
        <v>40</v>
      </c>
      <c r="E1464" s="8">
        <f>IFERROR(VLOOKUP(D1464,$H$4:$I$70,2,0),"")</f>
        <v>304</v>
      </c>
      <c r="F1464" s="9">
        <f>IFERROR(VLOOKUP(C1464,$H$4:$I$70,2,0),"")</f>
        <v>399</v>
      </c>
    </row>
    <row r="1465" spans="2:6" x14ac:dyDescent="0.2">
      <c r="B1465" s="13">
        <f t="shared" si="68"/>
        <v>1462</v>
      </c>
      <c r="C1465" s="8">
        <f t="shared" si="69"/>
        <v>31</v>
      </c>
      <c r="D1465" s="8">
        <f t="shared" si="70"/>
        <v>40</v>
      </c>
      <c r="E1465" s="8">
        <f>IFERROR(VLOOKUP(D1465,$H$4:$I$70,2,0),"")</f>
        <v>304</v>
      </c>
      <c r="F1465" s="9">
        <f>IFERROR(VLOOKUP(C1465,$H$4:$I$70,2,0),"")</f>
        <v>396</v>
      </c>
    </row>
    <row r="1466" spans="2:6" x14ac:dyDescent="0.2">
      <c r="B1466" s="13">
        <f t="shared" si="68"/>
        <v>1463</v>
      </c>
      <c r="C1466" s="8">
        <f t="shared" si="69"/>
        <v>32</v>
      </c>
      <c r="D1466" s="8">
        <f t="shared" si="70"/>
        <v>40</v>
      </c>
      <c r="E1466" s="8">
        <f>IFERROR(VLOOKUP(D1466,$H$4:$I$70,2,0),"")</f>
        <v>304</v>
      </c>
      <c r="F1466" s="9">
        <f>IFERROR(VLOOKUP(C1466,$H$4:$I$70,2,0),"")</f>
        <v>384</v>
      </c>
    </row>
    <row r="1467" spans="2:6" x14ac:dyDescent="0.2">
      <c r="B1467" s="13">
        <f t="shared" si="68"/>
        <v>1464</v>
      </c>
      <c r="C1467" s="8">
        <f t="shared" si="69"/>
        <v>33</v>
      </c>
      <c r="D1467" s="8">
        <f t="shared" si="70"/>
        <v>40</v>
      </c>
      <c r="E1467" s="8">
        <f>IFERROR(VLOOKUP(D1467,$H$4:$I$70,2,0),"")</f>
        <v>304</v>
      </c>
      <c r="F1467" s="9">
        <f>IFERROR(VLOOKUP(C1467,$H$4:$I$70,2,0),"")</f>
        <v>381</v>
      </c>
    </row>
    <row r="1468" spans="2:6" x14ac:dyDescent="0.2">
      <c r="B1468" s="13">
        <f t="shared" si="68"/>
        <v>1465</v>
      </c>
      <c r="C1468" s="8">
        <f t="shared" si="69"/>
        <v>34</v>
      </c>
      <c r="D1468" s="8">
        <f t="shared" si="70"/>
        <v>40</v>
      </c>
      <c r="E1468" s="8">
        <f>IFERROR(VLOOKUP(D1468,$H$4:$I$70,2,0),"")</f>
        <v>304</v>
      </c>
      <c r="F1468" s="9">
        <f>IFERROR(VLOOKUP(C1468,$H$4:$I$70,2,0),"")</f>
        <v>376</v>
      </c>
    </row>
    <row r="1469" spans="2:6" x14ac:dyDescent="0.2">
      <c r="B1469" s="13">
        <f t="shared" si="68"/>
        <v>1466</v>
      </c>
      <c r="C1469" s="8">
        <f t="shared" si="69"/>
        <v>35</v>
      </c>
      <c r="D1469" s="8">
        <f t="shared" si="70"/>
        <v>40</v>
      </c>
      <c r="E1469" s="8">
        <f>IFERROR(VLOOKUP(D1469,$H$4:$I$70,2,0),"")</f>
        <v>304</v>
      </c>
      <c r="F1469" s="9">
        <f>IFERROR(VLOOKUP(C1469,$H$4:$I$70,2,0),"")</f>
        <v>370</v>
      </c>
    </row>
    <row r="1470" spans="2:6" x14ac:dyDescent="0.2">
      <c r="B1470" s="13">
        <f t="shared" si="68"/>
        <v>1467</v>
      </c>
      <c r="C1470" s="8">
        <f t="shared" si="69"/>
        <v>36</v>
      </c>
      <c r="D1470" s="8">
        <f t="shared" si="70"/>
        <v>40</v>
      </c>
      <c r="E1470" s="8">
        <f>IFERROR(VLOOKUP(D1470,$H$4:$I$70,2,0),"")</f>
        <v>304</v>
      </c>
      <c r="F1470" s="9">
        <f>IFERROR(VLOOKUP(C1470,$H$4:$I$70,2,0),"")</f>
        <v>362</v>
      </c>
    </row>
    <row r="1471" spans="2:6" x14ac:dyDescent="0.2">
      <c r="B1471" s="13">
        <f t="shared" si="68"/>
        <v>1468</v>
      </c>
      <c r="C1471" s="8">
        <f t="shared" si="69"/>
        <v>37</v>
      </c>
      <c r="D1471" s="8">
        <f t="shared" si="70"/>
        <v>40</v>
      </c>
      <c r="E1471" s="8">
        <f>IFERROR(VLOOKUP(D1471,$H$4:$I$70,2,0),"")</f>
        <v>304</v>
      </c>
      <c r="F1471" s="9">
        <f>IFERROR(VLOOKUP(C1471,$H$4:$I$70,2,0),"")</f>
        <v>357</v>
      </c>
    </row>
    <row r="1472" spans="2:6" x14ac:dyDescent="0.2">
      <c r="B1472" s="13">
        <f t="shared" si="68"/>
        <v>1469</v>
      </c>
      <c r="C1472" s="8">
        <f t="shared" si="69"/>
        <v>38</v>
      </c>
      <c r="D1472" s="8">
        <f t="shared" si="70"/>
        <v>40</v>
      </c>
      <c r="E1472" s="8">
        <f>IFERROR(VLOOKUP(D1472,$H$4:$I$70,2,0),"")</f>
        <v>304</v>
      </c>
      <c r="F1472" s="9">
        <f>IFERROR(VLOOKUP(C1472,$H$4:$I$70,2,0),"")</f>
        <v>351</v>
      </c>
    </row>
    <row r="1473" spans="2:6" x14ac:dyDescent="0.2">
      <c r="B1473" s="13">
        <f t="shared" si="68"/>
        <v>1470</v>
      </c>
      <c r="C1473" s="8">
        <f t="shared" si="69"/>
        <v>39</v>
      </c>
      <c r="D1473" s="8">
        <f t="shared" si="70"/>
        <v>40</v>
      </c>
      <c r="E1473" s="8">
        <f>IFERROR(VLOOKUP(D1473,$H$4:$I$70,2,0),"")</f>
        <v>304</v>
      </c>
      <c r="F1473" s="9">
        <f>IFERROR(VLOOKUP(C1473,$H$4:$I$70,2,0),"")</f>
        <v>339</v>
      </c>
    </row>
    <row r="1474" spans="2:6" x14ac:dyDescent="0.2">
      <c r="B1474" s="13">
        <f t="shared" si="68"/>
        <v>1471</v>
      </c>
      <c r="C1474" s="8">
        <f t="shared" si="69"/>
        <v>1</v>
      </c>
      <c r="D1474" s="8">
        <f t="shared" si="70"/>
        <v>39</v>
      </c>
      <c r="E1474" s="8">
        <f>IFERROR(VLOOKUP(D1474,$H$4:$I$70,2,0),"")</f>
        <v>339</v>
      </c>
      <c r="F1474" s="9">
        <f>IFERROR(VLOOKUP(C1474,$H$4:$I$70,2,0),"")</f>
        <v>1344</v>
      </c>
    </row>
    <row r="1475" spans="2:6" x14ac:dyDescent="0.2">
      <c r="B1475" s="13">
        <f t="shared" si="68"/>
        <v>1472</v>
      </c>
      <c r="C1475" s="8">
        <f t="shared" si="69"/>
        <v>2</v>
      </c>
      <c r="D1475" s="8">
        <f t="shared" si="70"/>
        <v>39</v>
      </c>
      <c r="E1475" s="8">
        <f>IFERROR(VLOOKUP(D1475,$H$4:$I$70,2,0),"")</f>
        <v>339</v>
      </c>
      <c r="F1475" s="9">
        <f>IFERROR(VLOOKUP(C1475,$H$4:$I$70,2,0),"")</f>
        <v>1048</v>
      </c>
    </row>
    <row r="1476" spans="2:6" x14ac:dyDescent="0.2">
      <c r="B1476" s="13">
        <f t="shared" si="68"/>
        <v>1473</v>
      </c>
      <c r="C1476" s="8">
        <f t="shared" si="69"/>
        <v>3</v>
      </c>
      <c r="D1476" s="8">
        <f t="shared" si="70"/>
        <v>39</v>
      </c>
      <c r="E1476" s="8">
        <f>IFERROR(VLOOKUP(D1476,$H$4:$I$70,2,0),"")</f>
        <v>339</v>
      </c>
      <c r="F1476" s="9">
        <f>IFERROR(VLOOKUP(C1476,$H$4:$I$70,2,0),"")</f>
        <v>1025</v>
      </c>
    </row>
    <row r="1477" spans="2:6" x14ac:dyDescent="0.2">
      <c r="B1477" s="13">
        <f t="shared" ref="B1477:B1540" si="71">ROW()-3</f>
        <v>1474</v>
      </c>
      <c r="C1477" s="8">
        <f t="shared" si="69"/>
        <v>4</v>
      </c>
      <c r="D1477" s="8">
        <f t="shared" si="70"/>
        <v>39</v>
      </c>
      <c r="E1477" s="8">
        <f>IFERROR(VLOOKUP(D1477,$H$4:$I$70,2,0),"")</f>
        <v>339</v>
      </c>
      <c r="F1477" s="9">
        <f>IFERROR(VLOOKUP(C1477,$H$4:$I$70,2,0),"")</f>
        <v>805</v>
      </c>
    </row>
    <row r="1478" spans="2:6" x14ac:dyDescent="0.2">
      <c r="B1478" s="13">
        <f t="shared" si="71"/>
        <v>1475</v>
      </c>
      <c r="C1478" s="8">
        <f t="shared" ref="C1478:C1541" si="72">IF((D1477-C1477)=1,1,C1477+1)</f>
        <v>5</v>
      </c>
      <c r="D1478" s="8">
        <f t="shared" ref="D1478:D1541" si="73">IF((D1477-C1477)=1,D1477-1,D1477)</f>
        <v>39</v>
      </c>
      <c r="E1478" s="8">
        <f>IFERROR(VLOOKUP(D1478,$H$4:$I$70,2,0),"")</f>
        <v>339</v>
      </c>
      <c r="F1478" s="9">
        <f>IFERROR(VLOOKUP(C1478,$H$4:$I$70,2,0),"")</f>
        <v>666</v>
      </c>
    </row>
    <row r="1479" spans="2:6" x14ac:dyDescent="0.2">
      <c r="B1479" s="13">
        <f t="shared" si="71"/>
        <v>1476</v>
      </c>
      <c r="C1479" s="8">
        <f t="shared" si="72"/>
        <v>6</v>
      </c>
      <c r="D1479" s="8">
        <f t="shared" si="73"/>
        <v>39</v>
      </c>
      <c r="E1479" s="8">
        <f>IFERROR(VLOOKUP(D1479,$H$4:$I$70,2,0),"")</f>
        <v>339</v>
      </c>
      <c r="F1479" s="9">
        <f>IFERROR(VLOOKUP(C1479,$H$4:$I$70,2,0),"")</f>
        <v>655</v>
      </c>
    </row>
    <row r="1480" spans="2:6" x14ac:dyDescent="0.2">
      <c r="B1480" s="13">
        <f t="shared" si="71"/>
        <v>1477</v>
      </c>
      <c r="C1480" s="8">
        <f t="shared" si="72"/>
        <v>7</v>
      </c>
      <c r="D1480" s="8">
        <f t="shared" si="73"/>
        <v>39</v>
      </c>
      <c r="E1480" s="8">
        <f>IFERROR(VLOOKUP(D1480,$H$4:$I$70,2,0),"")</f>
        <v>339</v>
      </c>
      <c r="F1480" s="9">
        <f>IFERROR(VLOOKUP(C1480,$H$4:$I$70,2,0),"")</f>
        <v>652</v>
      </c>
    </row>
    <row r="1481" spans="2:6" x14ac:dyDescent="0.2">
      <c r="B1481" s="13">
        <f t="shared" si="71"/>
        <v>1478</v>
      </c>
      <c r="C1481" s="8">
        <f t="shared" si="72"/>
        <v>8</v>
      </c>
      <c r="D1481" s="8">
        <f t="shared" si="73"/>
        <v>39</v>
      </c>
      <c r="E1481" s="8">
        <f>IFERROR(VLOOKUP(D1481,$H$4:$I$70,2,0),"")</f>
        <v>339</v>
      </c>
      <c r="F1481" s="9">
        <f>IFERROR(VLOOKUP(C1481,$H$4:$I$70,2,0),"")</f>
        <v>633</v>
      </c>
    </row>
    <row r="1482" spans="2:6" x14ac:dyDescent="0.2">
      <c r="B1482" s="13">
        <f t="shared" si="71"/>
        <v>1479</v>
      </c>
      <c r="C1482" s="8">
        <f t="shared" si="72"/>
        <v>9</v>
      </c>
      <c r="D1482" s="8">
        <f t="shared" si="73"/>
        <v>39</v>
      </c>
      <c r="E1482" s="8">
        <f>IFERROR(VLOOKUP(D1482,$H$4:$I$70,2,0),"")</f>
        <v>339</v>
      </c>
      <c r="F1482" s="9">
        <f>IFERROR(VLOOKUP(C1482,$H$4:$I$70,2,0),"")</f>
        <v>632</v>
      </c>
    </row>
    <row r="1483" spans="2:6" x14ac:dyDescent="0.2">
      <c r="B1483" s="13">
        <f t="shared" si="71"/>
        <v>1480</v>
      </c>
      <c r="C1483" s="8">
        <f t="shared" si="72"/>
        <v>10</v>
      </c>
      <c r="D1483" s="8">
        <f t="shared" si="73"/>
        <v>39</v>
      </c>
      <c r="E1483" s="8">
        <f>IFERROR(VLOOKUP(D1483,$H$4:$I$70,2,0),"")</f>
        <v>339</v>
      </c>
      <c r="F1483" s="9">
        <f>IFERROR(VLOOKUP(C1483,$H$4:$I$70,2,0),"")</f>
        <v>625</v>
      </c>
    </row>
    <row r="1484" spans="2:6" x14ac:dyDescent="0.2">
      <c r="B1484" s="13">
        <f t="shared" si="71"/>
        <v>1481</v>
      </c>
      <c r="C1484" s="8">
        <f t="shared" si="72"/>
        <v>11</v>
      </c>
      <c r="D1484" s="8">
        <f t="shared" si="73"/>
        <v>39</v>
      </c>
      <c r="E1484" s="8">
        <f>IFERROR(VLOOKUP(D1484,$H$4:$I$70,2,0),"")</f>
        <v>339</v>
      </c>
      <c r="F1484" s="9">
        <f>IFERROR(VLOOKUP(C1484,$H$4:$I$70,2,0),"")</f>
        <v>619</v>
      </c>
    </row>
    <row r="1485" spans="2:6" x14ac:dyDescent="0.2">
      <c r="B1485" s="13">
        <f t="shared" si="71"/>
        <v>1482</v>
      </c>
      <c r="C1485" s="8">
        <f t="shared" si="72"/>
        <v>12</v>
      </c>
      <c r="D1485" s="8">
        <f t="shared" si="73"/>
        <v>39</v>
      </c>
      <c r="E1485" s="8">
        <f>IFERROR(VLOOKUP(D1485,$H$4:$I$70,2,0),"")</f>
        <v>339</v>
      </c>
      <c r="F1485" s="9">
        <f>IFERROR(VLOOKUP(C1485,$H$4:$I$70,2,0),"")</f>
        <v>610</v>
      </c>
    </row>
    <row r="1486" spans="2:6" x14ac:dyDescent="0.2">
      <c r="B1486" s="13">
        <f t="shared" si="71"/>
        <v>1483</v>
      </c>
      <c r="C1486" s="8">
        <f t="shared" si="72"/>
        <v>13</v>
      </c>
      <c r="D1486" s="8">
        <f t="shared" si="73"/>
        <v>39</v>
      </c>
      <c r="E1486" s="8">
        <f>IFERROR(VLOOKUP(D1486,$H$4:$I$70,2,0),"")</f>
        <v>339</v>
      </c>
      <c r="F1486" s="9">
        <f>IFERROR(VLOOKUP(C1486,$H$4:$I$70,2,0),"")</f>
        <v>599</v>
      </c>
    </row>
    <row r="1487" spans="2:6" x14ac:dyDescent="0.2">
      <c r="B1487" s="13">
        <f t="shared" si="71"/>
        <v>1484</v>
      </c>
      <c r="C1487" s="8">
        <f t="shared" si="72"/>
        <v>14</v>
      </c>
      <c r="D1487" s="8">
        <f t="shared" si="73"/>
        <v>39</v>
      </c>
      <c r="E1487" s="8">
        <f>IFERROR(VLOOKUP(D1487,$H$4:$I$70,2,0),"")</f>
        <v>339</v>
      </c>
      <c r="F1487" s="9">
        <f>IFERROR(VLOOKUP(C1487,$H$4:$I$70,2,0),"")</f>
        <v>559</v>
      </c>
    </row>
    <row r="1488" spans="2:6" x14ac:dyDescent="0.2">
      <c r="B1488" s="13">
        <f t="shared" si="71"/>
        <v>1485</v>
      </c>
      <c r="C1488" s="8">
        <f t="shared" si="72"/>
        <v>15</v>
      </c>
      <c r="D1488" s="8">
        <f t="shared" si="73"/>
        <v>39</v>
      </c>
      <c r="E1488" s="8">
        <f>IFERROR(VLOOKUP(D1488,$H$4:$I$70,2,0),"")</f>
        <v>339</v>
      </c>
      <c r="F1488" s="9">
        <f>IFERROR(VLOOKUP(C1488,$H$4:$I$70,2,0),"")</f>
        <v>556</v>
      </c>
    </row>
    <row r="1489" spans="2:6" x14ac:dyDescent="0.2">
      <c r="B1489" s="13">
        <f t="shared" si="71"/>
        <v>1486</v>
      </c>
      <c r="C1489" s="8">
        <f t="shared" si="72"/>
        <v>16</v>
      </c>
      <c r="D1489" s="8">
        <f t="shared" si="73"/>
        <v>39</v>
      </c>
      <c r="E1489" s="8">
        <f>IFERROR(VLOOKUP(D1489,$H$4:$I$70,2,0),"")</f>
        <v>339</v>
      </c>
      <c r="F1489" s="9">
        <f>IFERROR(VLOOKUP(C1489,$H$4:$I$70,2,0),"")</f>
        <v>540</v>
      </c>
    </row>
    <row r="1490" spans="2:6" x14ac:dyDescent="0.2">
      <c r="B1490" s="13">
        <f t="shared" si="71"/>
        <v>1487</v>
      </c>
      <c r="C1490" s="8">
        <f t="shared" si="72"/>
        <v>17</v>
      </c>
      <c r="D1490" s="8">
        <f t="shared" si="73"/>
        <v>39</v>
      </c>
      <c r="E1490" s="8">
        <f>IFERROR(VLOOKUP(D1490,$H$4:$I$70,2,0),"")</f>
        <v>339</v>
      </c>
      <c r="F1490" s="9">
        <f>IFERROR(VLOOKUP(C1490,$H$4:$I$70,2,0),"")</f>
        <v>536</v>
      </c>
    </row>
    <row r="1491" spans="2:6" x14ac:dyDescent="0.2">
      <c r="B1491" s="13">
        <f t="shared" si="71"/>
        <v>1488</v>
      </c>
      <c r="C1491" s="8">
        <f t="shared" si="72"/>
        <v>18</v>
      </c>
      <c r="D1491" s="8">
        <f t="shared" si="73"/>
        <v>39</v>
      </c>
      <c r="E1491" s="8">
        <f>IFERROR(VLOOKUP(D1491,$H$4:$I$70,2,0),"")</f>
        <v>339</v>
      </c>
      <c r="F1491" s="9">
        <f>IFERROR(VLOOKUP(C1491,$H$4:$I$70,2,0),"")</f>
        <v>527</v>
      </c>
    </row>
    <row r="1492" spans="2:6" x14ac:dyDescent="0.2">
      <c r="B1492" s="13">
        <f t="shared" si="71"/>
        <v>1489</v>
      </c>
      <c r="C1492" s="8">
        <f t="shared" si="72"/>
        <v>19</v>
      </c>
      <c r="D1492" s="8">
        <f t="shared" si="73"/>
        <v>39</v>
      </c>
      <c r="E1492" s="8">
        <f>IFERROR(VLOOKUP(D1492,$H$4:$I$70,2,0),"")</f>
        <v>339</v>
      </c>
      <c r="F1492" s="9">
        <f>IFERROR(VLOOKUP(C1492,$H$4:$I$70,2,0),"")</f>
        <v>478</v>
      </c>
    </row>
    <row r="1493" spans="2:6" x14ac:dyDescent="0.2">
      <c r="B1493" s="13">
        <f t="shared" si="71"/>
        <v>1490</v>
      </c>
      <c r="C1493" s="8">
        <f t="shared" si="72"/>
        <v>20</v>
      </c>
      <c r="D1493" s="8">
        <f t="shared" si="73"/>
        <v>39</v>
      </c>
      <c r="E1493" s="8">
        <f>IFERROR(VLOOKUP(D1493,$H$4:$I$70,2,0),"")</f>
        <v>339</v>
      </c>
      <c r="F1493" s="9">
        <f>IFERROR(VLOOKUP(C1493,$H$4:$I$70,2,0),"")</f>
        <v>474</v>
      </c>
    </row>
    <row r="1494" spans="2:6" x14ac:dyDescent="0.2">
      <c r="B1494" s="13">
        <f t="shared" si="71"/>
        <v>1491</v>
      </c>
      <c r="C1494" s="8">
        <f t="shared" si="72"/>
        <v>21</v>
      </c>
      <c r="D1494" s="8">
        <f t="shared" si="73"/>
        <v>39</v>
      </c>
      <c r="E1494" s="8">
        <f>IFERROR(VLOOKUP(D1494,$H$4:$I$70,2,0),"")</f>
        <v>339</v>
      </c>
      <c r="F1494" s="9">
        <f>IFERROR(VLOOKUP(C1494,$H$4:$I$70,2,0),"")</f>
        <v>468</v>
      </c>
    </row>
    <row r="1495" spans="2:6" x14ac:dyDescent="0.2">
      <c r="B1495" s="13">
        <f t="shared" si="71"/>
        <v>1492</v>
      </c>
      <c r="C1495" s="8">
        <f t="shared" si="72"/>
        <v>22</v>
      </c>
      <c r="D1495" s="8">
        <f t="shared" si="73"/>
        <v>39</v>
      </c>
      <c r="E1495" s="8">
        <f>IFERROR(VLOOKUP(D1495,$H$4:$I$70,2,0),"")</f>
        <v>339</v>
      </c>
      <c r="F1495" s="9">
        <f>IFERROR(VLOOKUP(C1495,$H$4:$I$70,2,0),"")</f>
        <v>457</v>
      </c>
    </row>
    <row r="1496" spans="2:6" x14ac:dyDescent="0.2">
      <c r="B1496" s="13">
        <f t="shared" si="71"/>
        <v>1493</v>
      </c>
      <c r="C1496" s="8">
        <f t="shared" si="72"/>
        <v>23</v>
      </c>
      <c r="D1496" s="8">
        <f t="shared" si="73"/>
        <v>39</v>
      </c>
      <c r="E1496" s="8">
        <f>IFERROR(VLOOKUP(D1496,$H$4:$I$70,2,0),"")</f>
        <v>339</v>
      </c>
      <c r="F1496" s="9">
        <f>IFERROR(VLOOKUP(C1496,$H$4:$I$70,2,0),"")</f>
        <v>452</v>
      </c>
    </row>
    <row r="1497" spans="2:6" x14ac:dyDescent="0.2">
      <c r="B1497" s="13">
        <f t="shared" si="71"/>
        <v>1494</v>
      </c>
      <c r="C1497" s="8">
        <f t="shared" si="72"/>
        <v>24</v>
      </c>
      <c r="D1497" s="8">
        <f t="shared" si="73"/>
        <v>39</v>
      </c>
      <c r="E1497" s="8">
        <f>IFERROR(VLOOKUP(D1497,$H$4:$I$70,2,0),"")</f>
        <v>339</v>
      </c>
      <c r="F1497" s="9">
        <f>IFERROR(VLOOKUP(C1497,$H$4:$I$70,2,0),"")</f>
        <v>442</v>
      </c>
    </row>
    <row r="1498" spans="2:6" x14ac:dyDescent="0.2">
      <c r="B1498" s="13">
        <f t="shared" si="71"/>
        <v>1495</v>
      </c>
      <c r="C1498" s="8">
        <f t="shared" si="72"/>
        <v>25</v>
      </c>
      <c r="D1498" s="8">
        <f t="shared" si="73"/>
        <v>39</v>
      </c>
      <c r="E1498" s="8">
        <f>IFERROR(VLOOKUP(D1498,$H$4:$I$70,2,0),"")</f>
        <v>339</v>
      </c>
      <c r="F1498" s="9">
        <f>IFERROR(VLOOKUP(C1498,$H$4:$I$70,2,0),"")</f>
        <v>420</v>
      </c>
    </row>
    <row r="1499" spans="2:6" x14ac:dyDescent="0.2">
      <c r="B1499" s="13">
        <f t="shared" si="71"/>
        <v>1496</v>
      </c>
      <c r="C1499" s="8">
        <f t="shared" si="72"/>
        <v>26</v>
      </c>
      <c r="D1499" s="8">
        <f t="shared" si="73"/>
        <v>39</v>
      </c>
      <c r="E1499" s="8">
        <f>IFERROR(VLOOKUP(D1499,$H$4:$I$70,2,0),"")</f>
        <v>339</v>
      </c>
      <c r="F1499" s="9">
        <f>IFERROR(VLOOKUP(C1499,$H$4:$I$70,2,0),"")</f>
        <v>410</v>
      </c>
    </row>
    <row r="1500" spans="2:6" x14ac:dyDescent="0.2">
      <c r="B1500" s="13">
        <f t="shared" si="71"/>
        <v>1497</v>
      </c>
      <c r="C1500" s="8">
        <f t="shared" si="72"/>
        <v>27</v>
      </c>
      <c r="D1500" s="8">
        <f t="shared" si="73"/>
        <v>39</v>
      </c>
      <c r="E1500" s="8">
        <f>IFERROR(VLOOKUP(D1500,$H$4:$I$70,2,0),"")</f>
        <v>339</v>
      </c>
      <c r="F1500" s="9">
        <f>IFERROR(VLOOKUP(C1500,$H$4:$I$70,2,0),"")</f>
        <v>409</v>
      </c>
    </row>
    <row r="1501" spans="2:6" x14ac:dyDescent="0.2">
      <c r="B1501" s="13">
        <f t="shared" si="71"/>
        <v>1498</v>
      </c>
      <c r="C1501" s="8">
        <f t="shared" si="72"/>
        <v>28</v>
      </c>
      <c r="D1501" s="8">
        <f t="shared" si="73"/>
        <v>39</v>
      </c>
      <c r="E1501" s="8">
        <f>IFERROR(VLOOKUP(D1501,$H$4:$I$70,2,0),"")</f>
        <v>339</v>
      </c>
      <c r="F1501" s="9">
        <f>IFERROR(VLOOKUP(C1501,$H$4:$I$70,2,0),"")</f>
        <v>408</v>
      </c>
    </row>
    <row r="1502" spans="2:6" x14ac:dyDescent="0.2">
      <c r="B1502" s="13">
        <f t="shared" si="71"/>
        <v>1499</v>
      </c>
      <c r="C1502" s="8">
        <f t="shared" si="72"/>
        <v>29</v>
      </c>
      <c r="D1502" s="8">
        <f t="shared" si="73"/>
        <v>39</v>
      </c>
      <c r="E1502" s="8">
        <f>IFERROR(VLOOKUP(D1502,$H$4:$I$70,2,0),"")</f>
        <v>339</v>
      </c>
      <c r="F1502" s="9">
        <f>IFERROR(VLOOKUP(C1502,$H$4:$I$70,2,0),"")</f>
        <v>404</v>
      </c>
    </row>
    <row r="1503" spans="2:6" x14ac:dyDescent="0.2">
      <c r="B1503" s="13">
        <f t="shared" si="71"/>
        <v>1500</v>
      </c>
      <c r="C1503" s="8">
        <f t="shared" si="72"/>
        <v>30</v>
      </c>
      <c r="D1503" s="8">
        <f t="shared" si="73"/>
        <v>39</v>
      </c>
      <c r="E1503" s="8">
        <f>IFERROR(VLOOKUP(D1503,$H$4:$I$70,2,0),"")</f>
        <v>339</v>
      </c>
      <c r="F1503" s="9">
        <f>IFERROR(VLOOKUP(C1503,$H$4:$I$70,2,0),"")</f>
        <v>399</v>
      </c>
    </row>
    <row r="1504" spans="2:6" x14ac:dyDescent="0.2">
      <c r="B1504" s="13">
        <f t="shared" si="71"/>
        <v>1501</v>
      </c>
      <c r="C1504" s="8">
        <f t="shared" si="72"/>
        <v>31</v>
      </c>
      <c r="D1504" s="8">
        <f t="shared" si="73"/>
        <v>39</v>
      </c>
      <c r="E1504" s="8">
        <f>IFERROR(VLOOKUP(D1504,$H$4:$I$70,2,0),"")</f>
        <v>339</v>
      </c>
      <c r="F1504" s="9">
        <f>IFERROR(VLOOKUP(C1504,$H$4:$I$70,2,0),"")</f>
        <v>396</v>
      </c>
    </row>
    <row r="1505" spans="2:6" x14ac:dyDescent="0.2">
      <c r="B1505" s="13">
        <f t="shared" si="71"/>
        <v>1502</v>
      </c>
      <c r="C1505" s="8">
        <f t="shared" si="72"/>
        <v>32</v>
      </c>
      <c r="D1505" s="8">
        <f t="shared" si="73"/>
        <v>39</v>
      </c>
      <c r="E1505" s="8">
        <f>IFERROR(VLOOKUP(D1505,$H$4:$I$70,2,0),"")</f>
        <v>339</v>
      </c>
      <c r="F1505" s="9">
        <f>IFERROR(VLOOKUP(C1505,$H$4:$I$70,2,0),"")</f>
        <v>384</v>
      </c>
    </row>
    <row r="1506" spans="2:6" x14ac:dyDescent="0.2">
      <c r="B1506" s="13">
        <f t="shared" si="71"/>
        <v>1503</v>
      </c>
      <c r="C1506" s="8">
        <f t="shared" si="72"/>
        <v>33</v>
      </c>
      <c r="D1506" s="8">
        <f t="shared" si="73"/>
        <v>39</v>
      </c>
      <c r="E1506" s="8">
        <f>IFERROR(VLOOKUP(D1506,$H$4:$I$70,2,0),"")</f>
        <v>339</v>
      </c>
      <c r="F1506" s="9">
        <f>IFERROR(VLOOKUP(C1506,$H$4:$I$70,2,0),"")</f>
        <v>381</v>
      </c>
    </row>
    <row r="1507" spans="2:6" x14ac:dyDescent="0.2">
      <c r="B1507" s="13">
        <f t="shared" si="71"/>
        <v>1504</v>
      </c>
      <c r="C1507" s="8">
        <f t="shared" si="72"/>
        <v>34</v>
      </c>
      <c r="D1507" s="8">
        <f t="shared" si="73"/>
        <v>39</v>
      </c>
      <c r="E1507" s="8">
        <f>IFERROR(VLOOKUP(D1507,$H$4:$I$70,2,0),"")</f>
        <v>339</v>
      </c>
      <c r="F1507" s="9">
        <f>IFERROR(VLOOKUP(C1507,$H$4:$I$70,2,0),"")</f>
        <v>376</v>
      </c>
    </row>
    <row r="1508" spans="2:6" x14ac:dyDescent="0.2">
      <c r="B1508" s="13">
        <f t="shared" si="71"/>
        <v>1505</v>
      </c>
      <c r="C1508" s="8">
        <f t="shared" si="72"/>
        <v>35</v>
      </c>
      <c r="D1508" s="8">
        <f t="shared" si="73"/>
        <v>39</v>
      </c>
      <c r="E1508" s="8">
        <f>IFERROR(VLOOKUP(D1508,$H$4:$I$70,2,0),"")</f>
        <v>339</v>
      </c>
      <c r="F1508" s="9">
        <f>IFERROR(VLOOKUP(C1508,$H$4:$I$70,2,0),"")</f>
        <v>370</v>
      </c>
    </row>
    <row r="1509" spans="2:6" x14ac:dyDescent="0.2">
      <c r="B1509" s="13">
        <f t="shared" si="71"/>
        <v>1506</v>
      </c>
      <c r="C1509" s="8">
        <f t="shared" si="72"/>
        <v>36</v>
      </c>
      <c r="D1509" s="8">
        <f t="shared" si="73"/>
        <v>39</v>
      </c>
      <c r="E1509" s="8">
        <f>IFERROR(VLOOKUP(D1509,$H$4:$I$70,2,0),"")</f>
        <v>339</v>
      </c>
      <c r="F1509" s="9">
        <f>IFERROR(VLOOKUP(C1509,$H$4:$I$70,2,0),"")</f>
        <v>362</v>
      </c>
    </row>
    <row r="1510" spans="2:6" x14ac:dyDescent="0.2">
      <c r="B1510" s="13">
        <f t="shared" si="71"/>
        <v>1507</v>
      </c>
      <c r="C1510" s="8">
        <f t="shared" si="72"/>
        <v>37</v>
      </c>
      <c r="D1510" s="8">
        <f t="shared" si="73"/>
        <v>39</v>
      </c>
      <c r="E1510" s="8">
        <f>IFERROR(VLOOKUP(D1510,$H$4:$I$70,2,0),"")</f>
        <v>339</v>
      </c>
      <c r="F1510" s="9">
        <f>IFERROR(VLOOKUP(C1510,$H$4:$I$70,2,0),"")</f>
        <v>357</v>
      </c>
    </row>
    <row r="1511" spans="2:6" x14ac:dyDescent="0.2">
      <c r="B1511" s="13">
        <f t="shared" si="71"/>
        <v>1508</v>
      </c>
      <c r="C1511" s="8">
        <f t="shared" si="72"/>
        <v>38</v>
      </c>
      <c r="D1511" s="8">
        <f t="shared" si="73"/>
        <v>39</v>
      </c>
      <c r="E1511" s="8">
        <f>IFERROR(VLOOKUP(D1511,$H$4:$I$70,2,0),"")</f>
        <v>339</v>
      </c>
      <c r="F1511" s="9">
        <f>IFERROR(VLOOKUP(C1511,$H$4:$I$70,2,0),"")</f>
        <v>351</v>
      </c>
    </row>
    <row r="1512" spans="2:6" x14ac:dyDescent="0.2">
      <c r="B1512" s="13">
        <f t="shared" si="71"/>
        <v>1509</v>
      </c>
      <c r="C1512" s="8">
        <f t="shared" si="72"/>
        <v>1</v>
      </c>
      <c r="D1512" s="8">
        <f t="shared" si="73"/>
        <v>38</v>
      </c>
      <c r="E1512" s="8">
        <f>IFERROR(VLOOKUP(D1512,$H$4:$I$70,2,0),"")</f>
        <v>351</v>
      </c>
      <c r="F1512" s="9">
        <f>IFERROR(VLOOKUP(C1512,$H$4:$I$70,2,0),"")</f>
        <v>1344</v>
      </c>
    </row>
    <row r="1513" spans="2:6" x14ac:dyDescent="0.2">
      <c r="B1513" s="13">
        <f t="shared" si="71"/>
        <v>1510</v>
      </c>
      <c r="C1513" s="8">
        <f t="shared" si="72"/>
        <v>2</v>
      </c>
      <c r="D1513" s="8">
        <f t="shared" si="73"/>
        <v>38</v>
      </c>
      <c r="E1513" s="8">
        <f>IFERROR(VLOOKUP(D1513,$H$4:$I$70,2,0),"")</f>
        <v>351</v>
      </c>
      <c r="F1513" s="9">
        <f>IFERROR(VLOOKUP(C1513,$H$4:$I$70,2,0),"")</f>
        <v>1048</v>
      </c>
    </row>
    <row r="1514" spans="2:6" x14ac:dyDescent="0.2">
      <c r="B1514" s="13">
        <f t="shared" si="71"/>
        <v>1511</v>
      </c>
      <c r="C1514" s="8">
        <f t="shared" si="72"/>
        <v>3</v>
      </c>
      <c r="D1514" s="8">
        <f t="shared" si="73"/>
        <v>38</v>
      </c>
      <c r="E1514" s="8">
        <f>IFERROR(VLOOKUP(D1514,$H$4:$I$70,2,0),"")</f>
        <v>351</v>
      </c>
      <c r="F1514" s="9">
        <f>IFERROR(VLOOKUP(C1514,$H$4:$I$70,2,0),"")</f>
        <v>1025</v>
      </c>
    </row>
    <row r="1515" spans="2:6" x14ac:dyDescent="0.2">
      <c r="B1515" s="13">
        <f t="shared" si="71"/>
        <v>1512</v>
      </c>
      <c r="C1515" s="8">
        <f t="shared" si="72"/>
        <v>4</v>
      </c>
      <c r="D1515" s="8">
        <f t="shared" si="73"/>
        <v>38</v>
      </c>
      <c r="E1515" s="8">
        <f>IFERROR(VLOOKUP(D1515,$H$4:$I$70,2,0),"")</f>
        <v>351</v>
      </c>
      <c r="F1515" s="9">
        <f>IFERROR(VLOOKUP(C1515,$H$4:$I$70,2,0),"")</f>
        <v>805</v>
      </c>
    </row>
    <row r="1516" spans="2:6" x14ac:dyDescent="0.2">
      <c r="B1516" s="13">
        <f t="shared" si="71"/>
        <v>1513</v>
      </c>
      <c r="C1516" s="8">
        <f t="shared" si="72"/>
        <v>5</v>
      </c>
      <c r="D1516" s="8">
        <f t="shared" si="73"/>
        <v>38</v>
      </c>
      <c r="E1516" s="8">
        <f>IFERROR(VLOOKUP(D1516,$H$4:$I$70,2,0),"")</f>
        <v>351</v>
      </c>
      <c r="F1516" s="9">
        <f>IFERROR(VLOOKUP(C1516,$H$4:$I$70,2,0),"")</f>
        <v>666</v>
      </c>
    </row>
    <row r="1517" spans="2:6" x14ac:dyDescent="0.2">
      <c r="B1517" s="13">
        <f t="shared" si="71"/>
        <v>1514</v>
      </c>
      <c r="C1517" s="8">
        <f t="shared" si="72"/>
        <v>6</v>
      </c>
      <c r="D1517" s="8">
        <f t="shared" si="73"/>
        <v>38</v>
      </c>
      <c r="E1517" s="8">
        <f>IFERROR(VLOOKUP(D1517,$H$4:$I$70,2,0),"")</f>
        <v>351</v>
      </c>
      <c r="F1517" s="9">
        <f>IFERROR(VLOOKUP(C1517,$H$4:$I$70,2,0),"")</f>
        <v>655</v>
      </c>
    </row>
    <row r="1518" spans="2:6" x14ac:dyDescent="0.2">
      <c r="B1518" s="13">
        <f t="shared" si="71"/>
        <v>1515</v>
      </c>
      <c r="C1518" s="8">
        <f t="shared" si="72"/>
        <v>7</v>
      </c>
      <c r="D1518" s="8">
        <f t="shared" si="73"/>
        <v>38</v>
      </c>
      <c r="E1518" s="8">
        <f>IFERROR(VLOOKUP(D1518,$H$4:$I$70,2,0),"")</f>
        <v>351</v>
      </c>
      <c r="F1518" s="9">
        <f>IFERROR(VLOOKUP(C1518,$H$4:$I$70,2,0),"")</f>
        <v>652</v>
      </c>
    </row>
    <row r="1519" spans="2:6" x14ac:dyDescent="0.2">
      <c r="B1519" s="13">
        <f t="shared" si="71"/>
        <v>1516</v>
      </c>
      <c r="C1519" s="8">
        <f t="shared" si="72"/>
        <v>8</v>
      </c>
      <c r="D1519" s="8">
        <f t="shared" si="73"/>
        <v>38</v>
      </c>
      <c r="E1519" s="8">
        <f>IFERROR(VLOOKUP(D1519,$H$4:$I$70,2,0),"")</f>
        <v>351</v>
      </c>
      <c r="F1519" s="9">
        <f>IFERROR(VLOOKUP(C1519,$H$4:$I$70,2,0),"")</f>
        <v>633</v>
      </c>
    </row>
    <row r="1520" spans="2:6" x14ac:dyDescent="0.2">
      <c r="B1520" s="13">
        <f t="shared" si="71"/>
        <v>1517</v>
      </c>
      <c r="C1520" s="8">
        <f t="shared" si="72"/>
        <v>9</v>
      </c>
      <c r="D1520" s="8">
        <f t="shared" si="73"/>
        <v>38</v>
      </c>
      <c r="E1520" s="8">
        <f>IFERROR(VLOOKUP(D1520,$H$4:$I$70,2,0),"")</f>
        <v>351</v>
      </c>
      <c r="F1520" s="9">
        <f>IFERROR(VLOOKUP(C1520,$H$4:$I$70,2,0),"")</f>
        <v>632</v>
      </c>
    </row>
    <row r="1521" spans="2:6" x14ac:dyDescent="0.2">
      <c r="B1521" s="13">
        <f t="shared" si="71"/>
        <v>1518</v>
      </c>
      <c r="C1521" s="8">
        <f t="shared" si="72"/>
        <v>10</v>
      </c>
      <c r="D1521" s="8">
        <f t="shared" si="73"/>
        <v>38</v>
      </c>
      <c r="E1521" s="8">
        <f>IFERROR(VLOOKUP(D1521,$H$4:$I$70,2,0),"")</f>
        <v>351</v>
      </c>
      <c r="F1521" s="9">
        <f>IFERROR(VLOOKUP(C1521,$H$4:$I$70,2,0),"")</f>
        <v>625</v>
      </c>
    </row>
    <row r="1522" spans="2:6" x14ac:dyDescent="0.2">
      <c r="B1522" s="13">
        <f t="shared" si="71"/>
        <v>1519</v>
      </c>
      <c r="C1522" s="8">
        <f t="shared" si="72"/>
        <v>11</v>
      </c>
      <c r="D1522" s="8">
        <f t="shared" si="73"/>
        <v>38</v>
      </c>
      <c r="E1522" s="8">
        <f>IFERROR(VLOOKUP(D1522,$H$4:$I$70,2,0),"")</f>
        <v>351</v>
      </c>
      <c r="F1522" s="9">
        <f>IFERROR(VLOOKUP(C1522,$H$4:$I$70,2,0),"")</f>
        <v>619</v>
      </c>
    </row>
    <row r="1523" spans="2:6" x14ac:dyDescent="0.2">
      <c r="B1523" s="13">
        <f t="shared" si="71"/>
        <v>1520</v>
      </c>
      <c r="C1523" s="8">
        <f t="shared" si="72"/>
        <v>12</v>
      </c>
      <c r="D1523" s="8">
        <f t="shared" si="73"/>
        <v>38</v>
      </c>
      <c r="E1523" s="8">
        <f>IFERROR(VLOOKUP(D1523,$H$4:$I$70,2,0),"")</f>
        <v>351</v>
      </c>
      <c r="F1523" s="9">
        <f>IFERROR(VLOOKUP(C1523,$H$4:$I$70,2,0),"")</f>
        <v>610</v>
      </c>
    </row>
    <row r="1524" spans="2:6" x14ac:dyDescent="0.2">
      <c r="B1524" s="13">
        <f t="shared" si="71"/>
        <v>1521</v>
      </c>
      <c r="C1524" s="8">
        <f t="shared" si="72"/>
        <v>13</v>
      </c>
      <c r="D1524" s="8">
        <f t="shared" si="73"/>
        <v>38</v>
      </c>
      <c r="E1524" s="8">
        <f>IFERROR(VLOOKUP(D1524,$H$4:$I$70,2,0),"")</f>
        <v>351</v>
      </c>
      <c r="F1524" s="9">
        <f>IFERROR(VLOOKUP(C1524,$H$4:$I$70,2,0),"")</f>
        <v>599</v>
      </c>
    </row>
    <row r="1525" spans="2:6" x14ac:dyDescent="0.2">
      <c r="B1525" s="13">
        <f t="shared" si="71"/>
        <v>1522</v>
      </c>
      <c r="C1525" s="8">
        <f t="shared" si="72"/>
        <v>14</v>
      </c>
      <c r="D1525" s="8">
        <f t="shared" si="73"/>
        <v>38</v>
      </c>
      <c r="E1525" s="8">
        <f>IFERROR(VLOOKUP(D1525,$H$4:$I$70,2,0),"")</f>
        <v>351</v>
      </c>
      <c r="F1525" s="9">
        <f>IFERROR(VLOOKUP(C1525,$H$4:$I$70,2,0),"")</f>
        <v>559</v>
      </c>
    </row>
    <row r="1526" spans="2:6" x14ac:dyDescent="0.2">
      <c r="B1526" s="13">
        <f t="shared" si="71"/>
        <v>1523</v>
      </c>
      <c r="C1526" s="8">
        <f t="shared" si="72"/>
        <v>15</v>
      </c>
      <c r="D1526" s="8">
        <f t="shared" si="73"/>
        <v>38</v>
      </c>
      <c r="E1526" s="8">
        <f>IFERROR(VLOOKUP(D1526,$H$4:$I$70,2,0),"")</f>
        <v>351</v>
      </c>
      <c r="F1526" s="9">
        <f>IFERROR(VLOOKUP(C1526,$H$4:$I$70,2,0),"")</f>
        <v>556</v>
      </c>
    </row>
    <row r="1527" spans="2:6" x14ac:dyDescent="0.2">
      <c r="B1527" s="13">
        <f t="shared" si="71"/>
        <v>1524</v>
      </c>
      <c r="C1527" s="8">
        <f t="shared" si="72"/>
        <v>16</v>
      </c>
      <c r="D1527" s="8">
        <f t="shared" si="73"/>
        <v>38</v>
      </c>
      <c r="E1527" s="8">
        <f>IFERROR(VLOOKUP(D1527,$H$4:$I$70,2,0),"")</f>
        <v>351</v>
      </c>
      <c r="F1527" s="9">
        <f>IFERROR(VLOOKUP(C1527,$H$4:$I$70,2,0),"")</f>
        <v>540</v>
      </c>
    </row>
    <row r="1528" spans="2:6" x14ac:dyDescent="0.2">
      <c r="B1528" s="13">
        <f t="shared" si="71"/>
        <v>1525</v>
      </c>
      <c r="C1528" s="8">
        <f t="shared" si="72"/>
        <v>17</v>
      </c>
      <c r="D1528" s="8">
        <f t="shared" si="73"/>
        <v>38</v>
      </c>
      <c r="E1528" s="8">
        <f>IFERROR(VLOOKUP(D1528,$H$4:$I$70,2,0),"")</f>
        <v>351</v>
      </c>
      <c r="F1528" s="9">
        <f>IFERROR(VLOOKUP(C1528,$H$4:$I$70,2,0),"")</f>
        <v>536</v>
      </c>
    </row>
    <row r="1529" spans="2:6" x14ac:dyDescent="0.2">
      <c r="B1529" s="13">
        <f t="shared" si="71"/>
        <v>1526</v>
      </c>
      <c r="C1529" s="8">
        <f t="shared" si="72"/>
        <v>18</v>
      </c>
      <c r="D1529" s="8">
        <f t="shared" si="73"/>
        <v>38</v>
      </c>
      <c r="E1529" s="8">
        <f>IFERROR(VLOOKUP(D1529,$H$4:$I$70,2,0),"")</f>
        <v>351</v>
      </c>
      <c r="F1529" s="9">
        <f>IFERROR(VLOOKUP(C1529,$H$4:$I$70,2,0),"")</f>
        <v>527</v>
      </c>
    </row>
    <row r="1530" spans="2:6" x14ac:dyDescent="0.2">
      <c r="B1530" s="13">
        <f t="shared" si="71"/>
        <v>1527</v>
      </c>
      <c r="C1530" s="8">
        <f t="shared" si="72"/>
        <v>19</v>
      </c>
      <c r="D1530" s="8">
        <f t="shared" si="73"/>
        <v>38</v>
      </c>
      <c r="E1530" s="8">
        <f>IFERROR(VLOOKUP(D1530,$H$4:$I$70,2,0),"")</f>
        <v>351</v>
      </c>
      <c r="F1530" s="9">
        <f>IFERROR(VLOOKUP(C1530,$H$4:$I$70,2,0),"")</f>
        <v>478</v>
      </c>
    </row>
    <row r="1531" spans="2:6" x14ac:dyDescent="0.2">
      <c r="B1531" s="13">
        <f t="shared" si="71"/>
        <v>1528</v>
      </c>
      <c r="C1531" s="8">
        <f t="shared" si="72"/>
        <v>20</v>
      </c>
      <c r="D1531" s="8">
        <f t="shared" si="73"/>
        <v>38</v>
      </c>
      <c r="E1531" s="8">
        <f>IFERROR(VLOOKUP(D1531,$H$4:$I$70,2,0),"")</f>
        <v>351</v>
      </c>
      <c r="F1531" s="9">
        <f>IFERROR(VLOOKUP(C1531,$H$4:$I$70,2,0),"")</f>
        <v>474</v>
      </c>
    </row>
    <row r="1532" spans="2:6" x14ac:dyDescent="0.2">
      <c r="B1532" s="13">
        <f t="shared" si="71"/>
        <v>1529</v>
      </c>
      <c r="C1532" s="8">
        <f t="shared" si="72"/>
        <v>21</v>
      </c>
      <c r="D1532" s="8">
        <f t="shared" si="73"/>
        <v>38</v>
      </c>
      <c r="E1532" s="8">
        <f>IFERROR(VLOOKUP(D1532,$H$4:$I$70,2,0),"")</f>
        <v>351</v>
      </c>
      <c r="F1532" s="9">
        <f>IFERROR(VLOOKUP(C1532,$H$4:$I$70,2,0),"")</f>
        <v>468</v>
      </c>
    </row>
    <row r="1533" spans="2:6" x14ac:dyDescent="0.2">
      <c r="B1533" s="13">
        <f t="shared" si="71"/>
        <v>1530</v>
      </c>
      <c r="C1533" s="8">
        <f t="shared" si="72"/>
        <v>22</v>
      </c>
      <c r="D1533" s="8">
        <f t="shared" si="73"/>
        <v>38</v>
      </c>
      <c r="E1533" s="8">
        <f>IFERROR(VLOOKUP(D1533,$H$4:$I$70,2,0),"")</f>
        <v>351</v>
      </c>
      <c r="F1533" s="9">
        <f>IFERROR(VLOOKUP(C1533,$H$4:$I$70,2,0),"")</f>
        <v>457</v>
      </c>
    </row>
    <row r="1534" spans="2:6" x14ac:dyDescent="0.2">
      <c r="B1534" s="13">
        <f t="shared" si="71"/>
        <v>1531</v>
      </c>
      <c r="C1534" s="8">
        <f t="shared" si="72"/>
        <v>23</v>
      </c>
      <c r="D1534" s="8">
        <f t="shared" si="73"/>
        <v>38</v>
      </c>
      <c r="E1534" s="8">
        <f>IFERROR(VLOOKUP(D1534,$H$4:$I$70,2,0),"")</f>
        <v>351</v>
      </c>
      <c r="F1534" s="9">
        <f>IFERROR(VLOOKUP(C1534,$H$4:$I$70,2,0),"")</f>
        <v>452</v>
      </c>
    </row>
    <row r="1535" spans="2:6" x14ac:dyDescent="0.2">
      <c r="B1535" s="13">
        <f t="shared" si="71"/>
        <v>1532</v>
      </c>
      <c r="C1535" s="8">
        <f t="shared" si="72"/>
        <v>24</v>
      </c>
      <c r="D1535" s="8">
        <f t="shared" si="73"/>
        <v>38</v>
      </c>
      <c r="E1535" s="8">
        <f>IFERROR(VLOOKUP(D1535,$H$4:$I$70,2,0),"")</f>
        <v>351</v>
      </c>
      <c r="F1535" s="9">
        <f>IFERROR(VLOOKUP(C1535,$H$4:$I$70,2,0),"")</f>
        <v>442</v>
      </c>
    </row>
    <row r="1536" spans="2:6" x14ac:dyDescent="0.2">
      <c r="B1536" s="13">
        <f t="shared" si="71"/>
        <v>1533</v>
      </c>
      <c r="C1536" s="8">
        <f t="shared" si="72"/>
        <v>25</v>
      </c>
      <c r="D1536" s="8">
        <f t="shared" si="73"/>
        <v>38</v>
      </c>
      <c r="E1536" s="8">
        <f>IFERROR(VLOOKUP(D1536,$H$4:$I$70,2,0),"")</f>
        <v>351</v>
      </c>
      <c r="F1536" s="9">
        <f>IFERROR(VLOOKUP(C1536,$H$4:$I$70,2,0),"")</f>
        <v>420</v>
      </c>
    </row>
    <row r="1537" spans="2:6" x14ac:dyDescent="0.2">
      <c r="B1537" s="13">
        <f t="shared" si="71"/>
        <v>1534</v>
      </c>
      <c r="C1537" s="8">
        <f t="shared" si="72"/>
        <v>26</v>
      </c>
      <c r="D1537" s="8">
        <f t="shared" si="73"/>
        <v>38</v>
      </c>
      <c r="E1537" s="8">
        <f>IFERROR(VLOOKUP(D1537,$H$4:$I$70,2,0),"")</f>
        <v>351</v>
      </c>
      <c r="F1537" s="9">
        <f>IFERROR(VLOOKUP(C1537,$H$4:$I$70,2,0),"")</f>
        <v>410</v>
      </c>
    </row>
    <row r="1538" spans="2:6" x14ac:dyDescent="0.2">
      <c r="B1538" s="13">
        <f t="shared" si="71"/>
        <v>1535</v>
      </c>
      <c r="C1538" s="8">
        <f t="shared" si="72"/>
        <v>27</v>
      </c>
      <c r="D1538" s="8">
        <f t="shared" si="73"/>
        <v>38</v>
      </c>
      <c r="E1538" s="8">
        <f>IFERROR(VLOOKUP(D1538,$H$4:$I$70,2,0),"")</f>
        <v>351</v>
      </c>
      <c r="F1538" s="9">
        <f>IFERROR(VLOOKUP(C1538,$H$4:$I$70,2,0),"")</f>
        <v>409</v>
      </c>
    </row>
    <row r="1539" spans="2:6" x14ac:dyDescent="0.2">
      <c r="B1539" s="13">
        <f t="shared" si="71"/>
        <v>1536</v>
      </c>
      <c r="C1539" s="8">
        <f t="shared" si="72"/>
        <v>28</v>
      </c>
      <c r="D1539" s="8">
        <f t="shared" si="73"/>
        <v>38</v>
      </c>
      <c r="E1539" s="8">
        <f>IFERROR(VLOOKUP(D1539,$H$4:$I$70,2,0),"")</f>
        <v>351</v>
      </c>
      <c r="F1539" s="9">
        <f>IFERROR(VLOOKUP(C1539,$H$4:$I$70,2,0),"")</f>
        <v>408</v>
      </c>
    </row>
    <row r="1540" spans="2:6" x14ac:dyDescent="0.2">
      <c r="B1540" s="13">
        <f t="shared" si="71"/>
        <v>1537</v>
      </c>
      <c r="C1540" s="8">
        <f t="shared" si="72"/>
        <v>29</v>
      </c>
      <c r="D1540" s="8">
        <f t="shared" si="73"/>
        <v>38</v>
      </c>
      <c r="E1540" s="8">
        <f>IFERROR(VLOOKUP(D1540,$H$4:$I$70,2,0),"")</f>
        <v>351</v>
      </c>
      <c r="F1540" s="9">
        <f>IFERROR(VLOOKUP(C1540,$H$4:$I$70,2,0),"")</f>
        <v>404</v>
      </c>
    </row>
    <row r="1541" spans="2:6" x14ac:dyDescent="0.2">
      <c r="B1541" s="13">
        <f t="shared" ref="B1541:B1604" si="74">ROW()-3</f>
        <v>1538</v>
      </c>
      <c r="C1541" s="8">
        <f t="shared" si="72"/>
        <v>30</v>
      </c>
      <c r="D1541" s="8">
        <f t="shared" si="73"/>
        <v>38</v>
      </c>
      <c r="E1541" s="8">
        <f>IFERROR(VLOOKUP(D1541,$H$4:$I$70,2,0),"")</f>
        <v>351</v>
      </c>
      <c r="F1541" s="9">
        <f>IFERROR(VLOOKUP(C1541,$H$4:$I$70,2,0),"")</f>
        <v>399</v>
      </c>
    </row>
    <row r="1542" spans="2:6" x14ac:dyDescent="0.2">
      <c r="B1542" s="13">
        <f t="shared" si="74"/>
        <v>1539</v>
      </c>
      <c r="C1542" s="8">
        <f t="shared" ref="C1542:C1605" si="75">IF((D1541-C1541)=1,1,C1541+1)</f>
        <v>31</v>
      </c>
      <c r="D1542" s="8">
        <f t="shared" ref="D1542:D1605" si="76">IF((D1541-C1541)=1,D1541-1,D1541)</f>
        <v>38</v>
      </c>
      <c r="E1542" s="8">
        <f>IFERROR(VLOOKUP(D1542,$H$4:$I$70,2,0),"")</f>
        <v>351</v>
      </c>
      <c r="F1542" s="9">
        <f>IFERROR(VLOOKUP(C1542,$H$4:$I$70,2,0),"")</f>
        <v>396</v>
      </c>
    </row>
    <row r="1543" spans="2:6" x14ac:dyDescent="0.2">
      <c r="B1543" s="13">
        <f t="shared" si="74"/>
        <v>1540</v>
      </c>
      <c r="C1543" s="8">
        <f t="shared" si="75"/>
        <v>32</v>
      </c>
      <c r="D1543" s="8">
        <f t="shared" si="76"/>
        <v>38</v>
      </c>
      <c r="E1543" s="8">
        <f>IFERROR(VLOOKUP(D1543,$H$4:$I$70,2,0),"")</f>
        <v>351</v>
      </c>
      <c r="F1543" s="9">
        <f>IFERROR(VLOOKUP(C1543,$H$4:$I$70,2,0),"")</f>
        <v>384</v>
      </c>
    </row>
    <row r="1544" spans="2:6" x14ac:dyDescent="0.2">
      <c r="B1544" s="13">
        <f t="shared" si="74"/>
        <v>1541</v>
      </c>
      <c r="C1544" s="8">
        <f t="shared" si="75"/>
        <v>33</v>
      </c>
      <c r="D1544" s="8">
        <f t="shared" si="76"/>
        <v>38</v>
      </c>
      <c r="E1544" s="8">
        <f>IFERROR(VLOOKUP(D1544,$H$4:$I$70,2,0),"")</f>
        <v>351</v>
      </c>
      <c r="F1544" s="9">
        <f>IFERROR(VLOOKUP(C1544,$H$4:$I$70,2,0),"")</f>
        <v>381</v>
      </c>
    </row>
    <row r="1545" spans="2:6" x14ac:dyDescent="0.2">
      <c r="B1545" s="13">
        <f t="shared" si="74"/>
        <v>1542</v>
      </c>
      <c r="C1545" s="8">
        <f t="shared" si="75"/>
        <v>34</v>
      </c>
      <c r="D1545" s="8">
        <f t="shared" si="76"/>
        <v>38</v>
      </c>
      <c r="E1545" s="8">
        <f>IFERROR(VLOOKUP(D1545,$H$4:$I$70,2,0),"")</f>
        <v>351</v>
      </c>
      <c r="F1545" s="9">
        <f>IFERROR(VLOOKUP(C1545,$H$4:$I$70,2,0),"")</f>
        <v>376</v>
      </c>
    </row>
    <row r="1546" spans="2:6" x14ac:dyDescent="0.2">
      <c r="B1546" s="13">
        <f t="shared" si="74"/>
        <v>1543</v>
      </c>
      <c r="C1546" s="8">
        <f t="shared" si="75"/>
        <v>35</v>
      </c>
      <c r="D1546" s="8">
        <f t="shared" si="76"/>
        <v>38</v>
      </c>
      <c r="E1546" s="8">
        <f>IFERROR(VLOOKUP(D1546,$H$4:$I$70,2,0),"")</f>
        <v>351</v>
      </c>
      <c r="F1546" s="9">
        <f>IFERROR(VLOOKUP(C1546,$H$4:$I$70,2,0),"")</f>
        <v>370</v>
      </c>
    </row>
    <row r="1547" spans="2:6" x14ac:dyDescent="0.2">
      <c r="B1547" s="13">
        <f t="shared" si="74"/>
        <v>1544</v>
      </c>
      <c r="C1547" s="8">
        <f t="shared" si="75"/>
        <v>36</v>
      </c>
      <c r="D1547" s="8">
        <f t="shared" si="76"/>
        <v>38</v>
      </c>
      <c r="E1547" s="8">
        <f>IFERROR(VLOOKUP(D1547,$H$4:$I$70,2,0),"")</f>
        <v>351</v>
      </c>
      <c r="F1547" s="9">
        <f>IFERROR(VLOOKUP(C1547,$H$4:$I$70,2,0),"")</f>
        <v>362</v>
      </c>
    </row>
    <row r="1548" spans="2:6" x14ac:dyDescent="0.2">
      <c r="B1548" s="13">
        <f t="shared" si="74"/>
        <v>1545</v>
      </c>
      <c r="C1548" s="8">
        <f t="shared" si="75"/>
        <v>37</v>
      </c>
      <c r="D1548" s="8">
        <f t="shared" si="76"/>
        <v>38</v>
      </c>
      <c r="E1548" s="8">
        <f>IFERROR(VLOOKUP(D1548,$H$4:$I$70,2,0),"")</f>
        <v>351</v>
      </c>
      <c r="F1548" s="9">
        <f>IFERROR(VLOOKUP(C1548,$H$4:$I$70,2,0),"")</f>
        <v>357</v>
      </c>
    </row>
    <row r="1549" spans="2:6" x14ac:dyDescent="0.2">
      <c r="B1549" s="13">
        <f t="shared" si="74"/>
        <v>1546</v>
      </c>
      <c r="C1549" s="8">
        <f t="shared" si="75"/>
        <v>1</v>
      </c>
      <c r="D1549" s="8">
        <f t="shared" si="76"/>
        <v>37</v>
      </c>
      <c r="E1549" s="8">
        <f>IFERROR(VLOOKUP(D1549,$H$4:$I$70,2,0),"")</f>
        <v>357</v>
      </c>
      <c r="F1549" s="9">
        <f>IFERROR(VLOOKUP(C1549,$H$4:$I$70,2,0),"")</f>
        <v>1344</v>
      </c>
    </row>
    <row r="1550" spans="2:6" x14ac:dyDescent="0.2">
      <c r="B1550" s="13">
        <f t="shared" si="74"/>
        <v>1547</v>
      </c>
      <c r="C1550" s="8">
        <f t="shared" si="75"/>
        <v>2</v>
      </c>
      <c r="D1550" s="8">
        <f t="shared" si="76"/>
        <v>37</v>
      </c>
      <c r="E1550" s="8">
        <f>IFERROR(VLOOKUP(D1550,$H$4:$I$70,2,0),"")</f>
        <v>357</v>
      </c>
      <c r="F1550" s="9">
        <f>IFERROR(VLOOKUP(C1550,$H$4:$I$70,2,0),"")</f>
        <v>1048</v>
      </c>
    </row>
    <row r="1551" spans="2:6" x14ac:dyDescent="0.2">
      <c r="B1551" s="13">
        <f t="shared" si="74"/>
        <v>1548</v>
      </c>
      <c r="C1551" s="8">
        <f t="shared" si="75"/>
        <v>3</v>
      </c>
      <c r="D1551" s="8">
        <f t="shared" si="76"/>
        <v>37</v>
      </c>
      <c r="E1551" s="8">
        <f>IFERROR(VLOOKUP(D1551,$H$4:$I$70,2,0),"")</f>
        <v>357</v>
      </c>
      <c r="F1551" s="9">
        <f>IFERROR(VLOOKUP(C1551,$H$4:$I$70,2,0),"")</f>
        <v>1025</v>
      </c>
    </row>
    <row r="1552" spans="2:6" x14ac:dyDescent="0.2">
      <c r="B1552" s="13">
        <f t="shared" si="74"/>
        <v>1549</v>
      </c>
      <c r="C1552" s="8">
        <f t="shared" si="75"/>
        <v>4</v>
      </c>
      <c r="D1552" s="8">
        <f t="shared" si="76"/>
        <v>37</v>
      </c>
      <c r="E1552" s="8">
        <f>IFERROR(VLOOKUP(D1552,$H$4:$I$70,2,0),"")</f>
        <v>357</v>
      </c>
      <c r="F1552" s="9">
        <f>IFERROR(VLOOKUP(C1552,$H$4:$I$70,2,0),"")</f>
        <v>805</v>
      </c>
    </row>
    <row r="1553" spans="2:6" x14ac:dyDescent="0.2">
      <c r="B1553" s="13">
        <f t="shared" si="74"/>
        <v>1550</v>
      </c>
      <c r="C1553" s="8">
        <f t="shared" si="75"/>
        <v>5</v>
      </c>
      <c r="D1553" s="8">
        <f t="shared" si="76"/>
        <v>37</v>
      </c>
      <c r="E1553" s="8">
        <f>IFERROR(VLOOKUP(D1553,$H$4:$I$70,2,0),"")</f>
        <v>357</v>
      </c>
      <c r="F1553" s="9">
        <f>IFERROR(VLOOKUP(C1553,$H$4:$I$70,2,0),"")</f>
        <v>666</v>
      </c>
    </row>
    <row r="1554" spans="2:6" x14ac:dyDescent="0.2">
      <c r="B1554" s="13">
        <f t="shared" si="74"/>
        <v>1551</v>
      </c>
      <c r="C1554" s="8">
        <f t="shared" si="75"/>
        <v>6</v>
      </c>
      <c r="D1554" s="8">
        <f t="shared" si="76"/>
        <v>37</v>
      </c>
      <c r="E1554" s="8">
        <f>IFERROR(VLOOKUP(D1554,$H$4:$I$70,2,0),"")</f>
        <v>357</v>
      </c>
      <c r="F1554" s="9">
        <f>IFERROR(VLOOKUP(C1554,$H$4:$I$70,2,0),"")</f>
        <v>655</v>
      </c>
    </row>
    <row r="1555" spans="2:6" x14ac:dyDescent="0.2">
      <c r="B1555" s="13">
        <f t="shared" si="74"/>
        <v>1552</v>
      </c>
      <c r="C1555" s="8">
        <f t="shared" si="75"/>
        <v>7</v>
      </c>
      <c r="D1555" s="8">
        <f t="shared" si="76"/>
        <v>37</v>
      </c>
      <c r="E1555" s="8">
        <f>IFERROR(VLOOKUP(D1555,$H$4:$I$70,2,0),"")</f>
        <v>357</v>
      </c>
      <c r="F1555" s="9">
        <f>IFERROR(VLOOKUP(C1555,$H$4:$I$70,2,0),"")</f>
        <v>652</v>
      </c>
    </row>
    <row r="1556" spans="2:6" x14ac:dyDescent="0.2">
      <c r="B1556" s="13">
        <f t="shared" si="74"/>
        <v>1553</v>
      </c>
      <c r="C1556" s="8">
        <f t="shared" si="75"/>
        <v>8</v>
      </c>
      <c r="D1556" s="8">
        <f t="shared" si="76"/>
        <v>37</v>
      </c>
      <c r="E1556" s="8">
        <f>IFERROR(VLOOKUP(D1556,$H$4:$I$70,2,0),"")</f>
        <v>357</v>
      </c>
      <c r="F1556" s="9">
        <f>IFERROR(VLOOKUP(C1556,$H$4:$I$70,2,0),"")</f>
        <v>633</v>
      </c>
    </row>
    <row r="1557" spans="2:6" x14ac:dyDescent="0.2">
      <c r="B1557" s="13">
        <f t="shared" si="74"/>
        <v>1554</v>
      </c>
      <c r="C1557" s="8">
        <f t="shared" si="75"/>
        <v>9</v>
      </c>
      <c r="D1557" s="8">
        <f t="shared" si="76"/>
        <v>37</v>
      </c>
      <c r="E1557" s="8">
        <f>IFERROR(VLOOKUP(D1557,$H$4:$I$70,2,0),"")</f>
        <v>357</v>
      </c>
      <c r="F1557" s="9">
        <f>IFERROR(VLOOKUP(C1557,$H$4:$I$70,2,0),"")</f>
        <v>632</v>
      </c>
    </row>
    <row r="1558" spans="2:6" x14ac:dyDescent="0.2">
      <c r="B1558" s="13">
        <f t="shared" si="74"/>
        <v>1555</v>
      </c>
      <c r="C1558" s="8">
        <f t="shared" si="75"/>
        <v>10</v>
      </c>
      <c r="D1558" s="8">
        <f t="shared" si="76"/>
        <v>37</v>
      </c>
      <c r="E1558" s="8">
        <f>IFERROR(VLOOKUP(D1558,$H$4:$I$70,2,0),"")</f>
        <v>357</v>
      </c>
      <c r="F1558" s="9">
        <f>IFERROR(VLOOKUP(C1558,$H$4:$I$70,2,0),"")</f>
        <v>625</v>
      </c>
    </row>
    <row r="1559" spans="2:6" x14ac:dyDescent="0.2">
      <c r="B1559" s="13">
        <f t="shared" si="74"/>
        <v>1556</v>
      </c>
      <c r="C1559" s="8">
        <f t="shared" si="75"/>
        <v>11</v>
      </c>
      <c r="D1559" s="8">
        <f t="shared" si="76"/>
        <v>37</v>
      </c>
      <c r="E1559" s="8">
        <f>IFERROR(VLOOKUP(D1559,$H$4:$I$70,2,0),"")</f>
        <v>357</v>
      </c>
      <c r="F1559" s="9">
        <f>IFERROR(VLOOKUP(C1559,$H$4:$I$70,2,0),"")</f>
        <v>619</v>
      </c>
    </row>
    <row r="1560" spans="2:6" x14ac:dyDescent="0.2">
      <c r="B1560" s="13">
        <f t="shared" si="74"/>
        <v>1557</v>
      </c>
      <c r="C1560" s="8">
        <f t="shared" si="75"/>
        <v>12</v>
      </c>
      <c r="D1560" s="8">
        <f t="shared" si="76"/>
        <v>37</v>
      </c>
      <c r="E1560" s="8">
        <f>IFERROR(VLOOKUP(D1560,$H$4:$I$70,2,0),"")</f>
        <v>357</v>
      </c>
      <c r="F1560" s="9">
        <f>IFERROR(VLOOKUP(C1560,$H$4:$I$70,2,0),"")</f>
        <v>610</v>
      </c>
    </row>
    <row r="1561" spans="2:6" x14ac:dyDescent="0.2">
      <c r="B1561" s="13">
        <f t="shared" si="74"/>
        <v>1558</v>
      </c>
      <c r="C1561" s="8">
        <f t="shared" si="75"/>
        <v>13</v>
      </c>
      <c r="D1561" s="8">
        <f t="shared" si="76"/>
        <v>37</v>
      </c>
      <c r="E1561" s="8">
        <f>IFERROR(VLOOKUP(D1561,$H$4:$I$70,2,0),"")</f>
        <v>357</v>
      </c>
      <c r="F1561" s="9">
        <f>IFERROR(VLOOKUP(C1561,$H$4:$I$70,2,0),"")</f>
        <v>599</v>
      </c>
    </row>
    <row r="1562" spans="2:6" x14ac:dyDescent="0.2">
      <c r="B1562" s="13">
        <f t="shared" si="74"/>
        <v>1559</v>
      </c>
      <c r="C1562" s="8">
        <f t="shared" si="75"/>
        <v>14</v>
      </c>
      <c r="D1562" s="8">
        <f t="shared" si="76"/>
        <v>37</v>
      </c>
      <c r="E1562" s="8">
        <f>IFERROR(VLOOKUP(D1562,$H$4:$I$70,2,0),"")</f>
        <v>357</v>
      </c>
      <c r="F1562" s="9">
        <f>IFERROR(VLOOKUP(C1562,$H$4:$I$70,2,0),"")</f>
        <v>559</v>
      </c>
    </row>
    <row r="1563" spans="2:6" x14ac:dyDescent="0.2">
      <c r="B1563" s="13">
        <f t="shared" si="74"/>
        <v>1560</v>
      </c>
      <c r="C1563" s="8">
        <f t="shared" si="75"/>
        <v>15</v>
      </c>
      <c r="D1563" s="8">
        <f t="shared" si="76"/>
        <v>37</v>
      </c>
      <c r="E1563" s="8">
        <f>IFERROR(VLOOKUP(D1563,$H$4:$I$70,2,0),"")</f>
        <v>357</v>
      </c>
      <c r="F1563" s="9">
        <f>IFERROR(VLOOKUP(C1563,$H$4:$I$70,2,0),"")</f>
        <v>556</v>
      </c>
    </row>
    <row r="1564" spans="2:6" x14ac:dyDescent="0.2">
      <c r="B1564" s="13">
        <f t="shared" si="74"/>
        <v>1561</v>
      </c>
      <c r="C1564" s="8">
        <f t="shared" si="75"/>
        <v>16</v>
      </c>
      <c r="D1564" s="8">
        <f t="shared" si="76"/>
        <v>37</v>
      </c>
      <c r="E1564" s="8">
        <f>IFERROR(VLOOKUP(D1564,$H$4:$I$70,2,0),"")</f>
        <v>357</v>
      </c>
      <c r="F1564" s="9">
        <f>IFERROR(VLOOKUP(C1564,$H$4:$I$70,2,0),"")</f>
        <v>540</v>
      </c>
    </row>
    <row r="1565" spans="2:6" x14ac:dyDescent="0.2">
      <c r="B1565" s="13">
        <f t="shared" si="74"/>
        <v>1562</v>
      </c>
      <c r="C1565" s="8">
        <f t="shared" si="75"/>
        <v>17</v>
      </c>
      <c r="D1565" s="8">
        <f t="shared" si="76"/>
        <v>37</v>
      </c>
      <c r="E1565" s="8">
        <f>IFERROR(VLOOKUP(D1565,$H$4:$I$70,2,0),"")</f>
        <v>357</v>
      </c>
      <c r="F1565" s="9">
        <f>IFERROR(VLOOKUP(C1565,$H$4:$I$70,2,0),"")</f>
        <v>536</v>
      </c>
    </row>
    <row r="1566" spans="2:6" x14ac:dyDescent="0.2">
      <c r="B1566" s="13">
        <f t="shared" si="74"/>
        <v>1563</v>
      </c>
      <c r="C1566" s="8">
        <f t="shared" si="75"/>
        <v>18</v>
      </c>
      <c r="D1566" s="8">
        <f t="shared" si="76"/>
        <v>37</v>
      </c>
      <c r="E1566" s="8">
        <f>IFERROR(VLOOKUP(D1566,$H$4:$I$70,2,0),"")</f>
        <v>357</v>
      </c>
      <c r="F1566" s="9">
        <f>IFERROR(VLOOKUP(C1566,$H$4:$I$70,2,0),"")</f>
        <v>527</v>
      </c>
    </row>
    <row r="1567" spans="2:6" x14ac:dyDescent="0.2">
      <c r="B1567" s="13">
        <f t="shared" si="74"/>
        <v>1564</v>
      </c>
      <c r="C1567" s="8">
        <f t="shared" si="75"/>
        <v>19</v>
      </c>
      <c r="D1567" s="8">
        <f t="shared" si="76"/>
        <v>37</v>
      </c>
      <c r="E1567" s="8">
        <f>IFERROR(VLOOKUP(D1567,$H$4:$I$70,2,0),"")</f>
        <v>357</v>
      </c>
      <c r="F1567" s="9">
        <f>IFERROR(VLOOKUP(C1567,$H$4:$I$70,2,0),"")</f>
        <v>478</v>
      </c>
    </row>
    <row r="1568" spans="2:6" x14ac:dyDescent="0.2">
      <c r="B1568" s="13">
        <f t="shared" si="74"/>
        <v>1565</v>
      </c>
      <c r="C1568" s="8">
        <f t="shared" si="75"/>
        <v>20</v>
      </c>
      <c r="D1568" s="8">
        <f t="shared" si="76"/>
        <v>37</v>
      </c>
      <c r="E1568" s="8">
        <f>IFERROR(VLOOKUP(D1568,$H$4:$I$70,2,0),"")</f>
        <v>357</v>
      </c>
      <c r="F1568" s="9">
        <f>IFERROR(VLOOKUP(C1568,$H$4:$I$70,2,0),"")</f>
        <v>474</v>
      </c>
    </row>
    <row r="1569" spans="2:6" x14ac:dyDescent="0.2">
      <c r="B1569" s="13">
        <f t="shared" si="74"/>
        <v>1566</v>
      </c>
      <c r="C1569" s="8">
        <f t="shared" si="75"/>
        <v>21</v>
      </c>
      <c r="D1569" s="8">
        <f t="shared" si="76"/>
        <v>37</v>
      </c>
      <c r="E1569" s="8">
        <f>IFERROR(VLOOKUP(D1569,$H$4:$I$70,2,0),"")</f>
        <v>357</v>
      </c>
      <c r="F1569" s="9">
        <f>IFERROR(VLOOKUP(C1569,$H$4:$I$70,2,0),"")</f>
        <v>468</v>
      </c>
    </row>
    <row r="1570" spans="2:6" x14ac:dyDescent="0.2">
      <c r="B1570" s="13">
        <f t="shared" si="74"/>
        <v>1567</v>
      </c>
      <c r="C1570" s="8">
        <f t="shared" si="75"/>
        <v>22</v>
      </c>
      <c r="D1570" s="8">
        <f t="shared" si="76"/>
        <v>37</v>
      </c>
      <c r="E1570" s="8">
        <f>IFERROR(VLOOKUP(D1570,$H$4:$I$70,2,0),"")</f>
        <v>357</v>
      </c>
      <c r="F1570" s="9">
        <f>IFERROR(VLOOKUP(C1570,$H$4:$I$70,2,0),"")</f>
        <v>457</v>
      </c>
    </row>
    <row r="1571" spans="2:6" x14ac:dyDescent="0.2">
      <c r="B1571" s="13">
        <f t="shared" si="74"/>
        <v>1568</v>
      </c>
      <c r="C1571" s="8">
        <f t="shared" si="75"/>
        <v>23</v>
      </c>
      <c r="D1571" s="8">
        <f t="shared" si="76"/>
        <v>37</v>
      </c>
      <c r="E1571" s="8">
        <f>IFERROR(VLOOKUP(D1571,$H$4:$I$70,2,0),"")</f>
        <v>357</v>
      </c>
      <c r="F1571" s="9">
        <f>IFERROR(VLOOKUP(C1571,$H$4:$I$70,2,0),"")</f>
        <v>452</v>
      </c>
    </row>
    <row r="1572" spans="2:6" x14ac:dyDescent="0.2">
      <c r="B1572" s="13">
        <f t="shared" si="74"/>
        <v>1569</v>
      </c>
      <c r="C1572" s="8">
        <f t="shared" si="75"/>
        <v>24</v>
      </c>
      <c r="D1572" s="8">
        <f t="shared" si="76"/>
        <v>37</v>
      </c>
      <c r="E1572" s="8">
        <f>IFERROR(VLOOKUP(D1572,$H$4:$I$70,2,0),"")</f>
        <v>357</v>
      </c>
      <c r="F1572" s="9">
        <f>IFERROR(VLOOKUP(C1572,$H$4:$I$70,2,0),"")</f>
        <v>442</v>
      </c>
    </row>
    <row r="1573" spans="2:6" x14ac:dyDescent="0.2">
      <c r="B1573" s="13">
        <f t="shared" si="74"/>
        <v>1570</v>
      </c>
      <c r="C1573" s="8">
        <f t="shared" si="75"/>
        <v>25</v>
      </c>
      <c r="D1573" s="8">
        <f t="shared" si="76"/>
        <v>37</v>
      </c>
      <c r="E1573" s="8">
        <f>IFERROR(VLOOKUP(D1573,$H$4:$I$70,2,0),"")</f>
        <v>357</v>
      </c>
      <c r="F1573" s="9">
        <f>IFERROR(VLOOKUP(C1573,$H$4:$I$70,2,0),"")</f>
        <v>420</v>
      </c>
    </row>
    <row r="1574" spans="2:6" x14ac:dyDescent="0.2">
      <c r="B1574" s="13">
        <f t="shared" si="74"/>
        <v>1571</v>
      </c>
      <c r="C1574" s="8">
        <f t="shared" si="75"/>
        <v>26</v>
      </c>
      <c r="D1574" s="8">
        <f t="shared" si="76"/>
        <v>37</v>
      </c>
      <c r="E1574" s="8">
        <f>IFERROR(VLOOKUP(D1574,$H$4:$I$70,2,0),"")</f>
        <v>357</v>
      </c>
      <c r="F1574" s="9">
        <f>IFERROR(VLOOKUP(C1574,$H$4:$I$70,2,0),"")</f>
        <v>410</v>
      </c>
    </row>
    <row r="1575" spans="2:6" x14ac:dyDescent="0.2">
      <c r="B1575" s="13">
        <f t="shared" si="74"/>
        <v>1572</v>
      </c>
      <c r="C1575" s="8">
        <f t="shared" si="75"/>
        <v>27</v>
      </c>
      <c r="D1575" s="8">
        <f t="shared" si="76"/>
        <v>37</v>
      </c>
      <c r="E1575" s="8">
        <f>IFERROR(VLOOKUP(D1575,$H$4:$I$70,2,0),"")</f>
        <v>357</v>
      </c>
      <c r="F1575" s="9">
        <f>IFERROR(VLOOKUP(C1575,$H$4:$I$70,2,0),"")</f>
        <v>409</v>
      </c>
    </row>
    <row r="1576" spans="2:6" x14ac:dyDescent="0.2">
      <c r="B1576" s="13">
        <f t="shared" si="74"/>
        <v>1573</v>
      </c>
      <c r="C1576" s="8">
        <f t="shared" si="75"/>
        <v>28</v>
      </c>
      <c r="D1576" s="8">
        <f t="shared" si="76"/>
        <v>37</v>
      </c>
      <c r="E1576" s="8">
        <f>IFERROR(VLOOKUP(D1576,$H$4:$I$70,2,0),"")</f>
        <v>357</v>
      </c>
      <c r="F1576" s="9">
        <f>IFERROR(VLOOKUP(C1576,$H$4:$I$70,2,0),"")</f>
        <v>408</v>
      </c>
    </row>
    <row r="1577" spans="2:6" x14ac:dyDescent="0.2">
      <c r="B1577" s="13">
        <f t="shared" si="74"/>
        <v>1574</v>
      </c>
      <c r="C1577" s="8">
        <f t="shared" si="75"/>
        <v>29</v>
      </c>
      <c r="D1577" s="8">
        <f t="shared" si="76"/>
        <v>37</v>
      </c>
      <c r="E1577" s="8">
        <f>IFERROR(VLOOKUP(D1577,$H$4:$I$70,2,0),"")</f>
        <v>357</v>
      </c>
      <c r="F1577" s="9">
        <f>IFERROR(VLOOKUP(C1577,$H$4:$I$70,2,0),"")</f>
        <v>404</v>
      </c>
    </row>
    <row r="1578" spans="2:6" x14ac:dyDescent="0.2">
      <c r="B1578" s="13">
        <f t="shared" si="74"/>
        <v>1575</v>
      </c>
      <c r="C1578" s="8">
        <f t="shared" si="75"/>
        <v>30</v>
      </c>
      <c r="D1578" s="8">
        <f t="shared" si="76"/>
        <v>37</v>
      </c>
      <c r="E1578" s="8">
        <f>IFERROR(VLOOKUP(D1578,$H$4:$I$70,2,0),"")</f>
        <v>357</v>
      </c>
      <c r="F1578" s="9">
        <f>IFERROR(VLOOKUP(C1578,$H$4:$I$70,2,0),"")</f>
        <v>399</v>
      </c>
    </row>
    <row r="1579" spans="2:6" x14ac:dyDescent="0.2">
      <c r="B1579" s="13">
        <f t="shared" si="74"/>
        <v>1576</v>
      </c>
      <c r="C1579" s="8">
        <f t="shared" si="75"/>
        <v>31</v>
      </c>
      <c r="D1579" s="8">
        <f t="shared" si="76"/>
        <v>37</v>
      </c>
      <c r="E1579" s="8">
        <f>IFERROR(VLOOKUP(D1579,$H$4:$I$70,2,0),"")</f>
        <v>357</v>
      </c>
      <c r="F1579" s="9">
        <f>IFERROR(VLOOKUP(C1579,$H$4:$I$70,2,0),"")</f>
        <v>396</v>
      </c>
    </row>
    <row r="1580" spans="2:6" x14ac:dyDescent="0.2">
      <c r="B1580" s="13">
        <f t="shared" si="74"/>
        <v>1577</v>
      </c>
      <c r="C1580" s="8">
        <f t="shared" si="75"/>
        <v>32</v>
      </c>
      <c r="D1580" s="8">
        <f t="shared" si="76"/>
        <v>37</v>
      </c>
      <c r="E1580" s="8">
        <f>IFERROR(VLOOKUP(D1580,$H$4:$I$70,2,0),"")</f>
        <v>357</v>
      </c>
      <c r="F1580" s="9">
        <f>IFERROR(VLOOKUP(C1580,$H$4:$I$70,2,0),"")</f>
        <v>384</v>
      </c>
    </row>
    <row r="1581" spans="2:6" x14ac:dyDescent="0.2">
      <c r="B1581" s="13">
        <f t="shared" si="74"/>
        <v>1578</v>
      </c>
      <c r="C1581" s="8">
        <f t="shared" si="75"/>
        <v>33</v>
      </c>
      <c r="D1581" s="8">
        <f t="shared" si="76"/>
        <v>37</v>
      </c>
      <c r="E1581" s="8">
        <f>IFERROR(VLOOKUP(D1581,$H$4:$I$70,2,0),"")</f>
        <v>357</v>
      </c>
      <c r="F1581" s="9">
        <f>IFERROR(VLOOKUP(C1581,$H$4:$I$70,2,0),"")</f>
        <v>381</v>
      </c>
    </row>
    <row r="1582" spans="2:6" x14ac:dyDescent="0.2">
      <c r="B1582" s="13">
        <f t="shared" si="74"/>
        <v>1579</v>
      </c>
      <c r="C1582" s="8">
        <f t="shared" si="75"/>
        <v>34</v>
      </c>
      <c r="D1582" s="8">
        <f t="shared" si="76"/>
        <v>37</v>
      </c>
      <c r="E1582" s="8">
        <f>IFERROR(VLOOKUP(D1582,$H$4:$I$70,2,0),"")</f>
        <v>357</v>
      </c>
      <c r="F1582" s="9">
        <f>IFERROR(VLOOKUP(C1582,$H$4:$I$70,2,0),"")</f>
        <v>376</v>
      </c>
    </row>
    <row r="1583" spans="2:6" x14ac:dyDescent="0.2">
      <c r="B1583" s="13">
        <f t="shared" si="74"/>
        <v>1580</v>
      </c>
      <c r="C1583" s="8">
        <f t="shared" si="75"/>
        <v>35</v>
      </c>
      <c r="D1583" s="8">
        <f t="shared" si="76"/>
        <v>37</v>
      </c>
      <c r="E1583" s="8">
        <f>IFERROR(VLOOKUP(D1583,$H$4:$I$70,2,0),"")</f>
        <v>357</v>
      </c>
      <c r="F1583" s="9">
        <f>IFERROR(VLOOKUP(C1583,$H$4:$I$70,2,0),"")</f>
        <v>370</v>
      </c>
    </row>
    <row r="1584" spans="2:6" x14ac:dyDescent="0.2">
      <c r="B1584" s="13">
        <f t="shared" si="74"/>
        <v>1581</v>
      </c>
      <c r="C1584" s="8">
        <f t="shared" si="75"/>
        <v>36</v>
      </c>
      <c r="D1584" s="8">
        <f t="shared" si="76"/>
        <v>37</v>
      </c>
      <c r="E1584" s="8">
        <f>IFERROR(VLOOKUP(D1584,$H$4:$I$70,2,0),"")</f>
        <v>357</v>
      </c>
      <c r="F1584" s="9">
        <f>IFERROR(VLOOKUP(C1584,$H$4:$I$70,2,0),"")</f>
        <v>362</v>
      </c>
    </row>
    <row r="1585" spans="2:6" x14ac:dyDescent="0.2">
      <c r="B1585" s="13">
        <f t="shared" si="74"/>
        <v>1582</v>
      </c>
      <c r="C1585" s="8">
        <f t="shared" si="75"/>
        <v>1</v>
      </c>
      <c r="D1585" s="8">
        <f t="shared" si="76"/>
        <v>36</v>
      </c>
      <c r="E1585" s="8">
        <f>IFERROR(VLOOKUP(D1585,$H$4:$I$70,2,0),"")</f>
        <v>362</v>
      </c>
      <c r="F1585" s="9">
        <f>IFERROR(VLOOKUP(C1585,$H$4:$I$70,2,0),"")</f>
        <v>1344</v>
      </c>
    </row>
    <row r="1586" spans="2:6" x14ac:dyDescent="0.2">
      <c r="B1586" s="13">
        <f t="shared" si="74"/>
        <v>1583</v>
      </c>
      <c r="C1586" s="8">
        <f t="shared" si="75"/>
        <v>2</v>
      </c>
      <c r="D1586" s="8">
        <f t="shared" si="76"/>
        <v>36</v>
      </c>
      <c r="E1586" s="8">
        <f>IFERROR(VLOOKUP(D1586,$H$4:$I$70,2,0),"")</f>
        <v>362</v>
      </c>
      <c r="F1586" s="9">
        <f>IFERROR(VLOOKUP(C1586,$H$4:$I$70,2,0),"")</f>
        <v>1048</v>
      </c>
    </row>
    <row r="1587" spans="2:6" x14ac:dyDescent="0.2">
      <c r="B1587" s="13">
        <f t="shared" si="74"/>
        <v>1584</v>
      </c>
      <c r="C1587" s="8">
        <f t="shared" si="75"/>
        <v>3</v>
      </c>
      <c r="D1587" s="8">
        <f t="shared" si="76"/>
        <v>36</v>
      </c>
      <c r="E1587" s="8">
        <f>IFERROR(VLOOKUP(D1587,$H$4:$I$70,2,0),"")</f>
        <v>362</v>
      </c>
      <c r="F1587" s="9">
        <f>IFERROR(VLOOKUP(C1587,$H$4:$I$70,2,0),"")</f>
        <v>1025</v>
      </c>
    </row>
    <row r="1588" spans="2:6" x14ac:dyDescent="0.2">
      <c r="B1588" s="13">
        <f t="shared" si="74"/>
        <v>1585</v>
      </c>
      <c r="C1588" s="8">
        <f t="shared" si="75"/>
        <v>4</v>
      </c>
      <c r="D1588" s="8">
        <f t="shared" si="76"/>
        <v>36</v>
      </c>
      <c r="E1588" s="8">
        <f>IFERROR(VLOOKUP(D1588,$H$4:$I$70,2,0),"")</f>
        <v>362</v>
      </c>
      <c r="F1588" s="9">
        <f>IFERROR(VLOOKUP(C1588,$H$4:$I$70,2,0),"")</f>
        <v>805</v>
      </c>
    </row>
    <row r="1589" spans="2:6" x14ac:dyDescent="0.2">
      <c r="B1589" s="13">
        <f t="shared" si="74"/>
        <v>1586</v>
      </c>
      <c r="C1589" s="8">
        <f t="shared" si="75"/>
        <v>5</v>
      </c>
      <c r="D1589" s="8">
        <f t="shared" si="76"/>
        <v>36</v>
      </c>
      <c r="E1589" s="8">
        <f>IFERROR(VLOOKUP(D1589,$H$4:$I$70,2,0),"")</f>
        <v>362</v>
      </c>
      <c r="F1589" s="9">
        <f>IFERROR(VLOOKUP(C1589,$H$4:$I$70,2,0),"")</f>
        <v>666</v>
      </c>
    </row>
    <row r="1590" spans="2:6" x14ac:dyDescent="0.2">
      <c r="B1590" s="13">
        <f t="shared" si="74"/>
        <v>1587</v>
      </c>
      <c r="C1590" s="8">
        <f t="shared" si="75"/>
        <v>6</v>
      </c>
      <c r="D1590" s="8">
        <f t="shared" si="76"/>
        <v>36</v>
      </c>
      <c r="E1590" s="8">
        <f>IFERROR(VLOOKUP(D1590,$H$4:$I$70,2,0),"")</f>
        <v>362</v>
      </c>
      <c r="F1590" s="9">
        <f>IFERROR(VLOOKUP(C1590,$H$4:$I$70,2,0),"")</f>
        <v>655</v>
      </c>
    </row>
    <row r="1591" spans="2:6" x14ac:dyDescent="0.2">
      <c r="B1591" s="13">
        <f t="shared" si="74"/>
        <v>1588</v>
      </c>
      <c r="C1591" s="8">
        <f t="shared" si="75"/>
        <v>7</v>
      </c>
      <c r="D1591" s="8">
        <f t="shared" si="76"/>
        <v>36</v>
      </c>
      <c r="E1591" s="8">
        <f>IFERROR(VLOOKUP(D1591,$H$4:$I$70,2,0),"")</f>
        <v>362</v>
      </c>
      <c r="F1591" s="9">
        <f>IFERROR(VLOOKUP(C1591,$H$4:$I$70,2,0),"")</f>
        <v>652</v>
      </c>
    </row>
    <row r="1592" spans="2:6" x14ac:dyDescent="0.2">
      <c r="B1592" s="13">
        <f t="shared" si="74"/>
        <v>1589</v>
      </c>
      <c r="C1592" s="8">
        <f t="shared" si="75"/>
        <v>8</v>
      </c>
      <c r="D1592" s="8">
        <f t="shared" si="76"/>
        <v>36</v>
      </c>
      <c r="E1592" s="8">
        <f>IFERROR(VLOOKUP(D1592,$H$4:$I$70,2,0),"")</f>
        <v>362</v>
      </c>
      <c r="F1592" s="9">
        <f>IFERROR(VLOOKUP(C1592,$H$4:$I$70,2,0),"")</f>
        <v>633</v>
      </c>
    </row>
    <row r="1593" spans="2:6" x14ac:dyDescent="0.2">
      <c r="B1593" s="13">
        <f t="shared" si="74"/>
        <v>1590</v>
      </c>
      <c r="C1593" s="8">
        <f t="shared" si="75"/>
        <v>9</v>
      </c>
      <c r="D1593" s="8">
        <f t="shared" si="76"/>
        <v>36</v>
      </c>
      <c r="E1593" s="8">
        <f>IFERROR(VLOOKUP(D1593,$H$4:$I$70,2,0),"")</f>
        <v>362</v>
      </c>
      <c r="F1593" s="9">
        <f>IFERROR(VLOOKUP(C1593,$H$4:$I$70,2,0),"")</f>
        <v>632</v>
      </c>
    </row>
    <row r="1594" spans="2:6" x14ac:dyDescent="0.2">
      <c r="B1594" s="13">
        <f t="shared" si="74"/>
        <v>1591</v>
      </c>
      <c r="C1594" s="8">
        <f t="shared" si="75"/>
        <v>10</v>
      </c>
      <c r="D1594" s="8">
        <f t="shared" si="76"/>
        <v>36</v>
      </c>
      <c r="E1594" s="8">
        <f>IFERROR(VLOOKUP(D1594,$H$4:$I$70,2,0),"")</f>
        <v>362</v>
      </c>
      <c r="F1594" s="9">
        <f>IFERROR(VLOOKUP(C1594,$H$4:$I$70,2,0),"")</f>
        <v>625</v>
      </c>
    </row>
    <row r="1595" spans="2:6" x14ac:dyDescent="0.2">
      <c r="B1595" s="13">
        <f t="shared" si="74"/>
        <v>1592</v>
      </c>
      <c r="C1595" s="8">
        <f t="shared" si="75"/>
        <v>11</v>
      </c>
      <c r="D1595" s="8">
        <f t="shared" si="76"/>
        <v>36</v>
      </c>
      <c r="E1595" s="8">
        <f>IFERROR(VLOOKUP(D1595,$H$4:$I$70,2,0),"")</f>
        <v>362</v>
      </c>
      <c r="F1595" s="9">
        <f>IFERROR(VLOOKUP(C1595,$H$4:$I$70,2,0),"")</f>
        <v>619</v>
      </c>
    </row>
    <row r="1596" spans="2:6" x14ac:dyDescent="0.2">
      <c r="B1596" s="13">
        <f t="shared" si="74"/>
        <v>1593</v>
      </c>
      <c r="C1596" s="8">
        <f t="shared" si="75"/>
        <v>12</v>
      </c>
      <c r="D1596" s="8">
        <f t="shared" si="76"/>
        <v>36</v>
      </c>
      <c r="E1596" s="8">
        <f>IFERROR(VLOOKUP(D1596,$H$4:$I$70,2,0),"")</f>
        <v>362</v>
      </c>
      <c r="F1596" s="9">
        <f>IFERROR(VLOOKUP(C1596,$H$4:$I$70,2,0),"")</f>
        <v>610</v>
      </c>
    </row>
    <row r="1597" spans="2:6" x14ac:dyDescent="0.2">
      <c r="B1597" s="13">
        <f t="shared" si="74"/>
        <v>1594</v>
      </c>
      <c r="C1597" s="8">
        <f t="shared" si="75"/>
        <v>13</v>
      </c>
      <c r="D1597" s="8">
        <f t="shared" si="76"/>
        <v>36</v>
      </c>
      <c r="E1597" s="8">
        <f>IFERROR(VLOOKUP(D1597,$H$4:$I$70,2,0),"")</f>
        <v>362</v>
      </c>
      <c r="F1597" s="9">
        <f>IFERROR(VLOOKUP(C1597,$H$4:$I$70,2,0),"")</f>
        <v>599</v>
      </c>
    </row>
    <row r="1598" spans="2:6" x14ac:dyDescent="0.2">
      <c r="B1598" s="13">
        <f t="shared" si="74"/>
        <v>1595</v>
      </c>
      <c r="C1598" s="8">
        <f t="shared" si="75"/>
        <v>14</v>
      </c>
      <c r="D1598" s="8">
        <f t="shared" si="76"/>
        <v>36</v>
      </c>
      <c r="E1598" s="8">
        <f>IFERROR(VLOOKUP(D1598,$H$4:$I$70,2,0),"")</f>
        <v>362</v>
      </c>
      <c r="F1598" s="9">
        <f>IFERROR(VLOOKUP(C1598,$H$4:$I$70,2,0),"")</f>
        <v>559</v>
      </c>
    </row>
    <row r="1599" spans="2:6" x14ac:dyDescent="0.2">
      <c r="B1599" s="13">
        <f t="shared" si="74"/>
        <v>1596</v>
      </c>
      <c r="C1599" s="8">
        <f t="shared" si="75"/>
        <v>15</v>
      </c>
      <c r="D1599" s="8">
        <f t="shared" si="76"/>
        <v>36</v>
      </c>
      <c r="E1599" s="8">
        <f>IFERROR(VLOOKUP(D1599,$H$4:$I$70,2,0),"")</f>
        <v>362</v>
      </c>
      <c r="F1599" s="9">
        <f>IFERROR(VLOOKUP(C1599,$H$4:$I$70,2,0),"")</f>
        <v>556</v>
      </c>
    </row>
    <row r="1600" spans="2:6" x14ac:dyDescent="0.2">
      <c r="B1600" s="13">
        <f t="shared" si="74"/>
        <v>1597</v>
      </c>
      <c r="C1600" s="8">
        <f t="shared" si="75"/>
        <v>16</v>
      </c>
      <c r="D1600" s="8">
        <f t="shared" si="76"/>
        <v>36</v>
      </c>
      <c r="E1600" s="8">
        <f>IFERROR(VLOOKUP(D1600,$H$4:$I$70,2,0),"")</f>
        <v>362</v>
      </c>
      <c r="F1600" s="9">
        <f>IFERROR(VLOOKUP(C1600,$H$4:$I$70,2,0),"")</f>
        <v>540</v>
      </c>
    </row>
    <row r="1601" spans="2:6" x14ac:dyDescent="0.2">
      <c r="B1601" s="13">
        <f t="shared" si="74"/>
        <v>1598</v>
      </c>
      <c r="C1601" s="8">
        <f t="shared" si="75"/>
        <v>17</v>
      </c>
      <c r="D1601" s="8">
        <f t="shared" si="76"/>
        <v>36</v>
      </c>
      <c r="E1601" s="8">
        <f>IFERROR(VLOOKUP(D1601,$H$4:$I$70,2,0),"")</f>
        <v>362</v>
      </c>
      <c r="F1601" s="9">
        <f>IFERROR(VLOOKUP(C1601,$H$4:$I$70,2,0),"")</f>
        <v>536</v>
      </c>
    </row>
    <row r="1602" spans="2:6" x14ac:dyDescent="0.2">
      <c r="B1602" s="13">
        <f t="shared" si="74"/>
        <v>1599</v>
      </c>
      <c r="C1602" s="8">
        <f t="shared" si="75"/>
        <v>18</v>
      </c>
      <c r="D1602" s="8">
        <f t="shared" si="76"/>
        <v>36</v>
      </c>
      <c r="E1602" s="8">
        <f>IFERROR(VLOOKUP(D1602,$H$4:$I$70,2,0),"")</f>
        <v>362</v>
      </c>
      <c r="F1602" s="9">
        <f>IFERROR(VLOOKUP(C1602,$H$4:$I$70,2,0),"")</f>
        <v>527</v>
      </c>
    </row>
    <row r="1603" spans="2:6" x14ac:dyDescent="0.2">
      <c r="B1603" s="13">
        <f t="shared" si="74"/>
        <v>1600</v>
      </c>
      <c r="C1603" s="8">
        <f t="shared" si="75"/>
        <v>19</v>
      </c>
      <c r="D1603" s="8">
        <f t="shared" si="76"/>
        <v>36</v>
      </c>
      <c r="E1603" s="8">
        <f>IFERROR(VLOOKUP(D1603,$H$4:$I$70,2,0),"")</f>
        <v>362</v>
      </c>
      <c r="F1603" s="9">
        <f>IFERROR(VLOOKUP(C1603,$H$4:$I$70,2,0),"")</f>
        <v>478</v>
      </c>
    </row>
    <row r="1604" spans="2:6" x14ac:dyDescent="0.2">
      <c r="B1604" s="13">
        <f t="shared" si="74"/>
        <v>1601</v>
      </c>
      <c r="C1604" s="8">
        <f t="shared" si="75"/>
        <v>20</v>
      </c>
      <c r="D1604" s="8">
        <f t="shared" si="76"/>
        <v>36</v>
      </c>
      <c r="E1604" s="8">
        <f>IFERROR(VLOOKUP(D1604,$H$4:$I$70,2,0),"")</f>
        <v>362</v>
      </c>
      <c r="F1604" s="9">
        <f>IFERROR(VLOOKUP(C1604,$H$4:$I$70,2,0),"")</f>
        <v>474</v>
      </c>
    </row>
    <row r="1605" spans="2:6" x14ac:dyDescent="0.2">
      <c r="B1605" s="13">
        <f t="shared" ref="B1605:B1668" si="77">ROW()-3</f>
        <v>1602</v>
      </c>
      <c r="C1605" s="8">
        <f t="shared" si="75"/>
        <v>21</v>
      </c>
      <c r="D1605" s="8">
        <f t="shared" si="76"/>
        <v>36</v>
      </c>
      <c r="E1605" s="8">
        <f>IFERROR(VLOOKUP(D1605,$H$4:$I$70,2,0),"")</f>
        <v>362</v>
      </c>
      <c r="F1605" s="9">
        <f>IFERROR(VLOOKUP(C1605,$H$4:$I$70,2,0),"")</f>
        <v>468</v>
      </c>
    </row>
    <row r="1606" spans="2:6" x14ac:dyDescent="0.2">
      <c r="B1606" s="13">
        <f t="shared" si="77"/>
        <v>1603</v>
      </c>
      <c r="C1606" s="8">
        <f t="shared" ref="C1606:C1669" si="78">IF((D1605-C1605)=1,1,C1605+1)</f>
        <v>22</v>
      </c>
      <c r="D1606" s="8">
        <f t="shared" ref="D1606:D1669" si="79">IF((D1605-C1605)=1,D1605-1,D1605)</f>
        <v>36</v>
      </c>
      <c r="E1606" s="8">
        <f>IFERROR(VLOOKUP(D1606,$H$4:$I$70,2,0),"")</f>
        <v>362</v>
      </c>
      <c r="F1606" s="9">
        <f>IFERROR(VLOOKUP(C1606,$H$4:$I$70,2,0),"")</f>
        <v>457</v>
      </c>
    </row>
    <row r="1607" spans="2:6" x14ac:dyDescent="0.2">
      <c r="B1607" s="13">
        <f t="shared" si="77"/>
        <v>1604</v>
      </c>
      <c r="C1607" s="8">
        <f t="shared" si="78"/>
        <v>23</v>
      </c>
      <c r="D1607" s="8">
        <f t="shared" si="79"/>
        <v>36</v>
      </c>
      <c r="E1607" s="8">
        <f>IFERROR(VLOOKUP(D1607,$H$4:$I$70,2,0),"")</f>
        <v>362</v>
      </c>
      <c r="F1607" s="9">
        <f>IFERROR(VLOOKUP(C1607,$H$4:$I$70,2,0),"")</f>
        <v>452</v>
      </c>
    </row>
    <row r="1608" spans="2:6" x14ac:dyDescent="0.2">
      <c r="B1608" s="13">
        <f t="shared" si="77"/>
        <v>1605</v>
      </c>
      <c r="C1608" s="8">
        <f t="shared" si="78"/>
        <v>24</v>
      </c>
      <c r="D1608" s="8">
        <f t="shared" si="79"/>
        <v>36</v>
      </c>
      <c r="E1608" s="8">
        <f>IFERROR(VLOOKUP(D1608,$H$4:$I$70,2,0),"")</f>
        <v>362</v>
      </c>
      <c r="F1608" s="9">
        <f>IFERROR(VLOOKUP(C1608,$H$4:$I$70,2,0),"")</f>
        <v>442</v>
      </c>
    </row>
    <row r="1609" spans="2:6" x14ac:dyDescent="0.2">
      <c r="B1609" s="13">
        <f t="shared" si="77"/>
        <v>1606</v>
      </c>
      <c r="C1609" s="8">
        <f t="shared" si="78"/>
        <v>25</v>
      </c>
      <c r="D1609" s="8">
        <f t="shared" si="79"/>
        <v>36</v>
      </c>
      <c r="E1609" s="8">
        <f>IFERROR(VLOOKUP(D1609,$H$4:$I$70,2,0),"")</f>
        <v>362</v>
      </c>
      <c r="F1609" s="9">
        <f>IFERROR(VLOOKUP(C1609,$H$4:$I$70,2,0),"")</f>
        <v>420</v>
      </c>
    </row>
    <row r="1610" spans="2:6" x14ac:dyDescent="0.2">
      <c r="B1610" s="13">
        <f t="shared" si="77"/>
        <v>1607</v>
      </c>
      <c r="C1610" s="8">
        <f t="shared" si="78"/>
        <v>26</v>
      </c>
      <c r="D1610" s="8">
        <f t="shared" si="79"/>
        <v>36</v>
      </c>
      <c r="E1610" s="8">
        <f>IFERROR(VLOOKUP(D1610,$H$4:$I$70,2,0),"")</f>
        <v>362</v>
      </c>
      <c r="F1610" s="9">
        <f>IFERROR(VLOOKUP(C1610,$H$4:$I$70,2,0),"")</f>
        <v>410</v>
      </c>
    </row>
    <row r="1611" spans="2:6" x14ac:dyDescent="0.2">
      <c r="B1611" s="13">
        <f t="shared" si="77"/>
        <v>1608</v>
      </c>
      <c r="C1611" s="8">
        <f t="shared" si="78"/>
        <v>27</v>
      </c>
      <c r="D1611" s="8">
        <f t="shared" si="79"/>
        <v>36</v>
      </c>
      <c r="E1611" s="8">
        <f>IFERROR(VLOOKUP(D1611,$H$4:$I$70,2,0),"")</f>
        <v>362</v>
      </c>
      <c r="F1611" s="9">
        <f>IFERROR(VLOOKUP(C1611,$H$4:$I$70,2,0),"")</f>
        <v>409</v>
      </c>
    </row>
    <row r="1612" spans="2:6" x14ac:dyDescent="0.2">
      <c r="B1612" s="13">
        <f t="shared" si="77"/>
        <v>1609</v>
      </c>
      <c r="C1612" s="8">
        <f t="shared" si="78"/>
        <v>28</v>
      </c>
      <c r="D1612" s="8">
        <f t="shared" si="79"/>
        <v>36</v>
      </c>
      <c r="E1612" s="8">
        <f>IFERROR(VLOOKUP(D1612,$H$4:$I$70,2,0),"")</f>
        <v>362</v>
      </c>
      <c r="F1612" s="9">
        <f>IFERROR(VLOOKUP(C1612,$H$4:$I$70,2,0),"")</f>
        <v>408</v>
      </c>
    </row>
    <row r="1613" spans="2:6" x14ac:dyDescent="0.2">
      <c r="B1613" s="13">
        <f t="shared" si="77"/>
        <v>1610</v>
      </c>
      <c r="C1613" s="8">
        <f t="shared" si="78"/>
        <v>29</v>
      </c>
      <c r="D1613" s="8">
        <f t="shared" si="79"/>
        <v>36</v>
      </c>
      <c r="E1613" s="8">
        <f>IFERROR(VLOOKUP(D1613,$H$4:$I$70,2,0),"")</f>
        <v>362</v>
      </c>
      <c r="F1613" s="9">
        <f>IFERROR(VLOOKUP(C1613,$H$4:$I$70,2,0),"")</f>
        <v>404</v>
      </c>
    </row>
    <row r="1614" spans="2:6" x14ac:dyDescent="0.2">
      <c r="B1614" s="13">
        <f t="shared" si="77"/>
        <v>1611</v>
      </c>
      <c r="C1614" s="8">
        <f t="shared" si="78"/>
        <v>30</v>
      </c>
      <c r="D1614" s="8">
        <f t="shared" si="79"/>
        <v>36</v>
      </c>
      <c r="E1614" s="8">
        <f>IFERROR(VLOOKUP(D1614,$H$4:$I$70,2,0),"")</f>
        <v>362</v>
      </c>
      <c r="F1614" s="9">
        <f>IFERROR(VLOOKUP(C1614,$H$4:$I$70,2,0),"")</f>
        <v>399</v>
      </c>
    </row>
    <row r="1615" spans="2:6" x14ac:dyDescent="0.2">
      <c r="B1615" s="13">
        <f t="shared" si="77"/>
        <v>1612</v>
      </c>
      <c r="C1615" s="8">
        <f t="shared" si="78"/>
        <v>31</v>
      </c>
      <c r="D1615" s="8">
        <f t="shared" si="79"/>
        <v>36</v>
      </c>
      <c r="E1615" s="8">
        <f>IFERROR(VLOOKUP(D1615,$H$4:$I$70,2,0),"")</f>
        <v>362</v>
      </c>
      <c r="F1615" s="9">
        <f>IFERROR(VLOOKUP(C1615,$H$4:$I$70,2,0),"")</f>
        <v>396</v>
      </c>
    </row>
    <row r="1616" spans="2:6" x14ac:dyDescent="0.2">
      <c r="B1616" s="13">
        <f t="shared" si="77"/>
        <v>1613</v>
      </c>
      <c r="C1616" s="8">
        <f t="shared" si="78"/>
        <v>32</v>
      </c>
      <c r="D1616" s="8">
        <f t="shared" si="79"/>
        <v>36</v>
      </c>
      <c r="E1616" s="8">
        <f>IFERROR(VLOOKUP(D1616,$H$4:$I$70,2,0),"")</f>
        <v>362</v>
      </c>
      <c r="F1616" s="9">
        <f>IFERROR(VLOOKUP(C1616,$H$4:$I$70,2,0),"")</f>
        <v>384</v>
      </c>
    </row>
    <row r="1617" spans="2:6" x14ac:dyDescent="0.2">
      <c r="B1617" s="13">
        <f t="shared" si="77"/>
        <v>1614</v>
      </c>
      <c r="C1617" s="8">
        <f t="shared" si="78"/>
        <v>33</v>
      </c>
      <c r="D1617" s="8">
        <f t="shared" si="79"/>
        <v>36</v>
      </c>
      <c r="E1617" s="8">
        <f>IFERROR(VLOOKUP(D1617,$H$4:$I$70,2,0),"")</f>
        <v>362</v>
      </c>
      <c r="F1617" s="9">
        <f>IFERROR(VLOOKUP(C1617,$H$4:$I$70,2,0),"")</f>
        <v>381</v>
      </c>
    </row>
    <row r="1618" spans="2:6" x14ac:dyDescent="0.2">
      <c r="B1618" s="13">
        <f t="shared" si="77"/>
        <v>1615</v>
      </c>
      <c r="C1618" s="8">
        <f t="shared" si="78"/>
        <v>34</v>
      </c>
      <c r="D1618" s="8">
        <f t="shared" si="79"/>
        <v>36</v>
      </c>
      <c r="E1618" s="8">
        <f>IFERROR(VLOOKUP(D1618,$H$4:$I$70,2,0),"")</f>
        <v>362</v>
      </c>
      <c r="F1618" s="9">
        <f>IFERROR(VLOOKUP(C1618,$H$4:$I$70,2,0),"")</f>
        <v>376</v>
      </c>
    </row>
    <row r="1619" spans="2:6" x14ac:dyDescent="0.2">
      <c r="B1619" s="13">
        <f t="shared" si="77"/>
        <v>1616</v>
      </c>
      <c r="C1619" s="8">
        <f t="shared" si="78"/>
        <v>35</v>
      </c>
      <c r="D1619" s="8">
        <f t="shared" si="79"/>
        <v>36</v>
      </c>
      <c r="E1619" s="8">
        <f>IFERROR(VLOOKUP(D1619,$H$4:$I$70,2,0),"")</f>
        <v>362</v>
      </c>
      <c r="F1619" s="9">
        <f>IFERROR(VLOOKUP(C1619,$H$4:$I$70,2,0),"")</f>
        <v>370</v>
      </c>
    </row>
    <row r="1620" spans="2:6" x14ac:dyDescent="0.2">
      <c r="B1620" s="13">
        <f t="shared" si="77"/>
        <v>1617</v>
      </c>
      <c r="C1620" s="8">
        <f t="shared" si="78"/>
        <v>1</v>
      </c>
      <c r="D1620" s="8">
        <f t="shared" si="79"/>
        <v>35</v>
      </c>
      <c r="E1620" s="8">
        <f>IFERROR(VLOOKUP(D1620,$H$4:$I$70,2,0),"")</f>
        <v>370</v>
      </c>
      <c r="F1620" s="9">
        <f>IFERROR(VLOOKUP(C1620,$H$4:$I$70,2,0),"")</f>
        <v>1344</v>
      </c>
    </row>
    <row r="1621" spans="2:6" x14ac:dyDescent="0.2">
      <c r="B1621" s="13">
        <f t="shared" si="77"/>
        <v>1618</v>
      </c>
      <c r="C1621" s="8">
        <f t="shared" si="78"/>
        <v>2</v>
      </c>
      <c r="D1621" s="8">
        <f t="shared" si="79"/>
        <v>35</v>
      </c>
      <c r="E1621" s="8">
        <f>IFERROR(VLOOKUP(D1621,$H$4:$I$70,2,0),"")</f>
        <v>370</v>
      </c>
      <c r="F1621" s="9">
        <f>IFERROR(VLOOKUP(C1621,$H$4:$I$70,2,0),"")</f>
        <v>1048</v>
      </c>
    </row>
    <row r="1622" spans="2:6" x14ac:dyDescent="0.2">
      <c r="B1622" s="13">
        <f t="shared" si="77"/>
        <v>1619</v>
      </c>
      <c r="C1622" s="8">
        <f t="shared" si="78"/>
        <v>3</v>
      </c>
      <c r="D1622" s="8">
        <f t="shared" si="79"/>
        <v>35</v>
      </c>
      <c r="E1622" s="8">
        <f>IFERROR(VLOOKUP(D1622,$H$4:$I$70,2,0),"")</f>
        <v>370</v>
      </c>
      <c r="F1622" s="9">
        <f>IFERROR(VLOOKUP(C1622,$H$4:$I$70,2,0),"")</f>
        <v>1025</v>
      </c>
    </row>
    <row r="1623" spans="2:6" x14ac:dyDescent="0.2">
      <c r="B1623" s="13">
        <f t="shared" si="77"/>
        <v>1620</v>
      </c>
      <c r="C1623" s="8">
        <f t="shared" si="78"/>
        <v>4</v>
      </c>
      <c r="D1623" s="8">
        <f t="shared" si="79"/>
        <v>35</v>
      </c>
      <c r="E1623" s="8">
        <f>IFERROR(VLOOKUP(D1623,$H$4:$I$70,2,0),"")</f>
        <v>370</v>
      </c>
      <c r="F1623" s="9">
        <f>IFERROR(VLOOKUP(C1623,$H$4:$I$70,2,0),"")</f>
        <v>805</v>
      </c>
    </row>
    <row r="1624" spans="2:6" x14ac:dyDescent="0.2">
      <c r="B1624" s="13">
        <f t="shared" si="77"/>
        <v>1621</v>
      </c>
      <c r="C1624" s="8">
        <f t="shared" si="78"/>
        <v>5</v>
      </c>
      <c r="D1624" s="8">
        <f t="shared" si="79"/>
        <v>35</v>
      </c>
      <c r="E1624" s="8">
        <f>IFERROR(VLOOKUP(D1624,$H$4:$I$70,2,0),"")</f>
        <v>370</v>
      </c>
      <c r="F1624" s="9">
        <f>IFERROR(VLOOKUP(C1624,$H$4:$I$70,2,0),"")</f>
        <v>666</v>
      </c>
    </row>
    <row r="1625" spans="2:6" x14ac:dyDescent="0.2">
      <c r="B1625" s="13">
        <f t="shared" si="77"/>
        <v>1622</v>
      </c>
      <c r="C1625" s="8">
        <f t="shared" si="78"/>
        <v>6</v>
      </c>
      <c r="D1625" s="8">
        <f t="shared" si="79"/>
        <v>35</v>
      </c>
      <c r="E1625" s="8">
        <f>IFERROR(VLOOKUP(D1625,$H$4:$I$70,2,0),"")</f>
        <v>370</v>
      </c>
      <c r="F1625" s="9">
        <f>IFERROR(VLOOKUP(C1625,$H$4:$I$70,2,0),"")</f>
        <v>655</v>
      </c>
    </row>
    <row r="1626" spans="2:6" x14ac:dyDescent="0.2">
      <c r="B1626" s="13">
        <f t="shared" si="77"/>
        <v>1623</v>
      </c>
      <c r="C1626" s="8">
        <f t="shared" si="78"/>
        <v>7</v>
      </c>
      <c r="D1626" s="8">
        <f t="shared" si="79"/>
        <v>35</v>
      </c>
      <c r="E1626" s="8">
        <f>IFERROR(VLOOKUP(D1626,$H$4:$I$70,2,0),"")</f>
        <v>370</v>
      </c>
      <c r="F1626" s="9">
        <f>IFERROR(VLOOKUP(C1626,$H$4:$I$70,2,0),"")</f>
        <v>652</v>
      </c>
    </row>
    <row r="1627" spans="2:6" x14ac:dyDescent="0.2">
      <c r="B1627" s="13">
        <f t="shared" si="77"/>
        <v>1624</v>
      </c>
      <c r="C1627" s="8">
        <f t="shared" si="78"/>
        <v>8</v>
      </c>
      <c r="D1627" s="8">
        <f t="shared" si="79"/>
        <v>35</v>
      </c>
      <c r="E1627" s="8">
        <f>IFERROR(VLOOKUP(D1627,$H$4:$I$70,2,0),"")</f>
        <v>370</v>
      </c>
      <c r="F1627" s="9">
        <f>IFERROR(VLOOKUP(C1627,$H$4:$I$70,2,0),"")</f>
        <v>633</v>
      </c>
    </row>
    <row r="1628" spans="2:6" x14ac:dyDescent="0.2">
      <c r="B1628" s="13">
        <f t="shared" si="77"/>
        <v>1625</v>
      </c>
      <c r="C1628" s="8">
        <f t="shared" si="78"/>
        <v>9</v>
      </c>
      <c r="D1628" s="8">
        <f t="shared" si="79"/>
        <v>35</v>
      </c>
      <c r="E1628" s="8">
        <f>IFERROR(VLOOKUP(D1628,$H$4:$I$70,2,0),"")</f>
        <v>370</v>
      </c>
      <c r="F1628" s="9">
        <f>IFERROR(VLOOKUP(C1628,$H$4:$I$70,2,0),"")</f>
        <v>632</v>
      </c>
    </row>
    <row r="1629" spans="2:6" x14ac:dyDescent="0.2">
      <c r="B1629" s="13">
        <f t="shared" si="77"/>
        <v>1626</v>
      </c>
      <c r="C1629" s="8">
        <f t="shared" si="78"/>
        <v>10</v>
      </c>
      <c r="D1629" s="8">
        <f t="shared" si="79"/>
        <v>35</v>
      </c>
      <c r="E1629" s="8">
        <f>IFERROR(VLOOKUP(D1629,$H$4:$I$70,2,0),"")</f>
        <v>370</v>
      </c>
      <c r="F1629" s="9">
        <f>IFERROR(VLOOKUP(C1629,$H$4:$I$70,2,0),"")</f>
        <v>625</v>
      </c>
    </row>
    <row r="1630" spans="2:6" x14ac:dyDescent="0.2">
      <c r="B1630" s="13">
        <f t="shared" si="77"/>
        <v>1627</v>
      </c>
      <c r="C1630" s="8">
        <f t="shared" si="78"/>
        <v>11</v>
      </c>
      <c r="D1630" s="8">
        <f t="shared" si="79"/>
        <v>35</v>
      </c>
      <c r="E1630" s="8">
        <f>IFERROR(VLOOKUP(D1630,$H$4:$I$70,2,0),"")</f>
        <v>370</v>
      </c>
      <c r="F1630" s="9">
        <f>IFERROR(VLOOKUP(C1630,$H$4:$I$70,2,0),"")</f>
        <v>619</v>
      </c>
    </row>
    <row r="1631" spans="2:6" x14ac:dyDescent="0.2">
      <c r="B1631" s="13">
        <f t="shared" si="77"/>
        <v>1628</v>
      </c>
      <c r="C1631" s="8">
        <f t="shared" si="78"/>
        <v>12</v>
      </c>
      <c r="D1631" s="8">
        <f t="shared" si="79"/>
        <v>35</v>
      </c>
      <c r="E1631" s="8">
        <f>IFERROR(VLOOKUP(D1631,$H$4:$I$70,2,0),"")</f>
        <v>370</v>
      </c>
      <c r="F1631" s="9">
        <f>IFERROR(VLOOKUP(C1631,$H$4:$I$70,2,0),"")</f>
        <v>610</v>
      </c>
    </row>
    <row r="1632" spans="2:6" x14ac:dyDescent="0.2">
      <c r="B1632" s="13">
        <f t="shared" si="77"/>
        <v>1629</v>
      </c>
      <c r="C1632" s="8">
        <f t="shared" si="78"/>
        <v>13</v>
      </c>
      <c r="D1632" s="8">
        <f t="shared" si="79"/>
        <v>35</v>
      </c>
      <c r="E1632" s="8">
        <f>IFERROR(VLOOKUP(D1632,$H$4:$I$70,2,0),"")</f>
        <v>370</v>
      </c>
      <c r="F1632" s="9">
        <f>IFERROR(VLOOKUP(C1632,$H$4:$I$70,2,0),"")</f>
        <v>599</v>
      </c>
    </row>
    <row r="1633" spans="2:6" x14ac:dyDescent="0.2">
      <c r="B1633" s="13">
        <f t="shared" si="77"/>
        <v>1630</v>
      </c>
      <c r="C1633" s="8">
        <f t="shared" si="78"/>
        <v>14</v>
      </c>
      <c r="D1633" s="8">
        <f t="shared" si="79"/>
        <v>35</v>
      </c>
      <c r="E1633" s="8">
        <f>IFERROR(VLOOKUP(D1633,$H$4:$I$70,2,0),"")</f>
        <v>370</v>
      </c>
      <c r="F1633" s="9">
        <f>IFERROR(VLOOKUP(C1633,$H$4:$I$70,2,0),"")</f>
        <v>559</v>
      </c>
    </row>
    <row r="1634" spans="2:6" x14ac:dyDescent="0.2">
      <c r="B1634" s="13">
        <f t="shared" si="77"/>
        <v>1631</v>
      </c>
      <c r="C1634" s="8">
        <f t="shared" si="78"/>
        <v>15</v>
      </c>
      <c r="D1634" s="8">
        <f t="shared" si="79"/>
        <v>35</v>
      </c>
      <c r="E1634" s="8">
        <f>IFERROR(VLOOKUP(D1634,$H$4:$I$70,2,0),"")</f>
        <v>370</v>
      </c>
      <c r="F1634" s="9">
        <f>IFERROR(VLOOKUP(C1634,$H$4:$I$70,2,0),"")</f>
        <v>556</v>
      </c>
    </row>
    <row r="1635" spans="2:6" x14ac:dyDescent="0.2">
      <c r="B1635" s="13">
        <f t="shared" si="77"/>
        <v>1632</v>
      </c>
      <c r="C1635" s="8">
        <f t="shared" si="78"/>
        <v>16</v>
      </c>
      <c r="D1635" s="8">
        <f t="shared" si="79"/>
        <v>35</v>
      </c>
      <c r="E1635" s="8">
        <f>IFERROR(VLOOKUP(D1635,$H$4:$I$70,2,0),"")</f>
        <v>370</v>
      </c>
      <c r="F1635" s="9">
        <f>IFERROR(VLOOKUP(C1635,$H$4:$I$70,2,0),"")</f>
        <v>540</v>
      </c>
    </row>
    <row r="1636" spans="2:6" x14ac:dyDescent="0.2">
      <c r="B1636" s="13">
        <f t="shared" si="77"/>
        <v>1633</v>
      </c>
      <c r="C1636" s="8">
        <f t="shared" si="78"/>
        <v>17</v>
      </c>
      <c r="D1636" s="8">
        <f t="shared" si="79"/>
        <v>35</v>
      </c>
      <c r="E1636" s="8">
        <f>IFERROR(VLOOKUP(D1636,$H$4:$I$70,2,0),"")</f>
        <v>370</v>
      </c>
      <c r="F1636" s="9">
        <f>IFERROR(VLOOKUP(C1636,$H$4:$I$70,2,0),"")</f>
        <v>536</v>
      </c>
    </row>
    <row r="1637" spans="2:6" x14ac:dyDescent="0.2">
      <c r="B1637" s="13">
        <f t="shared" si="77"/>
        <v>1634</v>
      </c>
      <c r="C1637" s="8">
        <f t="shared" si="78"/>
        <v>18</v>
      </c>
      <c r="D1637" s="8">
        <f t="shared" si="79"/>
        <v>35</v>
      </c>
      <c r="E1637" s="8">
        <f>IFERROR(VLOOKUP(D1637,$H$4:$I$70,2,0),"")</f>
        <v>370</v>
      </c>
      <c r="F1637" s="9">
        <f>IFERROR(VLOOKUP(C1637,$H$4:$I$70,2,0),"")</f>
        <v>527</v>
      </c>
    </row>
    <row r="1638" spans="2:6" x14ac:dyDescent="0.2">
      <c r="B1638" s="13">
        <f t="shared" si="77"/>
        <v>1635</v>
      </c>
      <c r="C1638" s="8">
        <f t="shared" si="78"/>
        <v>19</v>
      </c>
      <c r="D1638" s="8">
        <f t="shared" si="79"/>
        <v>35</v>
      </c>
      <c r="E1638" s="8">
        <f>IFERROR(VLOOKUP(D1638,$H$4:$I$70,2,0),"")</f>
        <v>370</v>
      </c>
      <c r="F1638" s="9">
        <f>IFERROR(VLOOKUP(C1638,$H$4:$I$70,2,0),"")</f>
        <v>478</v>
      </c>
    </row>
    <row r="1639" spans="2:6" x14ac:dyDescent="0.2">
      <c r="B1639" s="13">
        <f t="shared" si="77"/>
        <v>1636</v>
      </c>
      <c r="C1639" s="8">
        <f t="shared" si="78"/>
        <v>20</v>
      </c>
      <c r="D1639" s="8">
        <f t="shared" si="79"/>
        <v>35</v>
      </c>
      <c r="E1639" s="8">
        <f>IFERROR(VLOOKUP(D1639,$H$4:$I$70,2,0),"")</f>
        <v>370</v>
      </c>
      <c r="F1639" s="9">
        <f>IFERROR(VLOOKUP(C1639,$H$4:$I$70,2,0),"")</f>
        <v>474</v>
      </c>
    </row>
    <row r="1640" spans="2:6" x14ac:dyDescent="0.2">
      <c r="B1640" s="13">
        <f t="shared" si="77"/>
        <v>1637</v>
      </c>
      <c r="C1640" s="8">
        <f t="shared" si="78"/>
        <v>21</v>
      </c>
      <c r="D1640" s="8">
        <f t="shared" si="79"/>
        <v>35</v>
      </c>
      <c r="E1640" s="8">
        <f>IFERROR(VLOOKUP(D1640,$H$4:$I$70,2,0),"")</f>
        <v>370</v>
      </c>
      <c r="F1640" s="9">
        <f>IFERROR(VLOOKUP(C1640,$H$4:$I$70,2,0),"")</f>
        <v>468</v>
      </c>
    </row>
    <row r="1641" spans="2:6" x14ac:dyDescent="0.2">
      <c r="B1641" s="13">
        <f t="shared" si="77"/>
        <v>1638</v>
      </c>
      <c r="C1641" s="8">
        <f t="shared" si="78"/>
        <v>22</v>
      </c>
      <c r="D1641" s="8">
        <f t="shared" si="79"/>
        <v>35</v>
      </c>
      <c r="E1641" s="8">
        <f>IFERROR(VLOOKUP(D1641,$H$4:$I$70,2,0),"")</f>
        <v>370</v>
      </c>
      <c r="F1641" s="9">
        <f>IFERROR(VLOOKUP(C1641,$H$4:$I$70,2,0),"")</f>
        <v>457</v>
      </c>
    </row>
    <row r="1642" spans="2:6" x14ac:dyDescent="0.2">
      <c r="B1642" s="13">
        <f t="shared" si="77"/>
        <v>1639</v>
      </c>
      <c r="C1642" s="8">
        <f t="shared" si="78"/>
        <v>23</v>
      </c>
      <c r="D1642" s="8">
        <f t="shared" si="79"/>
        <v>35</v>
      </c>
      <c r="E1642" s="8">
        <f>IFERROR(VLOOKUP(D1642,$H$4:$I$70,2,0),"")</f>
        <v>370</v>
      </c>
      <c r="F1642" s="9">
        <f>IFERROR(VLOOKUP(C1642,$H$4:$I$70,2,0),"")</f>
        <v>452</v>
      </c>
    </row>
    <row r="1643" spans="2:6" x14ac:dyDescent="0.2">
      <c r="B1643" s="13">
        <f t="shared" si="77"/>
        <v>1640</v>
      </c>
      <c r="C1643" s="8">
        <f t="shared" si="78"/>
        <v>24</v>
      </c>
      <c r="D1643" s="8">
        <f t="shared" si="79"/>
        <v>35</v>
      </c>
      <c r="E1643" s="8">
        <f>IFERROR(VLOOKUP(D1643,$H$4:$I$70,2,0),"")</f>
        <v>370</v>
      </c>
      <c r="F1643" s="9">
        <f>IFERROR(VLOOKUP(C1643,$H$4:$I$70,2,0),"")</f>
        <v>442</v>
      </c>
    </row>
    <row r="1644" spans="2:6" x14ac:dyDescent="0.2">
      <c r="B1644" s="13">
        <f t="shared" si="77"/>
        <v>1641</v>
      </c>
      <c r="C1644" s="8">
        <f t="shared" si="78"/>
        <v>25</v>
      </c>
      <c r="D1644" s="8">
        <f t="shared" si="79"/>
        <v>35</v>
      </c>
      <c r="E1644" s="8">
        <f>IFERROR(VLOOKUP(D1644,$H$4:$I$70,2,0),"")</f>
        <v>370</v>
      </c>
      <c r="F1644" s="9">
        <f>IFERROR(VLOOKUP(C1644,$H$4:$I$70,2,0),"")</f>
        <v>420</v>
      </c>
    </row>
    <row r="1645" spans="2:6" x14ac:dyDescent="0.2">
      <c r="B1645" s="13">
        <f t="shared" si="77"/>
        <v>1642</v>
      </c>
      <c r="C1645" s="8">
        <f t="shared" si="78"/>
        <v>26</v>
      </c>
      <c r="D1645" s="8">
        <f t="shared" si="79"/>
        <v>35</v>
      </c>
      <c r="E1645" s="8">
        <f>IFERROR(VLOOKUP(D1645,$H$4:$I$70,2,0),"")</f>
        <v>370</v>
      </c>
      <c r="F1645" s="9">
        <f>IFERROR(VLOOKUP(C1645,$H$4:$I$70,2,0),"")</f>
        <v>410</v>
      </c>
    </row>
    <row r="1646" spans="2:6" x14ac:dyDescent="0.2">
      <c r="B1646" s="13">
        <f t="shared" si="77"/>
        <v>1643</v>
      </c>
      <c r="C1646" s="8">
        <f t="shared" si="78"/>
        <v>27</v>
      </c>
      <c r="D1646" s="8">
        <f t="shared" si="79"/>
        <v>35</v>
      </c>
      <c r="E1646" s="8">
        <f>IFERROR(VLOOKUP(D1646,$H$4:$I$70,2,0),"")</f>
        <v>370</v>
      </c>
      <c r="F1646" s="9">
        <f>IFERROR(VLOOKUP(C1646,$H$4:$I$70,2,0),"")</f>
        <v>409</v>
      </c>
    </row>
    <row r="1647" spans="2:6" x14ac:dyDescent="0.2">
      <c r="B1647" s="13">
        <f t="shared" si="77"/>
        <v>1644</v>
      </c>
      <c r="C1647" s="8">
        <f t="shared" si="78"/>
        <v>28</v>
      </c>
      <c r="D1647" s="8">
        <f t="shared" si="79"/>
        <v>35</v>
      </c>
      <c r="E1647" s="8">
        <f>IFERROR(VLOOKUP(D1647,$H$4:$I$70,2,0),"")</f>
        <v>370</v>
      </c>
      <c r="F1647" s="9">
        <f>IFERROR(VLOOKUP(C1647,$H$4:$I$70,2,0),"")</f>
        <v>408</v>
      </c>
    </row>
    <row r="1648" spans="2:6" x14ac:dyDescent="0.2">
      <c r="B1648" s="13">
        <f t="shared" si="77"/>
        <v>1645</v>
      </c>
      <c r="C1648" s="8">
        <f t="shared" si="78"/>
        <v>29</v>
      </c>
      <c r="D1648" s="8">
        <f t="shared" si="79"/>
        <v>35</v>
      </c>
      <c r="E1648" s="8">
        <f>IFERROR(VLOOKUP(D1648,$H$4:$I$70,2,0),"")</f>
        <v>370</v>
      </c>
      <c r="F1648" s="9">
        <f>IFERROR(VLOOKUP(C1648,$H$4:$I$70,2,0),"")</f>
        <v>404</v>
      </c>
    </row>
    <row r="1649" spans="2:6" x14ac:dyDescent="0.2">
      <c r="B1649" s="13">
        <f t="shared" si="77"/>
        <v>1646</v>
      </c>
      <c r="C1649" s="8">
        <f t="shared" si="78"/>
        <v>30</v>
      </c>
      <c r="D1649" s="8">
        <f t="shared" si="79"/>
        <v>35</v>
      </c>
      <c r="E1649" s="8">
        <f>IFERROR(VLOOKUP(D1649,$H$4:$I$70,2,0),"")</f>
        <v>370</v>
      </c>
      <c r="F1649" s="9">
        <f>IFERROR(VLOOKUP(C1649,$H$4:$I$70,2,0),"")</f>
        <v>399</v>
      </c>
    </row>
    <row r="1650" spans="2:6" x14ac:dyDescent="0.2">
      <c r="B1650" s="13">
        <f t="shared" si="77"/>
        <v>1647</v>
      </c>
      <c r="C1650" s="8">
        <f t="shared" si="78"/>
        <v>31</v>
      </c>
      <c r="D1650" s="8">
        <f t="shared" si="79"/>
        <v>35</v>
      </c>
      <c r="E1650" s="8">
        <f>IFERROR(VLOOKUP(D1650,$H$4:$I$70,2,0),"")</f>
        <v>370</v>
      </c>
      <c r="F1650" s="9">
        <f>IFERROR(VLOOKUP(C1650,$H$4:$I$70,2,0),"")</f>
        <v>396</v>
      </c>
    </row>
    <row r="1651" spans="2:6" x14ac:dyDescent="0.2">
      <c r="B1651" s="13">
        <f t="shared" si="77"/>
        <v>1648</v>
      </c>
      <c r="C1651" s="8">
        <f t="shared" si="78"/>
        <v>32</v>
      </c>
      <c r="D1651" s="8">
        <f t="shared" si="79"/>
        <v>35</v>
      </c>
      <c r="E1651" s="8">
        <f>IFERROR(VLOOKUP(D1651,$H$4:$I$70,2,0),"")</f>
        <v>370</v>
      </c>
      <c r="F1651" s="9">
        <f>IFERROR(VLOOKUP(C1651,$H$4:$I$70,2,0),"")</f>
        <v>384</v>
      </c>
    </row>
    <row r="1652" spans="2:6" x14ac:dyDescent="0.2">
      <c r="B1652" s="13">
        <f t="shared" si="77"/>
        <v>1649</v>
      </c>
      <c r="C1652" s="8">
        <f t="shared" si="78"/>
        <v>33</v>
      </c>
      <c r="D1652" s="8">
        <f t="shared" si="79"/>
        <v>35</v>
      </c>
      <c r="E1652" s="8">
        <f>IFERROR(VLOOKUP(D1652,$H$4:$I$70,2,0),"")</f>
        <v>370</v>
      </c>
      <c r="F1652" s="9">
        <f>IFERROR(VLOOKUP(C1652,$H$4:$I$70,2,0),"")</f>
        <v>381</v>
      </c>
    </row>
    <row r="1653" spans="2:6" x14ac:dyDescent="0.2">
      <c r="B1653" s="13">
        <f t="shared" si="77"/>
        <v>1650</v>
      </c>
      <c r="C1653" s="8">
        <f t="shared" si="78"/>
        <v>34</v>
      </c>
      <c r="D1653" s="8">
        <f t="shared" si="79"/>
        <v>35</v>
      </c>
      <c r="E1653" s="8">
        <f>IFERROR(VLOOKUP(D1653,$H$4:$I$70,2,0),"")</f>
        <v>370</v>
      </c>
      <c r="F1653" s="9">
        <f>IFERROR(VLOOKUP(C1653,$H$4:$I$70,2,0),"")</f>
        <v>376</v>
      </c>
    </row>
    <row r="1654" spans="2:6" x14ac:dyDescent="0.2">
      <c r="B1654" s="13">
        <f t="shared" si="77"/>
        <v>1651</v>
      </c>
      <c r="C1654" s="8">
        <f t="shared" si="78"/>
        <v>1</v>
      </c>
      <c r="D1654" s="8">
        <f t="shared" si="79"/>
        <v>34</v>
      </c>
      <c r="E1654" s="8">
        <f>IFERROR(VLOOKUP(D1654,$H$4:$I$70,2,0),"")</f>
        <v>376</v>
      </c>
      <c r="F1654" s="9">
        <f>IFERROR(VLOOKUP(C1654,$H$4:$I$70,2,0),"")</f>
        <v>1344</v>
      </c>
    </row>
    <row r="1655" spans="2:6" x14ac:dyDescent="0.2">
      <c r="B1655" s="13">
        <f t="shared" si="77"/>
        <v>1652</v>
      </c>
      <c r="C1655" s="8">
        <f t="shared" si="78"/>
        <v>2</v>
      </c>
      <c r="D1655" s="8">
        <f t="shared" si="79"/>
        <v>34</v>
      </c>
      <c r="E1655" s="8">
        <f>IFERROR(VLOOKUP(D1655,$H$4:$I$70,2,0),"")</f>
        <v>376</v>
      </c>
      <c r="F1655" s="9">
        <f>IFERROR(VLOOKUP(C1655,$H$4:$I$70,2,0),"")</f>
        <v>1048</v>
      </c>
    </row>
    <row r="1656" spans="2:6" x14ac:dyDescent="0.2">
      <c r="B1656" s="13">
        <f t="shared" si="77"/>
        <v>1653</v>
      </c>
      <c r="C1656" s="8">
        <f t="shared" si="78"/>
        <v>3</v>
      </c>
      <c r="D1656" s="8">
        <f t="shared" si="79"/>
        <v>34</v>
      </c>
      <c r="E1656" s="8">
        <f>IFERROR(VLOOKUP(D1656,$H$4:$I$70,2,0),"")</f>
        <v>376</v>
      </c>
      <c r="F1656" s="9">
        <f>IFERROR(VLOOKUP(C1656,$H$4:$I$70,2,0),"")</f>
        <v>1025</v>
      </c>
    </row>
    <row r="1657" spans="2:6" x14ac:dyDescent="0.2">
      <c r="B1657" s="13">
        <f t="shared" si="77"/>
        <v>1654</v>
      </c>
      <c r="C1657" s="8">
        <f t="shared" si="78"/>
        <v>4</v>
      </c>
      <c r="D1657" s="8">
        <f t="shared" si="79"/>
        <v>34</v>
      </c>
      <c r="E1657" s="8">
        <f>IFERROR(VLOOKUP(D1657,$H$4:$I$70,2,0),"")</f>
        <v>376</v>
      </c>
      <c r="F1657" s="9">
        <f>IFERROR(VLOOKUP(C1657,$H$4:$I$70,2,0),"")</f>
        <v>805</v>
      </c>
    </row>
    <row r="1658" spans="2:6" x14ac:dyDescent="0.2">
      <c r="B1658" s="13">
        <f t="shared" si="77"/>
        <v>1655</v>
      </c>
      <c r="C1658" s="8">
        <f t="shared" si="78"/>
        <v>5</v>
      </c>
      <c r="D1658" s="8">
        <f t="shared" si="79"/>
        <v>34</v>
      </c>
      <c r="E1658" s="8">
        <f>IFERROR(VLOOKUP(D1658,$H$4:$I$70,2,0),"")</f>
        <v>376</v>
      </c>
      <c r="F1658" s="9">
        <f>IFERROR(VLOOKUP(C1658,$H$4:$I$70,2,0),"")</f>
        <v>666</v>
      </c>
    </row>
    <row r="1659" spans="2:6" x14ac:dyDescent="0.2">
      <c r="B1659" s="13">
        <f t="shared" si="77"/>
        <v>1656</v>
      </c>
      <c r="C1659" s="8">
        <f t="shared" si="78"/>
        <v>6</v>
      </c>
      <c r="D1659" s="8">
        <f t="shared" si="79"/>
        <v>34</v>
      </c>
      <c r="E1659" s="8">
        <f>IFERROR(VLOOKUP(D1659,$H$4:$I$70,2,0),"")</f>
        <v>376</v>
      </c>
      <c r="F1659" s="9">
        <f>IFERROR(VLOOKUP(C1659,$H$4:$I$70,2,0),"")</f>
        <v>655</v>
      </c>
    </row>
    <row r="1660" spans="2:6" x14ac:dyDescent="0.2">
      <c r="B1660" s="13">
        <f t="shared" si="77"/>
        <v>1657</v>
      </c>
      <c r="C1660" s="8">
        <f t="shared" si="78"/>
        <v>7</v>
      </c>
      <c r="D1660" s="8">
        <f t="shared" si="79"/>
        <v>34</v>
      </c>
      <c r="E1660" s="8">
        <f>IFERROR(VLOOKUP(D1660,$H$4:$I$70,2,0),"")</f>
        <v>376</v>
      </c>
      <c r="F1660" s="9">
        <f>IFERROR(VLOOKUP(C1660,$H$4:$I$70,2,0),"")</f>
        <v>652</v>
      </c>
    </row>
    <row r="1661" spans="2:6" x14ac:dyDescent="0.2">
      <c r="B1661" s="13">
        <f t="shared" si="77"/>
        <v>1658</v>
      </c>
      <c r="C1661" s="8">
        <f t="shared" si="78"/>
        <v>8</v>
      </c>
      <c r="D1661" s="8">
        <f t="shared" si="79"/>
        <v>34</v>
      </c>
      <c r="E1661" s="8">
        <f>IFERROR(VLOOKUP(D1661,$H$4:$I$70,2,0),"")</f>
        <v>376</v>
      </c>
      <c r="F1661" s="9">
        <f>IFERROR(VLOOKUP(C1661,$H$4:$I$70,2,0),"")</f>
        <v>633</v>
      </c>
    </row>
    <row r="1662" spans="2:6" x14ac:dyDescent="0.2">
      <c r="B1662" s="13">
        <f t="shared" si="77"/>
        <v>1659</v>
      </c>
      <c r="C1662" s="8">
        <f t="shared" si="78"/>
        <v>9</v>
      </c>
      <c r="D1662" s="8">
        <f t="shared" si="79"/>
        <v>34</v>
      </c>
      <c r="E1662" s="8">
        <f>IFERROR(VLOOKUP(D1662,$H$4:$I$70,2,0),"")</f>
        <v>376</v>
      </c>
      <c r="F1662" s="9">
        <f>IFERROR(VLOOKUP(C1662,$H$4:$I$70,2,0),"")</f>
        <v>632</v>
      </c>
    </row>
    <row r="1663" spans="2:6" x14ac:dyDescent="0.2">
      <c r="B1663" s="13">
        <f t="shared" si="77"/>
        <v>1660</v>
      </c>
      <c r="C1663" s="8">
        <f t="shared" si="78"/>
        <v>10</v>
      </c>
      <c r="D1663" s="8">
        <f t="shared" si="79"/>
        <v>34</v>
      </c>
      <c r="E1663" s="8">
        <f>IFERROR(VLOOKUP(D1663,$H$4:$I$70,2,0),"")</f>
        <v>376</v>
      </c>
      <c r="F1663" s="9">
        <f>IFERROR(VLOOKUP(C1663,$H$4:$I$70,2,0),"")</f>
        <v>625</v>
      </c>
    </row>
    <row r="1664" spans="2:6" x14ac:dyDescent="0.2">
      <c r="B1664" s="13">
        <f t="shared" si="77"/>
        <v>1661</v>
      </c>
      <c r="C1664" s="8">
        <f t="shared" si="78"/>
        <v>11</v>
      </c>
      <c r="D1664" s="8">
        <f t="shared" si="79"/>
        <v>34</v>
      </c>
      <c r="E1664" s="8">
        <f>IFERROR(VLOOKUP(D1664,$H$4:$I$70,2,0),"")</f>
        <v>376</v>
      </c>
      <c r="F1664" s="9">
        <f>IFERROR(VLOOKUP(C1664,$H$4:$I$70,2,0),"")</f>
        <v>619</v>
      </c>
    </row>
    <row r="1665" spans="2:6" x14ac:dyDescent="0.2">
      <c r="B1665" s="13">
        <f t="shared" si="77"/>
        <v>1662</v>
      </c>
      <c r="C1665" s="8">
        <f t="shared" si="78"/>
        <v>12</v>
      </c>
      <c r="D1665" s="8">
        <f t="shared" si="79"/>
        <v>34</v>
      </c>
      <c r="E1665" s="8">
        <f>IFERROR(VLOOKUP(D1665,$H$4:$I$70,2,0),"")</f>
        <v>376</v>
      </c>
      <c r="F1665" s="9">
        <f>IFERROR(VLOOKUP(C1665,$H$4:$I$70,2,0),"")</f>
        <v>610</v>
      </c>
    </row>
    <row r="1666" spans="2:6" x14ac:dyDescent="0.2">
      <c r="B1666" s="13">
        <f t="shared" si="77"/>
        <v>1663</v>
      </c>
      <c r="C1666" s="8">
        <f t="shared" si="78"/>
        <v>13</v>
      </c>
      <c r="D1666" s="8">
        <f t="shared" si="79"/>
        <v>34</v>
      </c>
      <c r="E1666" s="8">
        <f>IFERROR(VLOOKUP(D1666,$H$4:$I$70,2,0),"")</f>
        <v>376</v>
      </c>
      <c r="F1666" s="9">
        <f>IFERROR(VLOOKUP(C1666,$H$4:$I$70,2,0),"")</f>
        <v>599</v>
      </c>
    </row>
    <row r="1667" spans="2:6" x14ac:dyDescent="0.2">
      <c r="B1667" s="13">
        <f t="shared" si="77"/>
        <v>1664</v>
      </c>
      <c r="C1667" s="8">
        <f t="shared" si="78"/>
        <v>14</v>
      </c>
      <c r="D1667" s="8">
        <f t="shared" si="79"/>
        <v>34</v>
      </c>
      <c r="E1667" s="8">
        <f>IFERROR(VLOOKUP(D1667,$H$4:$I$70,2,0),"")</f>
        <v>376</v>
      </c>
      <c r="F1667" s="9">
        <f>IFERROR(VLOOKUP(C1667,$H$4:$I$70,2,0),"")</f>
        <v>559</v>
      </c>
    </row>
    <row r="1668" spans="2:6" x14ac:dyDescent="0.2">
      <c r="B1668" s="13">
        <f t="shared" si="77"/>
        <v>1665</v>
      </c>
      <c r="C1668" s="8">
        <f t="shared" si="78"/>
        <v>15</v>
      </c>
      <c r="D1668" s="8">
        <f t="shared" si="79"/>
        <v>34</v>
      </c>
      <c r="E1668" s="8">
        <f>IFERROR(VLOOKUP(D1668,$H$4:$I$70,2,0),"")</f>
        <v>376</v>
      </c>
      <c r="F1668" s="9">
        <f>IFERROR(VLOOKUP(C1668,$H$4:$I$70,2,0),"")</f>
        <v>556</v>
      </c>
    </row>
    <row r="1669" spans="2:6" x14ac:dyDescent="0.2">
      <c r="B1669" s="13">
        <f t="shared" ref="B1669:B1732" si="80">ROW()-3</f>
        <v>1666</v>
      </c>
      <c r="C1669" s="8">
        <f t="shared" si="78"/>
        <v>16</v>
      </c>
      <c r="D1669" s="8">
        <f t="shared" si="79"/>
        <v>34</v>
      </c>
      <c r="E1669" s="8">
        <f>IFERROR(VLOOKUP(D1669,$H$4:$I$70,2,0),"")</f>
        <v>376</v>
      </c>
      <c r="F1669" s="9">
        <f>IFERROR(VLOOKUP(C1669,$H$4:$I$70,2,0),"")</f>
        <v>540</v>
      </c>
    </row>
    <row r="1670" spans="2:6" x14ac:dyDescent="0.2">
      <c r="B1670" s="13">
        <f t="shared" si="80"/>
        <v>1667</v>
      </c>
      <c r="C1670" s="8">
        <f t="shared" ref="C1670:C1733" si="81">IF((D1669-C1669)=1,1,C1669+1)</f>
        <v>17</v>
      </c>
      <c r="D1670" s="8">
        <f t="shared" ref="D1670:D1733" si="82">IF((D1669-C1669)=1,D1669-1,D1669)</f>
        <v>34</v>
      </c>
      <c r="E1670" s="8">
        <f>IFERROR(VLOOKUP(D1670,$H$4:$I$70,2,0),"")</f>
        <v>376</v>
      </c>
      <c r="F1670" s="9">
        <f>IFERROR(VLOOKUP(C1670,$H$4:$I$70,2,0),"")</f>
        <v>536</v>
      </c>
    </row>
    <row r="1671" spans="2:6" x14ac:dyDescent="0.2">
      <c r="B1671" s="13">
        <f t="shared" si="80"/>
        <v>1668</v>
      </c>
      <c r="C1671" s="8">
        <f t="shared" si="81"/>
        <v>18</v>
      </c>
      <c r="D1671" s="8">
        <f t="shared" si="82"/>
        <v>34</v>
      </c>
      <c r="E1671" s="8">
        <f>IFERROR(VLOOKUP(D1671,$H$4:$I$70,2,0),"")</f>
        <v>376</v>
      </c>
      <c r="F1671" s="9">
        <f>IFERROR(VLOOKUP(C1671,$H$4:$I$70,2,0),"")</f>
        <v>527</v>
      </c>
    </row>
    <row r="1672" spans="2:6" x14ac:dyDescent="0.2">
      <c r="B1672" s="13">
        <f t="shared" si="80"/>
        <v>1669</v>
      </c>
      <c r="C1672" s="8">
        <f t="shared" si="81"/>
        <v>19</v>
      </c>
      <c r="D1672" s="8">
        <f t="shared" si="82"/>
        <v>34</v>
      </c>
      <c r="E1672" s="8">
        <f>IFERROR(VLOOKUP(D1672,$H$4:$I$70,2,0),"")</f>
        <v>376</v>
      </c>
      <c r="F1672" s="9">
        <f>IFERROR(VLOOKUP(C1672,$H$4:$I$70,2,0),"")</f>
        <v>478</v>
      </c>
    </row>
    <row r="1673" spans="2:6" x14ac:dyDescent="0.2">
      <c r="B1673" s="13">
        <f t="shared" si="80"/>
        <v>1670</v>
      </c>
      <c r="C1673" s="8">
        <f t="shared" si="81"/>
        <v>20</v>
      </c>
      <c r="D1673" s="8">
        <f t="shared" si="82"/>
        <v>34</v>
      </c>
      <c r="E1673" s="8">
        <f>IFERROR(VLOOKUP(D1673,$H$4:$I$70,2,0),"")</f>
        <v>376</v>
      </c>
      <c r="F1673" s="9">
        <f>IFERROR(VLOOKUP(C1673,$H$4:$I$70,2,0),"")</f>
        <v>474</v>
      </c>
    </row>
    <row r="1674" spans="2:6" x14ac:dyDescent="0.2">
      <c r="B1674" s="13">
        <f t="shared" si="80"/>
        <v>1671</v>
      </c>
      <c r="C1674" s="8">
        <f t="shared" si="81"/>
        <v>21</v>
      </c>
      <c r="D1674" s="8">
        <f t="shared" si="82"/>
        <v>34</v>
      </c>
      <c r="E1674" s="8">
        <f>IFERROR(VLOOKUP(D1674,$H$4:$I$70,2,0),"")</f>
        <v>376</v>
      </c>
      <c r="F1674" s="9">
        <f>IFERROR(VLOOKUP(C1674,$H$4:$I$70,2,0),"")</f>
        <v>468</v>
      </c>
    </row>
    <row r="1675" spans="2:6" x14ac:dyDescent="0.2">
      <c r="B1675" s="13">
        <f t="shared" si="80"/>
        <v>1672</v>
      </c>
      <c r="C1675" s="8">
        <f t="shared" si="81"/>
        <v>22</v>
      </c>
      <c r="D1675" s="8">
        <f t="shared" si="82"/>
        <v>34</v>
      </c>
      <c r="E1675" s="8">
        <f>IFERROR(VLOOKUP(D1675,$H$4:$I$70,2,0),"")</f>
        <v>376</v>
      </c>
      <c r="F1675" s="9">
        <f>IFERROR(VLOOKUP(C1675,$H$4:$I$70,2,0),"")</f>
        <v>457</v>
      </c>
    </row>
    <row r="1676" spans="2:6" x14ac:dyDescent="0.2">
      <c r="B1676" s="13">
        <f t="shared" si="80"/>
        <v>1673</v>
      </c>
      <c r="C1676" s="8">
        <f t="shared" si="81"/>
        <v>23</v>
      </c>
      <c r="D1676" s="8">
        <f t="shared" si="82"/>
        <v>34</v>
      </c>
      <c r="E1676" s="8">
        <f>IFERROR(VLOOKUP(D1676,$H$4:$I$70,2,0),"")</f>
        <v>376</v>
      </c>
      <c r="F1676" s="9">
        <f>IFERROR(VLOOKUP(C1676,$H$4:$I$70,2,0),"")</f>
        <v>452</v>
      </c>
    </row>
    <row r="1677" spans="2:6" x14ac:dyDescent="0.2">
      <c r="B1677" s="13">
        <f t="shared" si="80"/>
        <v>1674</v>
      </c>
      <c r="C1677" s="8">
        <f t="shared" si="81"/>
        <v>24</v>
      </c>
      <c r="D1677" s="8">
        <f t="shared" si="82"/>
        <v>34</v>
      </c>
      <c r="E1677" s="8">
        <f>IFERROR(VLOOKUP(D1677,$H$4:$I$70,2,0),"")</f>
        <v>376</v>
      </c>
      <c r="F1677" s="9">
        <f>IFERROR(VLOOKUP(C1677,$H$4:$I$70,2,0),"")</f>
        <v>442</v>
      </c>
    </row>
    <row r="1678" spans="2:6" x14ac:dyDescent="0.2">
      <c r="B1678" s="13">
        <f t="shared" si="80"/>
        <v>1675</v>
      </c>
      <c r="C1678" s="8">
        <f t="shared" si="81"/>
        <v>25</v>
      </c>
      <c r="D1678" s="8">
        <f t="shared" si="82"/>
        <v>34</v>
      </c>
      <c r="E1678" s="8">
        <f>IFERROR(VLOOKUP(D1678,$H$4:$I$70,2,0),"")</f>
        <v>376</v>
      </c>
      <c r="F1678" s="9">
        <f>IFERROR(VLOOKUP(C1678,$H$4:$I$70,2,0),"")</f>
        <v>420</v>
      </c>
    </row>
    <row r="1679" spans="2:6" x14ac:dyDescent="0.2">
      <c r="B1679" s="13">
        <f t="shared" si="80"/>
        <v>1676</v>
      </c>
      <c r="C1679" s="8">
        <f t="shared" si="81"/>
        <v>26</v>
      </c>
      <c r="D1679" s="8">
        <f t="shared" si="82"/>
        <v>34</v>
      </c>
      <c r="E1679" s="8">
        <f>IFERROR(VLOOKUP(D1679,$H$4:$I$70,2,0),"")</f>
        <v>376</v>
      </c>
      <c r="F1679" s="9">
        <f>IFERROR(VLOOKUP(C1679,$H$4:$I$70,2,0),"")</f>
        <v>410</v>
      </c>
    </row>
    <row r="1680" spans="2:6" x14ac:dyDescent="0.2">
      <c r="B1680" s="13">
        <f t="shared" si="80"/>
        <v>1677</v>
      </c>
      <c r="C1680" s="8">
        <f t="shared" si="81"/>
        <v>27</v>
      </c>
      <c r="D1680" s="8">
        <f t="shared" si="82"/>
        <v>34</v>
      </c>
      <c r="E1680" s="8">
        <f>IFERROR(VLOOKUP(D1680,$H$4:$I$70,2,0),"")</f>
        <v>376</v>
      </c>
      <c r="F1680" s="9">
        <f>IFERROR(VLOOKUP(C1680,$H$4:$I$70,2,0),"")</f>
        <v>409</v>
      </c>
    </row>
    <row r="1681" spans="2:6" x14ac:dyDescent="0.2">
      <c r="B1681" s="13">
        <f t="shared" si="80"/>
        <v>1678</v>
      </c>
      <c r="C1681" s="8">
        <f t="shared" si="81"/>
        <v>28</v>
      </c>
      <c r="D1681" s="8">
        <f t="shared" si="82"/>
        <v>34</v>
      </c>
      <c r="E1681" s="8">
        <f>IFERROR(VLOOKUP(D1681,$H$4:$I$70,2,0),"")</f>
        <v>376</v>
      </c>
      <c r="F1681" s="9">
        <f>IFERROR(VLOOKUP(C1681,$H$4:$I$70,2,0),"")</f>
        <v>408</v>
      </c>
    </row>
    <row r="1682" spans="2:6" x14ac:dyDescent="0.2">
      <c r="B1682" s="13">
        <f t="shared" si="80"/>
        <v>1679</v>
      </c>
      <c r="C1682" s="8">
        <f t="shared" si="81"/>
        <v>29</v>
      </c>
      <c r="D1682" s="8">
        <f t="shared" si="82"/>
        <v>34</v>
      </c>
      <c r="E1682" s="8">
        <f>IFERROR(VLOOKUP(D1682,$H$4:$I$70,2,0),"")</f>
        <v>376</v>
      </c>
      <c r="F1682" s="9">
        <f>IFERROR(VLOOKUP(C1682,$H$4:$I$70,2,0),"")</f>
        <v>404</v>
      </c>
    </row>
    <row r="1683" spans="2:6" x14ac:dyDescent="0.2">
      <c r="B1683" s="13">
        <f t="shared" si="80"/>
        <v>1680</v>
      </c>
      <c r="C1683" s="8">
        <f t="shared" si="81"/>
        <v>30</v>
      </c>
      <c r="D1683" s="8">
        <f t="shared" si="82"/>
        <v>34</v>
      </c>
      <c r="E1683" s="8">
        <f>IFERROR(VLOOKUP(D1683,$H$4:$I$70,2,0),"")</f>
        <v>376</v>
      </c>
      <c r="F1683" s="9">
        <f>IFERROR(VLOOKUP(C1683,$H$4:$I$70,2,0),"")</f>
        <v>399</v>
      </c>
    </row>
    <row r="1684" spans="2:6" x14ac:dyDescent="0.2">
      <c r="B1684" s="13">
        <f t="shared" si="80"/>
        <v>1681</v>
      </c>
      <c r="C1684" s="8">
        <f t="shared" si="81"/>
        <v>31</v>
      </c>
      <c r="D1684" s="8">
        <f t="shared" si="82"/>
        <v>34</v>
      </c>
      <c r="E1684" s="8">
        <f>IFERROR(VLOOKUP(D1684,$H$4:$I$70,2,0),"")</f>
        <v>376</v>
      </c>
      <c r="F1684" s="9">
        <f>IFERROR(VLOOKUP(C1684,$H$4:$I$70,2,0),"")</f>
        <v>396</v>
      </c>
    </row>
    <row r="1685" spans="2:6" x14ac:dyDescent="0.2">
      <c r="B1685" s="13">
        <f t="shared" si="80"/>
        <v>1682</v>
      </c>
      <c r="C1685" s="8">
        <f t="shared" si="81"/>
        <v>32</v>
      </c>
      <c r="D1685" s="8">
        <f t="shared" si="82"/>
        <v>34</v>
      </c>
      <c r="E1685" s="8">
        <f>IFERROR(VLOOKUP(D1685,$H$4:$I$70,2,0),"")</f>
        <v>376</v>
      </c>
      <c r="F1685" s="9">
        <f>IFERROR(VLOOKUP(C1685,$H$4:$I$70,2,0),"")</f>
        <v>384</v>
      </c>
    </row>
    <row r="1686" spans="2:6" x14ac:dyDescent="0.2">
      <c r="B1686" s="13">
        <f t="shared" si="80"/>
        <v>1683</v>
      </c>
      <c r="C1686" s="8">
        <f t="shared" si="81"/>
        <v>33</v>
      </c>
      <c r="D1686" s="8">
        <f t="shared" si="82"/>
        <v>34</v>
      </c>
      <c r="E1686" s="8">
        <f>IFERROR(VLOOKUP(D1686,$H$4:$I$70,2,0),"")</f>
        <v>376</v>
      </c>
      <c r="F1686" s="9">
        <f>IFERROR(VLOOKUP(C1686,$H$4:$I$70,2,0),"")</f>
        <v>381</v>
      </c>
    </row>
    <row r="1687" spans="2:6" x14ac:dyDescent="0.2">
      <c r="B1687" s="13">
        <f t="shared" si="80"/>
        <v>1684</v>
      </c>
      <c r="C1687" s="8">
        <f t="shared" si="81"/>
        <v>1</v>
      </c>
      <c r="D1687" s="8">
        <f t="shared" si="82"/>
        <v>33</v>
      </c>
      <c r="E1687" s="8">
        <f>IFERROR(VLOOKUP(D1687,$H$4:$I$70,2,0),"")</f>
        <v>381</v>
      </c>
      <c r="F1687" s="9">
        <f>IFERROR(VLOOKUP(C1687,$H$4:$I$70,2,0),"")</f>
        <v>1344</v>
      </c>
    </row>
    <row r="1688" spans="2:6" x14ac:dyDescent="0.2">
      <c r="B1688" s="13">
        <f t="shared" si="80"/>
        <v>1685</v>
      </c>
      <c r="C1688" s="8">
        <f t="shared" si="81"/>
        <v>2</v>
      </c>
      <c r="D1688" s="8">
        <f t="shared" si="82"/>
        <v>33</v>
      </c>
      <c r="E1688" s="8">
        <f>IFERROR(VLOOKUP(D1688,$H$4:$I$70,2,0),"")</f>
        <v>381</v>
      </c>
      <c r="F1688" s="9">
        <f>IFERROR(VLOOKUP(C1688,$H$4:$I$70,2,0),"")</f>
        <v>1048</v>
      </c>
    </row>
    <row r="1689" spans="2:6" x14ac:dyDescent="0.2">
      <c r="B1689" s="13">
        <f t="shared" si="80"/>
        <v>1686</v>
      </c>
      <c r="C1689" s="8">
        <f t="shared" si="81"/>
        <v>3</v>
      </c>
      <c r="D1689" s="8">
        <f t="shared" si="82"/>
        <v>33</v>
      </c>
      <c r="E1689" s="8">
        <f>IFERROR(VLOOKUP(D1689,$H$4:$I$70,2,0),"")</f>
        <v>381</v>
      </c>
      <c r="F1689" s="9">
        <f>IFERROR(VLOOKUP(C1689,$H$4:$I$70,2,0),"")</f>
        <v>1025</v>
      </c>
    </row>
    <row r="1690" spans="2:6" x14ac:dyDescent="0.2">
      <c r="B1690" s="13">
        <f t="shared" si="80"/>
        <v>1687</v>
      </c>
      <c r="C1690" s="8">
        <f t="shared" si="81"/>
        <v>4</v>
      </c>
      <c r="D1690" s="8">
        <f t="shared" si="82"/>
        <v>33</v>
      </c>
      <c r="E1690" s="8">
        <f>IFERROR(VLOOKUP(D1690,$H$4:$I$70,2,0),"")</f>
        <v>381</v>
      </c>
      <c r="F1690" s="9">
        <f>IFERROR(VLOOKUP(C1690,$H$4:$I$70,2,0),"")</f>
        <v>805</v>
      </c>
    </row>
    <row r="1691" spans="2:6" x14ac:dyDescent="0.2">
      <c r="B1691" s="13">
        <f t="shared" si="80"/>
        <v>1688</v>
      </c>
      <c r="C1691" s="8">
        <f t="shared" si="81"/>
        <v>5</v>
      </c>
      <c r="D1691" s="8">
        <f t="shared" si="82"/>
        <v>33</v>
      </c>
      <c r="E1691" s="8">
        <f>IFERROR(VLOOKUP(D1691,$H$4:$I$70,2,0),"")</f>
        <v>381</v>
      </c>
      <c r="F1691" s="9">
        <f>IFERROR(VLOOKUP(C1691,$H$4:$I$70,2,0),"")</f>
        <v>666</v>
      </c>
    </row>
    <row r="1692" spans="2:6" x14ac:dyDescent="0.2">
      <c r="B1692" s="13">
        <f t="shared" si="80"/>
        <v>1689</v>
      </c>
      <c r="C1692" s="8">
        <f t="shared" si="81"/>
        <v>6</v>
      </c>
      <c r="D1692" s="8">
        <f t="shared" si="82"/>
        <v>33</v>
      </c>
      <c r="E1692" s="8">
        <f>IFERROR(VLOOKUP(D1692,$H$4:$I$70,2,0),"")</f>
        <v>381</v>
      </c>
      <c r="F1692" s="9">
        <f>IFERROR(VLOOKUP(C1692,$H$4:$I$70,2,0),"")</f>
        <v>655</v>
      </c>
    </row>
    <row r="1693" spans="2:6" x14ac:dyDescent="0.2">
      <c r="B1693" s="13">
        <f t="shared" si="80"/>
        <v>1690</v>
      </c>
      <c r="C1693" s="8">
        <f t="shared" si="81"/>
        <v>7</v>
      </c>
      <c r="D1693" s="8">
        <f t="shared" si="82"/>
        <v>33</v>
      </c>
      <c r="E1693" s="8">
        <f>IFERROR(VLOOKUP(D1693,$H$4:$I$70,2,0),"")</f>
        <v>381</v>
      </c>
      <c r="F1693" s="9">
        <f>IFERROR(VLOOKUP(C1693,$H$4:$I$70,2,0),"")</f>
        <v>652</v>
      </c>
    </row>
    <row r="1694" spans="2:6" x14ac:dyDescent="0.2">
      <c r="B1694" s="13">
        <f t="shared" si="80"/>
        <v>1691</v>
      </c>
      <c r="C1694" s="8">
        <f t="shared" si="81"/>
        <v>8</v>
      </c>
      <c r="D1694" s="8">
        <f t="shared" si="82"/>
        <v>33</v>
      </c>
      <c r="E1694" s="8">
        <f>IFERROR(VLOOKUP(D1694,$H$4:$I$70,2,0),"")</f>
        <v>381</v>
      </c>
      <c r="F1694" s="9">
        <f>IFERROR(VLOOKUP(C1694,$H$4:$I$70,2,0),"")</f>
        <v>633</v>
      </c>
    </row>
    <row r="1695" spans="2:6" x14ac:dyDescent="0.2">
      <c r="B1695" s="13">
        <f t="shared" si="80"/>
        <v>1692</v>
      </c>
      <c r="C1695" s="8">
        <f t="shared" si="81"/>
        <v>9</v>
      </c>
      <c r="D1695" s="8">
        <f t="shared" si="82"/>
        <v>33</v>
      </c>
      <c r="E1695" s="8">
        <f>IFERROR(VLOOKUP(D1695,$H$4:$I$70,2,0),"")</f>
        <v>381</v>
      </c>
      <c r="F1695" s="9">
        <f>IFERROR(VLOOKUP(C1695,$H$4:$I$70,2,0),"")</f>
        <v>632</v>
      </c>
    </row>
    <row r="1696" spans="2:6" x14ac:dyDescent="0.2">
      <c r="B1696" s="13">
        <f t="shared" si="80"/>
        <v>1693</v>
      </c>
      <c r="C1696" s="8">
        <f t="shared" si="81"/>
        <v>10</v>
      </c>
      <c r="D1696" s="8">
        <f t="shared" si="82"/>
        <v>33</v>
      </c>
      <c r="E1696" s="8">
        <f>IFERROR(VLOOKUP(D1696,$H$4:$I$70,2,0),"")</f>
        <v>381</v>
      </c>
      <c r="F1696" s="9">
        <f>IFERROR(VLOOKUP(C1696,$H$4:$I$70,2,0),"")</f>
        <v>625</v>
      </c>
    </row>
    <row r="1697" spans="2:6" x14ac:dyDescent="0.2">
      <c r="B1697" s="13">
        <f t="shared" si="80"/>
        <v>1694</v>
      </c>
      <c r="C1697" s="8">
        <f t="shared" si="81"/>
        <v>11</v>
      </c>
      <c r="D1697" s="8">
        <f t="shared" si="82"/>
        <v>33</v>
      </c>
      <c r="E1697" s="8">
        <f>IFERROR(VLOOKUP(D1697,$H$4:$I$70,2,0),"")</f>
        <v>381</v>
      </c>
      <c r="F1697" s="9">
        <f>IFERROR(VLOOKUP(C1697,$H$4:$I$70,2,0),"")</f>
        <v>619</v>
      </c>
    </row>
    <row r="1698" spans="2:6" x14ac:dyDescent="0.2">
      <c r="B1698" s="13">
        <f t="shared" si="80"/>
        <v>1695</v>
      </c>
      <c r="C1698" s="8">
        <f t="shared" si="81"/>
        <v>12</v>
      </c>
      <c r="D1698" s="8">
        <f t="shared" si="82"/>
        <v>33</v>
      </c>
      <c r="E1698" s="8">
        <f>IFERROR(VLOOKUP(D1698,$H$4:$I$70,2,0),"")</f>
        <v>381</v>
      </c>
      <c r="F1698" s="9">
        <f>IFERROR(VLOOKUP(C1698,$H$4:$I$70,2,0),"")</f>
        <v>610</v>
      </c>
    </row>
    <row r="1699" spans="2:6" x14ac:dyDescent="0.2">
      <c r="B1699" s="13">
        <f t="shared" si="80"/>
        <v>1696</v>
      </c>
      <c r="C1699" s="8">
        <f t="shared" si="81"/>
        <v>13</v>
      </c>
      <c r="D1699" s="8">
        <f t="shared" si="82"/>
        <v>33</v>
      </c>
      <c r="E1699" s="8">
        <f>IFERROR(VLOOKUP(D1699,$H$4:$I$70,2,0),"")</f>
        <v>381</v>
      </c>
      <c r="F1699" s="9">
        <f>IFERROR(VLOOKUP(C1699,$H$4:$I$70,2,0),"")</f>
        <v>599</v>
      </c>
    </row>
    <row r="1700" spans="2:6" x14ac:dyDescent="0.2">
      <c r="B1700" s="13">
        <f t="shared" si="80"/>
        <v>1697</v>
      </c>
      <c r="C1700" s="8">
        <f t="shared" si="81"/>
        <v>14</v>
      </c>
      <c r="D1700" s="8">
        <f t="shared" si="82"/>
        <v>33</v>
      </c>
      <c r="E1700" s="8">
        <f>IFERROR(VLOOKUP(D1700,$H$4:$I$70,2,0),"")</f>
        <v>381</v>
      </c>
      <c r="F1700" s="9">
        <f>IFERROR(VLOOKUP(C1700,$H$4:$I$70,2,0),"")</f>
        <v>559</v>
      </c>
    </row>
    <row r="1701" spans="2:6" x14ac:dyDescent="0.2">
      <c r="B1701" s="13">
        <f t="shared" si="80"/>
        <v>1698</v>
      </c>
      <c r="C1701" s="8">
        <f t="shared" si="81"/>
        <v>15</v>
      </c>
      <c r="D1701" s="8">
        <f t="shared" si="82"/>
        <v>33</v>
      </c>
      <c r="E1701" s="8">
        <f>IFERROR(VLOOKUP(D1701,$H$4:$I$70,2,0),"")</f>
        <v>381</v>
      </c>
      <c r="F1701" s="9">
        <f>IFERROR(VLOOKUP(C1701,$H$4:$I$70,2,0),"")</f>
        <v>556</v>
      </c>
    </row>
    <row r="1702" spans="2:6" x14ac:dyDescent="0.2">
      <c r="B1702" s="13">
        <f t="shared" si="80"/>
        <v>1699</v>
      </c>
      <c r="C1702" s="8">
        <f t="shared" si="81"/>
        <v>16</v>
      </c>
      <c r="D1702" s="8">
        <f t="shared" si="82"/>
        <v>33</v>
      </c>
      <c r="E1702" s="8">
        <f>IFERROR(VLOOKUP(D1702,$H$4:$I$70,2,0),"")</f>
        <v>381</v>
      </c>
      <c r="F1702" s="9">
        <f>IFERROR(VLOOKUP(C1702,$H$4:$I$70,2,0),"")</f>
        <v>540</v>
      </c>
    </row>
    <row r="1703" spans="2:6" x14ac:dyDescent="0.2">
      <c r="B1703" s="13">
        <f t="shared" si="80"/>
        <v>1700</v>
      </c>
      <c r="C1703" s="8">
        <f t="shared" si="81"/>
        <v>17</v>
      </c>
      <c r="D1703" s="8">
        <f t="shared" si="82"/>
        <v>33</v>
      </c>
      <c r="E1703" s="8">
        <f>IFERROR(VLOOKUP(D1703,$H$4:$I$70,2,0),"")</f>
        <v>381</v>
      </c>
      <c r="F1703" s="9">
        <f>IFERROR(VLOOKUP(C1703,$H$4:$I$70,2,0),"")</f>
        <v>536</v>
      </c>
    </row>
    <row r="1704" spans="2:6" x14ac:dyDescent="0.2">
      <c r="B1704" s="13">
        <f t="shared" si="80"/>
        <v>1701</v>
      </c>
      <c r="C1704" s="8">
        <f t="shared" si="81"/>
        <v>18</v>
      </c>
      <c r="D1704" s="8">
        <f t="shared" si="82"/>
        <v>33</v>
      </c>
      <c r="E1704" s="8">
        <f>IFERROR(VLOOKUP(D1704,$H$4:$I$70,2,0),"")</f>
        <v>381</v>
      </c>
      <c r="F1704" s="9">
        <f>IFERROR(VLOOKUP(C1704,$H$4:$I$70,2,0),"")</f>
        <v>527</v>
      </c>
    </row>
    <row r="1705" spans="2:6" x14ac:dyDescent="0.2">
      <c r="B1705" s="13">
        <f t="shared" si="80"/>
        <v>1702</v>
      </c>
      <c r="C1705" s="8">
        <f t="shared" si="81"/>
        <v>19</v>
      </c>
      <c r="D1705" s="8">
        <f t="shared" si="82"/>
        <v>33</v>
      </c>
      <c r="E1705" s="8">
        <f>IFERROR(VLOOKUP(D1705,$H$4:$I$70,2,0),"")</f>
        <v>381</v>
      </c>
      <c r="F1705" s="9">
        <f>IFERROR(VLOOKUP(C1705,$H$4:$I$70,2,0),"")</f>
        <v>478</v>
      </c>
    </row>
    <row r="1706" spans="2:6" x14ac:dyDescent="0.2">
      <c r="B1706" s="13">
        <f t="shared" si="80"/>
        <v>1703</v>
      </c>
      <c r="C1706" s="8">
        <f t="shared" si="81"/>
        <v>20</v>
      </c>
      <c r="D1706" s="8">
        <f t="shared" si="82"/>
        <v>33</v>
      </c>
      <c r="E1706" s="8">
        <f>IFERROR(VLOOKUP(D1706,$H$4:$I$70,2,0),"")</f>
        <v>381</v>
      </c>
      <c r="F1706" s="9">
        <f>IFERROR(VLOOKUP(C1706,$H$4:$I$70,2,0),"")</f>
        <v>474</v>
      </c>
    </row>
    <row r="1707" spans="2:6" x14ac:dyDescent="0.2">
      <c r="B1707" s="13">
        <f t="shared" si="80"/>
        <v>1704</v>
      </c>
      <c r="C1707" s="8">
        <f t="shared" si="81"/>
        <v>21</v>
      </c>
      <c r="D1707" s="8">
        <f t="shared" si="82"/>
        <v>33</v>
      </c>
      <c r="E1707" s="8">
        <f>IFERROR(VLOOKUP(D1707,$H$4:$I$70,2,0),"")</f>
        <v>381</v>
      </c>
      <c r="F1707" s="9">
        <f>IFERROR(VLOOKUP(C1707,$H$4:$I$70,2,0),"")</f>
        <v>468</v>
      </c>
    </row>
    <row r="1708" spans="2:6" x14ac:dyDescent="0.2">
      <c r="B1708" s="13">
        <f t="shared" si="80"/>
        <v>1705</v>
      </c>
      <c r="C1708" s="8">
        <f t="shared" si="81"/>
        <v>22</v>
      </c>
      <c r="D1708" s="8">
        <f t="shared" si="82"/>
        <v>33</v>
      </c>
      <c r="E1708" s="8">
        <f>IFERROR(VLOOKUP(D1708,$H$4:$I$70,2,0),"")</f>
        <v>381</v>
      </c>
      <c r="F1708" s="9">
        <f>IFERROR(VLOOKUP(C1708,$H$4:$I$70,2,0),"")</f>
        <v>457</v>
      </c>
    </row>
    <row r="1709" spans="2:6" x14ac:dyDescent="0.2">
      <c r="B1709" s="13">
        <f t="shared" si="80"/>
        <v>1706</v>
      </c>
      <c r="C1709" s="8">
        <f t="shared" si="81"/>
        <v>23</v>
      </c>
      <c r="D1709" s="8">
        <f t="shared" si="82"/>
        <v>33</v>
      </c>
      <c r="E1709" s="8">
        <f>IFERROR(VLOOKUP(D1709,$H$4:$I$70,2,0),"")</f>
        <v>381</v>
      </c>
      <c r="F1709" s="9">
        <f>IFERROR(VLOOKUP(C1709,$H$4:$I$70,2,0),"")</f>
        <v>452</v>
      </c>
    </row>
    <row r="1710" spans="2:6" x14ac:dyDescent="0.2">
      <c r="B1710" s="13">
        <f t="shared" si="80"/>
        <v>1707</v>
      </c>
      <c r="C1710" s="8">
        <f t="shared" si="81"/>
        <v>24</v>
      </c>
      <c r="D1710" s="8">
        <f t="shared" si="82"/>
        <v>33</v>
      </c>
      <c r="E1710" s="8">
        <f>IFERROR(VLOOKUP(D1710,$H$4:$I$70,2,0),"")</f>
        <v>381</v>
      </c>
      <c r="F1710" s="9">
        <f>IFERROR(VLOOKUP(C1710,$H$4:$I$70,2,0),"")</f>
        <v>442</v>
      </c>
    </row>
    <row r="1711" spans="2:6" x14ac:dyDescent="0.2">
      <c r="B1711" s="13">
        <f t="shared" si="80"/>
        <v>1708</v>
      </c>
      <c r="C1711" s="8">
        <f t="shared" si="81"/>
        <v>25</v>
      </c>
      <c r="D1711" s="8">
        <f t="shared" si="82"/>
        <v>33</v>
      </c>
      <c r="E1711" s="8">
        <f>IFERROR(VLOOKUP(D1711,$H$4:$I$70,2,0),"")</f>
        <v>381</v>
      </c>
      <c r="F1711" s="9">
        <f>IFERROR(VLOOKUP(C1711,$H$4:$I$70,2,0),"")</f>
        <v>420</v>
      </c>
    </row>
    <row r="1712" spans="2:6" x14ac:dyDescent="0.2">
      <c r="B1712" s="13">
        <f t="shared" si="80"/>
        <v>1709</v>
      </c>
      <c r="C1712" s="8">
        <f t="shared" si="81"/>
        <v>26</v>
      </c>
      <c r="D1712" s="8">
        <f t="shared" si="82"/>
        <v>33</v>
      </c>
      <c r="E1712" s="8">
        <f>IFERROR(VLOOKUP(D1712,$H$4:$I$70,2,0),"")</f>
        <v>381</v>
      </c>
      <c r="F1712" s="9">
        <f>IFERROR(VLOOKUP(C1712,$H$4:$I$70,2,0),"")</f>
        <v>410</v>
      </c>
    </row>
    <row r="1713" spans="2:6" x14ac:dyDescent="0.2">
      <c r="B1713" s="13">
        <f t="shared" si="80"/>
        <v>1710</v>
      </c>
      <c r="C1713" s="8">
        <f t="shared" si="81"/>
        <v>27</v>
      </c>
      <c r="D1713" s="8">
        <f t="shared" si="82"/>
        <v>33</v>
      </c>
      <c r="E1713" s="8">
        <f>IFERROR(VLOOKUP(D1713,$H$4:$I$70,2,0),"")</f>
        <v>381</v>
      </c>
      <c r="F1713" s="9">
        <f>IFERROR(VLOOKUP(C1713,$H$4:$I$70,2,0),"")</f>
        <v>409</v>
      </c>
    </row>
    <row r="1714" spans="2:6" x14ac:dyDescent="0.2">
      <c r="B1714" s="13">
        <f t="shared" si="80"/>
        <v>1711</v>
      </c>
      <c r="C1714" s="8">
        <f t="shared" si="81"/>
        <v>28</v>
      </c>
      <c r="D1714" s="8">
        <f t="shared" si="82"/>
        <v>33</v>
      </c>
      <c r="E1714" s="8">
        <f>IFERROR(VLOOKUP(D1714,$H$4:$I$70,2,0),"")</f>
        <v>381</v>
      </c>
      <c r="F1714" s="9">
        <f>IFERROR(VLOOKUP(C1714,$H$4:$I$70,2,0),"")</f>
        <v>408</v>
      </c>
    </row>
    <row r="1715" spans="2:6" x14ac:dyDescent="0.2">
      <c r="B1715" s="13">
        <f t="shared" si="80"/>
        <v>1712</v>
      </c>
      <c r="C1715" s="8">
        <f t="shared" si="81"/>
        <v>29</v>
      </c>
      <c r="D1715" s="8">
        <f t="shared" si="82"/>
        <v>33</v>
      </c>
      <c r="E1715" s="8">
        <f>IFERROR(VLOOKUP(D1715,$H$4:$I$70,2,0),"")</f>
        <v>381</v>
      </c>
      <c r="F1715" s="9">
        <f>IFERROR(VLOOKUP(C1715,$H$4:$I$70,2,0),"")</f>
        <v>404</v>
      </c>
    </row>
    <row r="1716" spans="2:6" x14ac:dyDescent="0.2">
      <c r="B1716" s="13">
        <f t="shared" si="80"/>
        <v>1713</v>
      </c>
      <c r="C1716" s="8">
        <f t="shared" si="81"/>
        <v>30</v>
      </c>
      <c r="D1716" s="8">
        <f t="shared" si="82"/>
        <v>33</v>
      </c>
      <c r="E1716" s="8">
        <f>IFERROR(VLOOKUP(D1716,$H$4:$I$70,2,0),"")</f>
        <v>381</v>
      </c>
      <c r="F1716" s="9">
        <f>IFERROR(VLOOKUP(C1716,$H$4:$I$70,2,0),"")</f>
        <v>399</v>
      </c>
    </row>
    <row r="1717" spans="2:6" x14ac:dyDescent="0.2">
      <c r="B1717" s="13">
        <f t="shared" si="80"/>
        <v>1714</v>
      </c>
      <c r="C1717" s="8">
        <f t="shared" si="81"/>
        <v>31</v>
      </c>
      <c r="D1717" s="8">
        <f t="shared" si="82"/>
        <v>33</v>
      </c>
      <c r="E1717" s="8">
        <f>IFERROR(VLOOKUP(D1717,$H$4:$I$70,2,0),"")</f>
        <v>381</v>
      </c>
      <c r="F1717" s="9">
        <f>IFERROR(VLOOKUP(C1717,$H$4:$I$70,2,0),"")</f>
        <v>396</v>
      </c>
    </row>
    <row r="1718" spans="2:6" x14ac:dyDescent="0.2">
      <c r="B1718" s="13">
        <f t="shared" si="80"/>
        <v>1715</v>
      </c>
      <c r="C1718" s="8">
        <f t="shared" si="81"/>
        <v>32</v>
      </c>
      <c r="D1718" s="8">
        <f t="shared" si="82"/>
        <v>33</v>
      </c>
      <c r="E1718" s="8">
        <f>IFERROR(VLOOKUP(D1718,$H$4:$I$70,2,0),"")</f>
        <v>381</v>
      </c>
      <c r="F1718" s="9">
        <f>IFERROR(VLOOKUP(C1718,$H$4:$I$70,2,0),"")</f>
        <v>384</v>
      </c>
    </row>
    <row r="1719" spans="2:6" x14ac:dyDescent="0.2">
      <c r="B1719" s="13">
        <f t="shared" si="80"/>
        <v>1716</v>
      </c>
      <c r="C1719" s="8">
        <f t="shared" si="81"/>
        <v>1</v>
      </c>
      <c r="D1719" s="8">
        <f t="shared" si="82"/>
        <v>32</v>
      </c>
      <c r="E1719" s="8">
        <f>IFERROR(VLOOKUP(D1719,$H$4:$I$70,2,0),"")</f>
        <v>384</v>
      </c>
      <c r="F1719" s="9">
        <f>IFERROR(VLOOKUP(C1719,$H$4:$I$70,2,0),"")</f>
        <v>1344</v>
      </c>
    </row>
    <row r="1720" spans="2:6" x14ac:dyDescent="0.2">
      <c r="B1720" s="13">
        <f t="shared" si="80"/>
        <v>1717</v>
      </c>
      <c r="C1720" s="8">
        <f t="shared" si="81"/>
        <v>2</v>
      </c>
      <c r="D1720" s="8">
        <f t="shared" si="82"/>
        <v>32</v>
      </c>
      <c r="E1720" s="8">
        <f>IFERROR(VLOOKUP(D1720,$H$4:$I$70,2,0),"")</f>
        <v>384</v>
      </c>
      <c r="F1720" s="9">
        <f>IFERROR(VLOOKUP(C1720,$H$4:$I$70,2,0),"")</f>
        <v>1048</v>
      </c>
    </row>
    <row r="1721" spans="2:6" x14ac:dyDescent="0.2">
      <c r="B1721" s="13">
        <f t="shared" si="80"/>
        <v>1718</v>
      </c>
      <c r="C1721" s="8">
        <f t="shared" si="81"/>
        <v>3</v>
      </c>
      <c r="D1721" s="8">
        <f t="shared" si="82"/>
        <v>32</v>
      </c>
      <c r="E1721" s="8">
        <f>IFERROR(VLOOKUP(D1721,$H$4:$I$70,2,0),"")</f>
        <v>384</v>
      </c>
      <c r="F1721" s="9">
        <f>IFERROR(VLOOKUP(C1721,$H$4:$I$70,2,0),"")</f>
        <v>1025</v>
      </c>
    </row>
    <row r="1722" spans="2:6" x14ac:dyDescent="0.2">
      <c r="B1722" s="13">
        <f t="shared" si="80"/>
        <v>1719</v>
      </c>
      <c r="C1722" s="8">
        <f t="shared" si="81"/>
        <v>4</v>
      </c>
      <c r="D1722" s="8">
        <f t="shared" si="82"/>
        <v>32</v>
      </c>
      <c r="E1722" s="8">
        <f>IFERROR(VLOOKUP(D1722,$H$4:$I$70,2,0),"")</f>
        <v>384</v>
      </c>
      <c r="F1722" s="9">
        <f>IFERROR(VLOOKUP(C1722,$H$4:$I$70,2,0),"")</f>
        <v>805</v>
      </c>
    </row>
    <row r="1723" spans="2:6" x14ac:dyDescent="0.2">
      <c r="B1723" s="13">
        <f t="shared" si="80"/>
        <v>1720</v>
      </c>
      <c r="C1723" s="8">
        <f t="shared" si="81"/>
        <v>5</v>
      </c>
      <c r="D1723" s="8">
        <f t="shared" si="82"/>
        <v>32</v>
      </c>
      <c r="E1723" s="8">
        <f>IFERROR(VLOOKUP(D1723,$H$4:$I$70,2,0),"")</f>
        <v>384</v>
      </c>
      <c r="F1723" s="9">
        <f>IFERROR(VLOOKUP(C1723,$H$4:$I$70,2,0),"")</f>
        <v>666</v>
      </c>
    </row>
    <row r="1724" spans="2:6" x14ac:dyDescent="0.2">
      <c r="B1724" s="13">
        <f t="shared" si="80"/>
        <v>1721</v>
      </c>
      <c r="C1724" s="8">
        <f t="shared" si="81"/>
        <v>6</v>
      </c>
      <c r="D1724" s="8">
        <f t="shared" si="82"/>
        <v>32</v>
      </c>
      <c r="E1724" s="8">
        <f>IFERROR(VLOOKUP(D1724,$H$4:$I$70,2,0),"")</f>
        <v>384</v>
      </c>
      <c r="F1724" s="9">
        <f>IFERROR(VLOOKUP(C1724,$H$4:$I$70,2,0),"")</f>
        <v>655</v>
      </c>
    </row>
    <row r="1725" spans="2:6" x14ac:dyDescent="0.2">
      <c r="B1725" s="13">
        <f t="shared" si="80"/>
        <v>1722</v>
      </c>
      <c r="C1725" s="8">
        <f t="shared" si="81"/>
        <v>7</v>
      </c>
      <c r="D1725" s="8">
        <f t="shared" si="82"/>
        <v>32</v>
      </c>
      <c r="E1725" s="8">
        <f>IFERROR(VLOOKUP(D1725,$H$4:$I$70,2,0),"")</f>
        <v>384</v>
      </c>
      <c r="F1725" s="9">
        <f>IFERROR(VLOOKUP(C1725,$H$4:$I$70,2,0),"")</f>
        <v>652</v>
      </c>
    </row>
    <row r="1726" spans="2:6" x14ac:dyDescent="0.2">
      <c r="B1726" s="13">
        <f t="shared" si="80"/>
        <v>1723</v>
      </c>
      <c r="C1726" s="8">
        <f t="shared" si="81"/>
        <v>8</v>
      </c>
      <c r="D1726" s="8">
        <f t="shared" si="82"/>
        <v>32</v>
      </c>
      <c r="E1726" s="8">
        <f>IFERROR(VLOOKUP(D1726,$H$4:$I$70,2,0),"")</f>
        <v>384</v>
      </c>
      <c r="F1726" s="9">
        <f>IFERROR(VLOOKUP(C1726,$H$4:$I$70,2,0),"")</f>
        <v>633</v>
      </c>
    </row>
    <row r="1727" spans="2:6" x14ac:dyDescent="0.2">
      <c r="B1727" s="13">
        <f t="shared" si="80"/>
        <v>1724</v>
      </c>
      <c r="C1727" s="8">
        <f t="shared" si="81"/>
        <v>9</v>
      </c>
      <c r="D1727" s="8">
        <f t="shared" si="82"/>
        <v>32</v>
      </c>
      <c r="E1727" s="8">
        <f>IFERROR(VLOOKUP(D1727,$H$4:$I$70,2,0),"")</f>
        <v>384</v>
      </c>
      <c r="F1727" s="9">
        <f>IFERROR(VLOOKUP(C1727,$H$4:$I$70,2,0),"")</f>
        <v>632</v>
      </c>
    </row>
    <row r="1728" spans="2:6" x14ac:dyDescent="0.2">
      <c r="B1728" s="13">
        <f t="shared" si="80"/>
        <v>1725</v>
      </c>
      <c r="C1728" s="8">
        <f t="shared" si="81"/>
        <v>10</v>
      </c>
      <c r="D1728" s="8">
        <f t="shared" si="82"/>
        <v>32</v>
      </c>
      <c r="E1728" s="8">
        <f>IFERROR(VLOOKUP(D1728,$H$4:$I$70,2,0),"")</f>
        <v>384</v>
      </c>
      <c r="F1728" s="9">
        <f>IFERROR(VLOOKUP(C1728,$H$4:$I$70,2,0),"")</f>
        <v>625</v>
      </c>
    </row>
    <row r="1729" spans="2:6" x14ac:dyDescent="0.2">
      <c r="B1729" s="13">
        <f t="shared" si="80"/>
        <v>1726</v>
      </c>
      <c r="C1729" s="8">
        <f t="shared" si="81"/>
        <v>11</v>
      </c>
      <c r="D1729" s="8">
        <f t="shared" si="82"/>
        <v>32</v>
      </c>
      <c r="E1729" s="8">
        <f>IFERROR(VLOOKUP(D1729,$H$4:$I$70,2,0),"")</f>
        <v>384</v>
      </c>
      <c r="F1729" s="9">
        <f>IFERROR(VLOOKUP(C1729,$H$4:$I$70,2,0),"")</f>
        <v>619</v>
      </c>
    </row>
    <row r="1730" spans="2:6" x14ac:dyDescent="0.2">
      <c r="B1730" s="13">
        <f t="shared" si="80"/>
        <v>1727</v>
      </c>
      <c r="C1730" s="8">
        <f t="shared" si="81"/>
        <v>12</v>
      </c>
      <c r="D1730" s="8">
        <f t="shared" si="82"/>
        <v>32</v>
      </c>
      <c r="E1730" s="8">
        <f>IFERROR(VLOOKUP(D1730,$H$4:$I$70,2,0),"")</f>
        <v>384</v>
      </c>
      <c r="F1730" s="9">
        <f>IFERROR(VLOOKUP(C1730,$H$4:$I$70,2,0),"")</f>
        <v>610</v>
      </c>
    </row>
    <row r="1731" spans="2:6" x14ac:dyDescent="0.2">
      <c r="B1731" s="13">
        <f t="shared" si="80"/>
        <v>1728</v>
      </c>
      <c r="C1731" s="8">
        <f t="shared" si="81"/>
        <v>13</v>
      </c>
      <c r="D1731" s="8">
        <f t="shared" si="82"/>
        <v>32</v>
      </c>
      <c r="E1731" s="8">
        <f>IFERROR(VLOOKUP(D1731,$H$4:$I$70,2,0),"")</f>
        <v>384</v>
      </c>
      <c r="F1731" s="9">
        <f>IFERROR(VLOOKUP(C1731,$H$4:$I$70,2,0),"")</f>
        <v>599</v>
      </c>
    </row>
    <row r="1732" spans="2:6" x14ac:dyDescent="0.2">
      <c r="B1732" s="13">
        <f t="shared" si="80"/>
        <v>1729</v>
      </c>
      <c r="C1732" s="8">
        <f t="shared" si="81"/>
        <v>14</v>
      </c>
      <c r="D1732" s="8">
        <f t="shared" si="82"/>
        <v>32</v>
      </c>
      <c r="E1732" s="8">
        <f>IFERROR(VLOOKUP(D1732,$H$4:$I$70,2,0),"")</f>
        <v>384</v>
      </c>
      <c r="F1732" s="9">
        <f>IFERROR(VLOOKUP(C1732,$H$4:$I$70,2,0),"")</f>
        <v>559</v>
      </c>
    </row>
    <row r="1733" spans="2:6" x14ac:dyDescent="0.2">
      <c r="B1733" s="13">
        <f t="shared" ref="B1733:B1796" si="83">ROW()-3</f>
        <v>1730</v>
      </c>
      <c r="C1733" s="8">
        <f t="shared" si="81"/>
        <v>15</v>
      </c>
      <c r="D1733" s="8">
        <f t="shared" si="82"/>
        <v>32</v>
      </c>
      <c r="E1733" s="8">
        <f>IFERROR(VLOOKUP(D1733,$H$4:$I$70,2,0),"")</f>
        <v>384</v>
      </c>
      <c r="F1733" s="9">
        <f>IFERROR(VLOOKUP(C1733,$H$4:$I$70,2,0),"")</f>
        <v>556</v>
      </c>
    </row>
    <row r="1734" spans="2:6" x14ac:dyDescent="0.2">
      <c r="B1734" s="13">
        <f t="shared" si="83"/>
        <v>1731</v>
      </c>
      <c r="C1734" s="8">
        <f t="shared" ref="C1734:C1797" si="84">IF((D1733-C1733)=1,1,C1733+1)</f>
        <v>16</v>
      </c>
      <c r="D1734" s="8">
        <f t="shared" ref="D1734:D1797" si="85">IF((D1733-C1733)=1,D1733-1,D1733)</f>
        <v>32</v>
      </c>
      <c r="E1734" s="8">
        <f>IFERROR(VLOOKUP(D1734,$H$4:$I$70,2,0),"")</f>
        <v>384</v>
      </c>
      <c r="F1734" s="9">
        <f>IFERROR(VLOOKUP(C1734,$H$4:$I$70,2,0),"")</f>
        <v>540</v>
      </c>
    </row>
    <row r="1735" spans="2:6" x14ac:dyDescent="0.2">
      <c r="B1735" s="13">
        <f t="shared" si="83"/>
        <v>1732</v>
      </c>
      <c r="C1735" s="8">
        <f t="shared" si="84"/>
        <v>17</v>
      </c>
      <c r="D1735" s="8">
        <f t="shared" si="85"/>
        <v>32</v>
      </c>
      <c r="E1735" s="8">
        <f>IFERROR(VLOOKUP(D1735,$H$4:$I$70,2,0),"")</f>
        <v>384</v>
      </c>
      <c r="F1735" s="9">
        <f>IFERROR(VLOOKUP(C1735,$H$4:$I$70,2,0),"")</f>
        <v>536</v>
      </c>
    </row>
    <row r="1736" spans="2:6" x14ac:dyDescent="0.2">
      <c r="B1736" s="13">
        <f t="shared" si="83"/>
        <v>1733</v>
      </c>
      <c r="C1736" s="8">
        <f t="shared" si="84"/>
        <v>18</v>
      </c>
      <c r="D1736" s="8">
        <f t="shared" si="85"/>
        <v>32</v>
      </c>
      <c r="E1736" s="8">
        <f>IFERROR(VLOOKUP(D1736,$H$4:$I$70,2,0),"")</f>
        <v>384</v>
      </c>
      <c r="F1736" s="9">
        <f>IFERROR(VLOOKUP(C1736,$H$4:$I$70,2,0),"")</f>
        <v>527</v>
      </c>
    </row>
    <row r="1737" spans="2:6" x14ac:dyDescent="0.2">
      <c r="B1737" s="13">
        <f t="shared" si="83"/>
        <v>1734</v>
      </c>
      <c r="C1737" s="8">
        <f t="shared" si="84"/>
        <v>19</v>
      </c>
      <c r="D1737" s="8">
        <f t="shared" si="85"/>
        <v>32</v>
      </c>
      <c r="E1737" s="8">
        <f>IFERROR(VLOOKUP(D1737,$H$4:$I$70,2,0),"")</f>
        <v>384</v>
      </c>
      <c r="F1737" s="9">
        <f>IFERROR(VLOOKUP(C1737,$H$4:$I$70,2,0),"")</f>
        <v>478</v>
      </c>
    </row>
    <row r="1738" spans="2:6" x14ac:dyDescent="0.2">
      <c r="B1738" s="13">
        <f t="shared" si="83"/>
        <v>1735</v>
      </c>
      <c r="C1738" s="8">
        <f t="shared" si="84"/>
        <v>20</v>
      </c>
      <c r="D1738" s="8">
        <f t="shared" si="85"/>
        <v>32</v>
      </c>
      <c r="E1738" s="8">
        <f>IFERROR(VLOOKUP(D1738,$H$4:$I$70,2,0),"")</f>
        <v>384</v>
      </c>
      <c r="F1738" s="9">
        <f>IFERROR(VLOOKUP(C1738,$H$4:$I$70,2,0),"")</f>
        <v>474</v>
      </c>
    </row>
    <row r="1739" spans="2:6" x14ac:dyDescent="0.2">
      <c r="B1739" s="13">
        <f t="shared" si="83"/>
        <v>1736</v>
      </c>
      <c r="C1739" s="8">
        <f t="shared" si="84"/>
        <v>21</v>
      </c>
      <c r="D1739" s="8">
        <f t="shared" si="85"/>
        <v>32</v>
      </c>
      <c r="E1739" s="8">
        <f>IFERROR(VLOOKUP(D1739,$H$4:$I$70,2,0),"")</f>
        <v>384</v>
      </c>
      <c r="F1739" s="9">
        <f>IFERROR(VLOOKUP(C1739,$H$4:$I$70,2,0),"")</f>
        <v>468</v>
      </c>
    </row>
    <row r="1740" spans="2:6" x14ac:dyDescent="0.2">
      <c r="B1740" s="13">
        <f t="shared" si="83"/>
        <v>1737</v>
      </c>
      <c r="C1740" s="8">
        <f t="shared" si="84"/>
        <v>22</v>
      </c>
      <c r="D1740" s="8">
        <f t="shared" si="85"/>
        <v>32</v>
      </c>
      <c r="E1740" s="8">
        <f>IFERROR(VLOOKUP(D1740,$H$4:$I$70,2,0),"")</f>
        <v>384</v>
      </c>
      <c r="F1740" s="9">
        <f>IFERROR(VLOOKUP(C1740,$H$4:$I$70,2,0),"")</f>
        <v>457</v>
      </c>
    </row>
    <row r="1741" spans="2:6" x14ac:dyDescent="0.2">
      <c r="B1741" s="13">
        <f t="shared" si="83"/>
        <v>1738</v>
      </c>
      <c r="C1741" s="8">
        <f t="shared" si="84"/>
        <v>23</v>
      </c>
      <c r="D1741" s="8">
        <f t="shared" si="85"/>
        <v>32</v>
      </c>
      <c r="E1741" s="8">
        <f>IFERROR(VLOOKUP(D1741,$H$4:$I$70,2,0),"")</f>
        <v>384</v>
      </c>
      <c r="F1741" s="9">
        <f>IFERROR(VLOOKUP(C1741,$H$4:$I$70,2,0),"")</f>
        <v>452</v>
      </c>
    </row>
    <row r="1742" spans="2:6" x14ac:dyDescent="0.2">
      <c r="B1742" s="13">
        <f t="shared" si="83"/>
        <v>1739</v>
      </c>
      <c r="C1742" s="8">
        <f t="shared" si="84"/>
        <v>24</v>
      </c>
      <c r="D1742" s="8">
        <f t="shared" si="85"/>
        <v>32</v>
      </c>
      <c r="E1742" s="8">
        <f>IFERROR(VLOOKUP(D1742,$H$4:$I$70,2,0),"")</f>
        <v>384</v>
      </c>
      <c r="F1742" s="9">
        <f>IFERROR(VLOOKUP(C1742,$H$4:$I$70,2,0),"")</f>
        <v>442</v>
      </c>
    </row>
    <row r="1743" spans="2:6" x14ac:dyDescent="0.2">
      <c r="B1743" s="13">
        <f t="shared" si="83"/>
        <v>1740</v>
      </c>
      <c r="C1743" s="8">
        <f t="shared" si="84"/>
        <v>25</v>
      </c>
      <c r="D1743" s="8">
        <f t="shared" si="85"/>
        <v>32</v>
      </c>
      <c r="E1743" s="8">
        <f>IFERROR(VLOOKUP(D1743,$H$4:$I$70,2,0),"")</f>
        <v>384</v>
      </c>
      <c r="F1743" s="9">
        <f>IFERROR(VLOOKUP(C1743,$H$4:$I$70,2,0),"")</f>
        <v>420</v>
      </c>
    </row>
    <row r="1744" spans="2:6" x14ac:dyDescent="0.2">
      <c r="B1744" s="13">
        <f t="shared" si="83"/>
        <v>1741</v>
      </c>
      <c r="C1744" s="8">
        <f t="shared" si="84"/>
        <v>26</v>
      </c>
      <c r="D1744" s="8">
        <f t="shared" si="85"/>
        <v>32</v>
      </c>
      <c r="E1744" s="8">
        <f>IFERROR(VLOOKUP(D1744,$H$4:$I$70,2,0),"")</f>
        <v>384</v>
      </c>
      <c r="F1744" s="9">
        <f>IFERROR(VLOOKUP(C1744,$H$4:$I$70,2,0),"")</f>
        <v>410</v>
      </c>
    </row>
    <row r="1745" spans="2:6" x14ac:dyDescent="0.2">
      <c r="B1745" s="13">
        <f t="shared" si="83"/>
        <v>1742</v>
      </c>
      <c r="C1745" s="8">
        <f t="shared" si="84"/>
        <v>27</v>
      </c>
      <c r="D1745" s="8">
        <f t="shared" si="85"/>
        <v>32</v>
      </c>
      <c r="E1745" s="8">
        <f>IFERROR(VLOOKUP(D1745,$H$4:$I$70,2,0),"")</f>
        <v>384</v>
      </c>
      <c r="F1745" s="9">
        <f>IFERROR(VLOOKUP(C1745,$H$4:$I$70,2,0),"")</f>
        <v>409</v>
      </c>
    </row>
    <row r="1746" spans="2:6" x14ac:dyDescent="0.2">
      <c r="B1746" s="13">
        <f t="shared" si="83"/>
        <v>1743</v>
      </c>
      <c r="C1746" s="8">
        <f t="shared" si="84"/>
        <v>28</v>
      </c>
      <c r="D1746" s="8">
        <f t="shared" si="85"/>
        <v>32</v>
      </c>
      <c r="E1746" s="8">
        <f>IFERROR(VLOOKUP(D1746,$H$4:$I$70,2,0),"")</f>
        <v>384</v>
      </c>
      <c r="F1746" s="9">
        <f>IFERROR(VLOOKUP(C1746,$H$4:$I$70,2,0),"")</f>
        <v>408</v>
      </c>
    </row>
    <row r="1747" spans="2:6" x14ac:dyDescent="0.2">
      <c r="B1747" s="13">
        <f t="shared" si="83"/>
        <v>1744</v>
      </c>
      <c r="C1747" s="8">
        <f t="shared" si="84"/>
        <v>29</v>
      </c>
      <c r="D1747" s="8">
        <f t="shared" si="85"/>
        <v>32</v>
      </c>
      <c r="E1747" s="8">
        <f>IFERROR(VLOOKUP(D1747,$H$4:$I$70,2,0),"")</f>
        <v>384</v>
      </c>
      <c r="F1747" s="9">
        <f>IFERROR(VLOOKUP(C1747,$H$4:$I$70,2,0),"")</f>
        <v>404</v>
      </c>
    </row>
    <row r="1748" spans="2:6" x14ac:dyDescent="0.2">
      <c r="B1748" s="13">
        <f t="shared" si="83"/>
        <v>1745</v>
      </c>
      <c r="C1748" s="8">
        <f t="shared" si="84"/>
        <v>30</v>
      </c>
      <c r="D1748" s="8">
        <f t="shared" si="85"/>
        <v>32</v>
      </c>
      <c r="E1748" s="8">
        <f>IFERROR(VLOOKUP(D1748,$H$4:$I$70,2,0),"")</f>
        <v>384</v>
      </c>
      <c r="F1748" s="9">
        <f>IFERROR(VLOOKUP(C1748,$H$4:$I$70,2,0),"")</f>
        <v>399</v>
      </c>
    </row>
    <row r="1749" spans="2:6" x14ac:dyDescent="0.2">
      <c r="B1749" s="13">
        <f t="shared" si="83"/>
        <v>1746</v>
      </c>
      <c r="C1749" s="8">
        <f t="shared" si="84"/>
        <v>31</v>
      </c>
      <c r="D1749" s="8">
        <f t="shared" si="85"/>
        <v>32</v>
      </c>
      <c r="E1749" s="8">
        <f>IFERROR(VLOOKUP(D1749,$H$4:$I$70,2,0),"")</f>
        <v>384</v>
      </c>
      <c r="F1749" s="9">
        <f>IFERROR(VLOOKUP(C1749,$H$4:$I$70,2,0),"")</f>
        <v>396</v>
      </c>
    </row>
    <row r="1750" spans="2:6" x14ac:dyDescent="0.2">
      <c r="B1750" s="13">
        <f t="shared" si="83"/>
        <v>1747</v>
      </c>
      <c r="C1750" s="8">
        <f t="shared" si="84"/>
        <v>1</v>
      </c>
      <c r="D1750" s="8">
        <f t="shared" si="85"/>
        <v>31</v>
      </c>
      <c r="E1750" s="8">
        <f>IFERROR(VLOOKUP(D1750,$H$4:$I$70,2,0),"")</f>
        <v>396</v>
      </c>
      <c r="F1750" s="9">
        <f>IFERROR(VLOOKUP(C1750,$H$4:$I$70,2,0),"")</f>
        <v>1344</v>
      </c>
    </row>
    <row r="1751" spans="2:6" x14ac:dyDescent="0.2">
      <c r="B1751" s="13">
        <f t="shared" si="83"/>
        <v>1748</v>
      </c>
      <c r="C1751" s="8">
        <f t="shared" si="84"/>
        <v>2</v>
      </c>
      <c r="D1751" s="8">
        <f t="shared" si="85"/>
        <v>31</v>
      </c>
      <c r="E1751" s="8">
        <f>IFERROR(VLOOKUP(D1751,$H$4:$I$70,2,0),"")</f>
        <v>396</v>
      </c>
      <c r="F1751" s="9">
        <f>IFERROR(VLOOKUP(C1751,$H$4:$I$70,2,0),"")</f>
        <v>1048</v>
      </c>
    </row>
    <row r="1752" spans="2:6" x14ac:dyDescent="0.2">
      <c r="B1752" s="13">
        <f t="shared" si="83"/>
        <v>1749</v>
      </c>
      <c r="C1752" s="8">
        <f t="shared" si="84"/>
        <v>3</v>
      </c>
      <c r="D1752" s="8">
        <f t="shared" si="85"/>
        <v>31</v>
      </c>
      <c r="E1752" s="8">
        <f>IFERROR(VLOOKUP(D1752,$H$4:$I$70,2,0),"")</f>
        <v>396</v>
      </c>
      <c r="F1752" s="9">
        <f>IFERROR(VLOOKUP(C1752,$H$4:$I$70,2,0),"")</f>
        <v>1025</v>
      </c>
    </row>
    <row r="1753" spans="2:6" x14ac:dyDescent="0.2">
      <c r="B1753" s="13">
        <f t="shared" si="83"/>
        <v>1750</v>
      </c>
      <c r="C1753" s="8">
        <f t="shared" si="84"/>
        <v>4</v>
      </c>
      <c r="D1753" s="8">
        <f t="shared" si="85"/>
        <v>31</v>
      </c>
      <c r="E1753" s="8">
        <f>IFERROR(VLOOKUP(D1753,$H$4:$I$70,2,0),"")</f>
        <v>396</v>
      </c>
      <c r="F1753" s="9">
        <f>IFERROR(VLOOKUP(C1753,$H$4:$I$70,2,0),"")</f>
        <v>805</v>
      </c>
    </row>
    <row r="1754" spans="2:6" x14ac:dyDescent="0.2">
      <c r="B1754" s="13">
        <f t="shared" si="83"/>
        <v>1751</v>
      </c>
      <c r="C1754" s="8">
        <f t="shared" si="84"/>
        <v>5</v>
      </c>
      <c r="D1754" s="8">
        <f t="shared" si="85"/>
        <v>31</v>
      </c>
      <c r="E1754" s="8">
        <f>IFERROR(VLOOKUP(D1754,$H$4:$I$70,2,0),"")</f>
        <v>396</v>
      </c>
      <c r="F1754" s="9">
        <f>IFERROR(VLOOKUP(C1754,$H$4:$I$70,2,0),"")</f>
        <v>666</v>
      </c>
    </row>
    <row r="1755" spans="2:6" x14ac:dyDescent="0.2">
      <c r="B1755" s="13">
        <f t="shared" si="83"/>
        <v>1752</v>
      </c>
      <c r="C1755" s="8">
        <f t="shared" si="84"/>
        <v>6</v>
      </c>
      <c r="D1755" s="8">
        <f t="shared" si="85"/>
        <v>31</v>
      </c>
      <c r="E1755" s="8">
        <f>IFERROR(VLOOKUP(D1755,$H$4:$I$70,2,0),"")</f>
        <v>396</v>
      </c>
      <c r="F1755" s="9">
        <f>IFERROR(VLOOKUP(C1755,$H$4:$I$70,2,0),"")</f>
        <v>655</v>
      </c>
    </row>
    <row r="1756" spans="2:6" x14ac:dyDescent="0.2">
      <c r="B1756" s="13">
        <f t="shared" si="83"/>
        <v>1753</v>
      </c>
      <c r="C1756" s="8">
        <f t="shared" si="84"/>
        <v>7</v>
      </c>
      <c r="D1756" s="8">
        <f t="shared" si="85"/>
        <v>31</v>
      </c>
      <c r="E1756" s="8">
        <f>IFERROR(VLOOKUP(D1756,$H$4:$I$70,2,0),"")</f>
        <v>396</v>
      </c>
      <c r="F1756" s="9">
        <f>IFERROR(VLOOKUP(C1756,$H$4:$I$70,2,0),"")</f>
        <v>652</v>
      </c>
    </row>
    <row r="1757" spans="2:6" x14ac:dyDescent="0.2">
      <c r="B1757" s="13">
        <f t="shared" si="83"/>
        <v>1754</v>
      </c>
      <c r="C1757" s="8">
        <f t="shared" si="84"/>
        <v>8</v>
      </c>
      <c r="D1757" s="8">
        <f t="shared" si="85"/>
        <v>31</v>
      </c>
      <c r="E1757" s="8">
        <f>IFERROR(VLOOKUP(D1757,$H$4:$I$70,2,0),"")</f>
        <v>396</v>
      </c>
      <c r="F1757" s="9">
        <f>IFERROR(VLOOKUP(C1757,$H$4:$I$70,2,0),"")</f>
        <v>633</v>
      </c>
    </row>
    <row r="1758" spans="2:6" x14ac:dyDescent="0.2">
      <c r="B1758" s="13">
        <f t="shared" si="83"/>
        <v>1755</v>
      </c>
      <c r="C1758" s="8">
        <f t="shared" si="84"/>
        <v>9</v>
      </c>
      <c r="D1758" s="8">
        <f t="shared" si="85"/>
        <v>31</v>
      </c>
      <c r="E1758" s="8">
        <f>IFERROR(VLOOKUP(D1758,$H$4:$I$70,2,0),"")</f>
        <v>396</v>
      </c>
      <c r="F1758" s="9">
        <f>IFERROR(VLOOKUP(C1758,$H$4:$I$70,2,0),"")</f>
        <v>632</v>
      </c>
    </row>
    <row r="1759" spans="2:6" x14ac:dyDescent="0.2">
      <c r="B1759" s="13">
        <f t="shared" si="83"/>
        <v>1756</v>
      </c>
      <c r="C1759" s="8">
        <f t="shared" si="84"/>
        <v>10</v>
      </c>
      <c r="D1759" s="8">
        <f t="shared" si="85"/>
        <v>31</v>
      </c>
      <c r="E1759" s="8">
        <f>IFERROR(VLOOKUP(D1759,$H$4:$I$70,2,0),"")</f>
        <v>396</v>
      </c>
      <c r="F1759" s="9">
        <f>IFERROR(VLOOKUP(C1759,$H$4:$I$70,2,0),"")</f>
        <v>625</v>
      </c>
    </row>
    <row r="1760" spans="2:6" x14ac:dyDescent="0.2">
      <c r="B1760" s="13">
        <f t="shared" si="83"/>
        <v>1757</v>
      </c>
      <c r="C1760" s="8">
        <f t="shared" si="84"/>
        <v>11</v>
      </c>
      <c r="D1760" s="8">
        <f t="shared" si="85"/>
        <v>31</v>
      </c>
      <c r="E1760" s="8">
        <f>IFERROR(VLOOKUP(D1760,$H$4:$I$70,2,0),"")</f>
        <v>396</v>
      </c>
      <c r="F1760" s="9">
        <f>IFERROR(VLOOKUP(C1760,$H$4:$I$70,2,0),"")</f>
        <v>619</v>
      </c>
    </row>
    <row r="1761" spans="2:6" x14ac:dyDescent="0.2">
      <c r="B1761" s="13">
        <f t="shared" si="83"/>
        <v>1758</v>
      </c>
      <c r="C1761" s="8">
        <f t="shared" si="84"/>
        <v>12</v>
      </c>
      <c r="D1761" s="8">
        <f t="shared" si="85"/>
        <v>31</v>
      </c>
      <c r="E1761" s="8">
        <f>IFERROR(VLOOKUP(D1761,$H$4:$I$70,2,0),"")</f>
        <v>396</v>
      </c>
      <c r="F1761" s="9">
        <f>IFERROR(VLOOKUP(C1761,$H$4:$I$70,2,0),"")</f>
        <v>610</v>
      </c>
    </row>
    <row r="1762" spans="2:6" x14ac:dyDescent="0.2">
      <c r="B1762" s="13">
        <f t="shared" si="83"/>
        <v>1759</v>
      </c>
      <c r="C1762" s="8">
        <f t="shared" si="84"/>
        <v>13</v>
      </c>
      <c r="D1762" s="8">
        <f t="shared" si="85"/>
        <v>31</v>
      </c>
      <c r="E1762" s="8">
        <f>IFERROR(VLOOKUP(D1762,$H$4:$I$70,2,0),"")</f>
        <v>396</v>
      </c>
      <c r="F1762" s="9">
        <f>IFERROR(VLOOKUP(C1762,$H$4:$I$70,2,0),"")</f>
        <v>599</v>
      </c>
    </row>
    <row r="1763" spans="2:6" x14ac:dyDescent="0.2">
      <c r="B1763" s="13">
        <f t="shared" si="83"/>
        <v>1760</v>
      </c>
      <c r="C1763" s="8">
        <f t="shared" si="84"/>
        <v>14</v>
      </c>
      <c r="D1763" s="8">
        <f t="shared" si="85"/>
        <v>31</v>
      </c>
      <c r="E1763" s="8">
        <f>IFERROR(VLOOKUP(D1763,$H$4:$I$70,2,0),"")</f>
        <v>396</v>
      </c>
      <c r="F1763" s="9">
        <f>IFERROR(VLOOKUP(C1763,$H$4:$I$70,2,0),"")</f>
        <v>559</v>
      </c>
    </row>
    <row r="1764" spans="2:6" x14ac:dyDescent="0.2">
      <c r="B1764" s="13">
        <f t="shared" si="83"/>
        <v>1761</v>
      </c>
      <c r="C1764" s="8">
        <f t="shared" si="84"/>
        <v>15</v>
      </c>
      <c r="D1764" s="8">
        <f t="shared" si="85"/>
        <v>31</v>
      </c>
      <c r="E1764" s="8">
        <f>IFERROR(VLOOKUP(D1764,$H$4:$I$70,2,0),"")</f>
        <v>396</v>
      </c>
      <c r="F1764" s="9">
        <f>IFERROR(VLOOKUP(C1764,$H$4:$I$70,2,0),"")</f>
        <v>556</v>
      </c>
    </row>
    <row r="1765" spans="2:6" x14ac:dyDescent="0.2">
      <c r="B1765" s="13">
        <f t="shared" si="83"/>
        <v>1762</v>
      </c>
      <c r="C1765" s="8">
        <f t="shared" si="84"/>
        <v>16</v>
      </c>
      <c r="D1765" s="8">
        <f t="shared" si="85"/>
        <v>31</v>
      </c>
      <c r="E1765" s="8">
        <f>IFERROR(VLOOKUP(D1765,$H$4:$I$70,2,0),"")</f>
        <v>396</v>
      </c>
      <c r="F1765" s="9">
        <f>IFERROR(VLOOKUP(C1765,$H$4:$I$70,2,0),"")</f>
        <v>540</v>
      </c>
    </row>
    <row r="1766" spans="2:6" x14ac:dyDescent="0.2">
      <c r="B1766" s="13">
        <f t="shared" si="83"/>
        <v>1763</v>
      </c>
      <c r="C1766" s="8">
        <f t="shared" si="84"/>
        <v>17</v>
      </c>
      <c r="D1766" s="8">
        <f t="shared" si="85"/>
        <v>31</v>
      </c>
      <c r="E1766" s="8">
        <f>IFERROR(VLOOKUP(D1766,$H$4:$I$70,2,0),"")</f>
        <v>396</v>
      </c>
      <c r="F1766" s="9">
        <f>IFERROR(VLOOKUP(C1766,$H$4:$I$70,2,0),"")</f>
        <v>536</v>
      </c>
    </row>
    <row r="1767" spans="2:6" x14ac:dyDescent="0.2">
      <c r="B1767" s="13">
        <f t="shared" si="83"/>
        <v>1764</v>
      </c>
      <c r="C1767" s="8">
        <f t="shared" si="84"/>
        <v>18</v>
      </c>
      <c r="D1767" s="8">
        <f t="shared" si="85"/>
        <v>31</v>
      </c>
      <c r="E1767" s="8">
        <f>IFERROR(VLOOKUP(D1767,$H$4:$I$70,2,0),"")</f>
        <v>396</v>
      </c>
      <c r="F1767" s="9">
        <f>IFERROR(VLOOKUP(C1767,$H$4:$I$70,2,0),"")</f>
        <v>527</v>
      </c>
    </row>
    <row r="1768" spans="2:6" x14ac:dyDescent="0.2">
      <c r="B1768" s="13">
        <f t="shared" si="83"/>
        <v>1765</v>
      </c>
      <c r="C1768" s="8">
        <f t="shared" si="84"/>
        <v>19</v>
      </c>
      <c r="D1768" s="8">
        <f t="shared" si="85"/>
        <v>31</v>
      </c>
      <c r="E1768" s="8">
        <f>IFERROR(VLOOKUP(D1768,$H$4:$I$70,2,0),"")</f>
        <v>396</v>
      </c>
      <c r="F1768" s="9">
        <f>IFERROR(VLOOKUP(C1768,$H$4:$I$70,2,0),"")</f>
        <v>478</v>
      </c>
    </row>
    <row r="1769" spans="2:6" x14ac:dyDescent="0.2">
      <c r="B1769" s="13">
        <f t="shared" si="83"/>
        <v>1766</v>
      </c>
      <c r="C1769" s="8">
        <f t="shared" si="84"/>
        <v>20</v>
      </c>
      <c r="D1769" s="8">
        <f t="shared" si="85"/>
        <v>31</v>
      </c>
      <c r="E1769" s="8">
        <f>IFERROR(VLOOKUP(D1769,$H$4:$I$70,2,0),"")</f>
        <v>396</v>
      </c>
      <c r="F1769" s="9">
        <f>IFERROR(VLOOKUP(C1769,$H$4:$I$70,2,0),"")</f>
        <v>474</v>
      </c>
    </row>
    <row r="1770" spans="2:6" x14ac:dyDescent="0.2">
      <c r="B1770" s="13">
        <f t="shared" si="83"/>
        <v>1767</v>
      </c>
      <c r="C1770" s="8">
        <f t="shared" si="84"/>
        <v>21</v>
      </c>
      <c r="D1770" s="8">
        <f t="shared" si="85"/>
        <v>31</v>
      </c>
      <c r="E1770" s="8">
        <f>IFERROR(VLOOKUP(D1770,$H$4:$I$70,2,0),"")</f>
        <v>396</v>
      </c>
      <c r="F1770" s="9">
        <f>IFERROR(VLOOKUP(C1770,$H$4:$I$70,2,0),"")</f>
        <v>468</v>
      </c>
    </row>
    <row r="1771" spans="2:6" x14ac:dyDescent="0.2">
      <c r="B1771" s="13">
        <f t="shared" si="83"/>
        <v>1768</v>
      </c>
      <c r="C1771" s="8">
        <f t="shared" si="84"/>
        <v>22</v>
      </c>
      <c r="D1771" s="8">
        <f t="shared" si="85"/>
        <v>31</v>
      </c>
      <c r="E1771" s="8">
        <f>IFERROR(VLOOKUP(D1771,$H$4:$I$70,2,0),"")</f>
        <v>396</v>
      </c>
      <c r="F1771" s="9">
        <f>IFERROR(VLOOKUP(C1771,$H$4:$I$70,2,0),"")</f>
        <v>457</v>
      </c>
    </row>
    <row r="1772" spans="2:6" x14ac:dyDescent="0.2">
      <c r="B1772" s="13">
        <f t="shared" si="83"/>
        <v>1769</v>
      </c>
      <c r="C1772" s="8">
        <f t="shared" si="84"/>
        <v>23</v>
      </c>
      <c r="D1772" s="8">
        <f t="shared" si="85"/>
        <v>31</v>
      </c>
      <c r="E1772" s="8">
        <f>IFERROR(VLOOKUP(D1772,$H$4:$I$70,2,0),"")</f>
        <v>396</v>
      </c>
      <c r="F1772" s="9">
        <f>IFERROR(VLOOKUP(C1772,$H$4:$I$70,2,0),"")</f>
        <v>452</v>
      </c>
    </row>
    <row r="1773" spans="2:6" x14ac:dyDescent="0.2">
      <c r="B1773" s="13">
        <f t="shared" si="83"/>
        <v>1770</v>
      </c>
      <c r="C1773" s="8">
        <f t="shared" si="84"/>
        <v>24</v>
      </c>
      <c r="D1773" s="8">
        <f t="shared" si="85"/>
        <v>31</v>
      </c>
      <c r="E1773" s="8">
        <f>IFERROR(VLOOKUP(D1773,$H$4:$I$70,2,0),"")</f>
        <v>396</v>
      </c>
      <c r="F1773" s="9">
        <f>IFERROR(VLOOKUP(C1773,$H$4:$I$70,2,0),"")</f>
        <v>442</v>
      </c>
    </row>
    <row r="1774" spans="2:6" x14ac:dyDescent="0.2">
      <c r="B1774" s="13">
        <f t="shared" si="83"/>
        <v>1771</v>
      </c>
      <c r="C1774" s="8">
        <f t="shared" si="84"/>
        <v>25</v>
      </c>
      <c r="D1774" s="8">
        <f t="shared" si="85"/>
        <v>31</v>
      </c>
      <c r="E1774" s="8">
        <f>IFERROR(VLOOKUP(D1774,$H$4:$I$70,2,0),"")</f>
        <v>396</v>
      </c>
      <c r="F1774" s="9">
        <f>IFERROR(VLOOKUP(C1774,$H$4:$I$70,2,0),"")</f>
        <v>420</v>
      </c>
    </row>
    <row r="1775" spans="2:6" x14ac:dyDescent="0.2">
      <c r="B1775" s="13">
        <f t="shared" si="83"/>
        <v>1772</v>
      </c>
      <c r="C1775" s="8">
        <f t="shared" si="84"/>
        <v>26</v>
      </c>
      <c r="D1775" s="8">
        <f t="shared" si="85"/>
        <v>31</v>
      </c>
      <c r="E1775" s="8">
        <f>IFERROR(VLOOKUP(D1775,$H$4:$I$70,2,0),"")</f>
        <v>396</v>
      </c>
      <c r="F1775" s="9">
        <f>IFERROR(VLOOKUP(C1775,$H$4:$I$70,2,0),"")</f>
        <v>410</v>
      </c>
    </row>
    <row r="1776" spans="2:6" x14ac:dyDescent="0.2">
      <c r="B1776" s="13">
        <f t="shared" si="83"/>
        <v>1773</v>
      </c>
      <c r="C1776" s="8">
        <f t="shared" si="84"/>
        <v>27</v>
      </c>
      <c r="D1776" s="8">
        <f t="shared" si="85"/>
        <v>31</v>
      </c>
      <c r="E1776" s="8">
        <f>IFERROR(VLOOKUP(D1776,$H$4:$I$70,2,0),"")</f>
        <v>396</v>
      </c>
      <c r="F1776" s="9">
        <f>IFERROR(VLOOKUP(C1776,$H$4:$I$70,2,0),"")</f>
        <v>409</v>
      </c>
    </row>
    <row r="1777" spans="2:6" x14ac:dyDescent="0.2">
      <c r="B1777" s="13">
        <f t="shared" si="83"/>
        <v>1774</v>
      </c>
      <c r="C1777" s="8">
        <f t="shared" si="84"/>
        <v>28</v>
      </c>
      <c r="D1777" s="8">
        <f t="shared" si="85"/>
        <v>31</v>
      </c>
      <c r="E1777" s="8">
        <f>IFERROR(VLOOKUP(D1777,$H$4:$I$70,2,0),"")</f>
        <v>396</v>
      </c>
      <c r="F1777" s="9">
        <f>IFERROR(VLOOKUP(C1777,$H$4:$I$70,2,0),"")</f>
        <v>408</v>
      </c>
    </row>
    <row r="1778" spans="2:6" x14ac:dyDescent="0.2">
      <c r="B1778" s="13">
        <f t="shared" si="83"/>
        <v>1775</v>
      </c>
      <c r="C1778" s="8">
        <f t="shared" si="84"/>
        <v>29</v>
      </c>
      <c r="D1778" s="8">
        <f t="shared" si="85"/>
        <v>31</v>
      </c>
      <c r="E1778" s="8">
        <f>IFERROR(VLOOKUP(D1778,$H$4:$I$70,2,0),"")</f>
        <v>396</v>
      </c>
      <c r="F1778" s="9">
        <f>IFERROR(VLOOKUP(C1778,$H$4:$I$70,2,0),"")</f>
        <v>404</v>
      </c>
    </row>
    <row r="1779" spans="2:6" x14ac:dyDescent="0.2">
      <c r="B1779" s="13">
        <f t="shared" si="83"/>
        <v>1776</v>
      </c>
      <c r="C1779" s="8">
        <f t="shared" si="84"/>
        <v>30</v>
      </c>
      <c r="D1779" s="8">
        <f t="shared" si="85"/>
        <v>31</v>
      </c>
      <c r="E1779" s="8">
        <f>IFERROR(VLOOKUP(D1779,$H$4:$I$70,2,0),"")</f>
        <v>396</v>
      </c>
      <c r="F1779" s="9">
        <f>IFERROR(VLOOKUP(C1779,$H$4:$I$70,2,0),"")</f>
        <v>399</v>
      </c>
    </row>
    <row r="1780" spans="2:6" x14ac:dyDescent="0.2">
      <c r="B1780" s="13">
        <f t="shared" si="83"/>
        <v>1777</v>
      </c>
      <c r="C1780" s="8">
        <f t="shared" si="84"/>
        <v>1</v>
      </c>
      <c r="D1780" s="8">
        <f t="shared" si="85"/>
        <v>30</v>
      </c>
      <c r="E1780" s="8">
        <f>IFERROR(VLOOKUP(D1780,$H$4:$I$70,2,0),"")</f>
        <v>399</v>
      </c>
      <c r="F1780" s="9">
        <f>IFERROR(VLOOKUP(C1780,$H$4:$I$70,2,0),"")</f>
        <v>1344</v>
      </c>
    </row>
    <row r="1781" spans="2:6" x14ac:dyDescent="0.2">
      <c r="B1781" s="13">
        <f t="shared" si="83"/>
        <v>1778</v>
      </c>
      <c r="C1781" s="8">
        <f t="shared" si="84"/>
        <v>2</v>
      </c>
      <c r="D1781" s="8">
        <f t="shared" si="85"/>
        <v>30</v>
      </c>
      <c r="E1781" s="8">
        <f>IFERROR(VLOOKUP(D1781,$H$4:$I$70,2,0),"")</f>
        <v>399</v>
      </c>
      <c r="F1781" s="9">
        <f>IFERROR(VLOOKUP(C1781,$H$4:$I$70,2,0),"")</f>
        <v>1048</v>
      </c>
    </row>
    <row r="1782" spans="2:6" x14ac:dyDescent="0.2">
      <c r="B1782" s="13">
        <f t="shared" si="83"/>
        <v>1779</v>
      </c>
      <c r="C1782" s="8">
        <f t="shared" si="84"/>
        <v>3</v>
      </c>
      <c r="D1782" s="8">
        <f t="shared" si="85"/>
        <v>30</v>
      </c>
      <c r="E1782" s="8">
        <f>IFERROR(VLOOKUP(D1782,$H$4:$I$70,2,0),"")</f>
        <v>399</v>
      </c>
      <c r="F1782" s="9">
        <f>IFERROR(VLOOKUP(C1782,$H$4:$I$70,2,0),"")</f>
        <v>1025</v>
      </c>
    </row>
    <row r="1783" spans="2:6" x14ac:dyDescent="0.2">
      <c r="B1783" s="13">
        <f t="shared" si="83"/>
        <v>1780</v>
      </c>
      <c r="C1783" s="8">
        <f t="shared" si="84"/>
        <v>4</v>
      </c>
      <c r="D1783" s="8">
        <f t="shared" si="85"/>
        <v>30</v>
      </c>
      <c r="E1783" s="8">
        <f>IFERROR(VLOOKUP(D1783,$H$4:$I$70,2,0),"")</f>
        <v>399</v>
      </c>
      <c r="F1783" s="9">
        <f>IFERROR(VLOOKUP(C1783,$H$4:$I$70,2,0),"")</f>
        <v>805</v>
      </c>
    </row>
    <row r="1784" spans="2:6" x14ac:dyDescent="0.2">
      <c r="B1784" s="13">
        <f t="shared" si="83"/>
        <v>1781</v>
      </c>
      <c r="C1784" s="8">
        <f t="shared" si="84"/>
        <v>5</v>
      </c>
      <c r="D1784" s="8">
        <f t="shared" si="85"/>
        <v>30</v>
      </c>
      <c r="E1784" s="8">
        <f>IFERROR(VLOOKUP(D1784,$H$4:$I$70,2,0),"")</f>
        <v>399</v>
      </c>
      <c r="F1784" s="9">
        <f>IFERROR(VLOOKUP(C1784,$H$4:$I$70,2,0),"")</f>
        <v>666</v>
      </c>
    </row>
    <row r="1785" spans="2:6" x14ac:dyDescent="0.2">
      <c r="B1785" s="13">
        <f t="shared" si="83"/>
        <v>1782</v>
      </c>
      <c r="C1785" s="8">
        <f t="shared" si="84"/>
        <v>6</v>
      </c>
      <c r="D1785" s="8">
        <f t="shared" si="85"/>
        <v>30</v>
      </c>
      <c r="E1785" s="8">
        <f>IFERROR(VLOOKUP(D1785,$H$4:$I$70,2,0),"")</f>
        <v>399</v>
      </c>
      <c r="F1785" s="9">
        <f>IFERROR(VLOOKUP(C1785,$H$4:$I$70,2,0),"")</f>
        <v>655</v>
      </c>
    </row>
    <row r="1786" spans="2:6" x14ac:dyDescent="0.2">
      <c r="B1786" s="13">
        <f t="shared" si="83"/>
        <v>1783</v>
      </c>
      <c r="C1786" s="8">
        <f t="shared" si="84"/>
        <v>7</v>
      </c>
      <c r="D1786" s="8">
        <f t="shared" si="85"/>
        <v>30</v>
      </c>
      <c r="E1786" s="8">
        <f>IFERROR(VLOOKUP(D1786,$H$4:$I$70,2,0),"")</f>
        <v>399</v>
      </c>
      <c r="F1786" s="9">
        <f>IFERROR(VLOOKUP(C1786,$H$4:$I$70,2,0),"")</f>
        <v>652</v>
      </c>
    </row>
    <row r="1787" spans="2:6" x14ac:dyDescent="0.2">
      <c r="B1787" s="13">
        <f t="shared" si="83"/>
        <v>1784</v>
      </c>
      <c r="C1787" s="8">
        <f t="shared" si="84"/>
        <v>8</v>
      </c>
      <c r="D1787" s="8">
        <f t="shared" si="85"/>
        <v>30</v>
      </c>
      <c r="E1787" s="8">
        <f>IFERROR(VLOOKUP(D1787,$H$4:$I$70,2,0),"")</f>
        <v>399</v>
      </c>
      <c r="F1787" s="9">
        <f>IFERROR(VLOOKUP(C1787,$H$4:$I$70,2,0),"")</f>
        <v>633</v>
      </c>
    </row>
    <row r="1788" spans="2:6" x14ac:dyDescent="0.2">
      <c r="B1788" s="13">
        <f t="shared" si="83"/>
        <v>1785</v>
      </c>
      <c r="C1788" s="8">
        <f t="shared" si="84"/>
        <v>9</v>
      </c>
      <c r="D1788" s="8">
        <f t="shared" si="85"/>
        <v>30</v>
      </c>
      <c r="E1788" s="8">
        <f>IFERROR(VLOOKUP(D1788,$H$4:$I$70,2,0),"")</f>
        <v>399</v>
      </c>
      <c r="F1788" s="9">
        <f>IFERROR(VLOOKUP(C1788,$H$4:$I$70,2,0),"")</f>
        <v>632</v>
      </c>
    </row>
    <row r="1789" spans="2:6" x14ac:dyDescent="0.2">
      <c r="B1789" s="13">
        <f t="shared" si="83"/>
        <v>1786</v>
      </c>
      <c r="C1789" s="8">
        <f t="shared" si="84"/>
        <v>10</v>
      </c>
      <c r="D1789" s="8">
        <f t="shared" si="85"/>
        <v>30</v>
      </c>
      <c r="E1789" s="8">
        <f>IFERROR(VLOOKUP(D1789,$H$4:$I$70,2,0),"")</f>
        <v>399</v>
      </c>
      <c r="F1789" s="9">
        <f>IFERROR(VLOOKUP(C1789,$H$4:$I$70,2,0),"")</f>
        <v>625</v>
      </c>
    </row>
    <row r="1790" spans="2:6" x14ac:dyDescent="0.2">
      <c r="B1790" s="13">
        <f t="shared" si="83"/>
        <v>1787</v>
      </c>
      <c r="C1790" s="8">
        <f t="shared" si="84"/>
        <v>11</v>
      </c>
      <c r="D1790" s="8">
        <f t="shared" si="85"/>
        <v>30</v>
      </c>
      <c r="E1790" s="8">
        <f>IFERROR(VLOOKUP(D1790,$H$4:$I$70,2,0),"")</f>
        <v>399</v>
      </c>
      <c r="F1790" s="9">
        <f>IFERROR(VLOOKUP(C1790,$H$4:$I$70,2,0),"")</f>
        <v>619</v>
      </c>
    </row>
    <row r="1791" spans="2:6" x14ac:dyDescent="0.2">
      <c r="B1791" s="13">
        <f t="shared" si="83"/>
        <v>1788</v>
      </c>
      <c r="C1791" s="8">
        <f t="shared" si="84"/>
        <v>12</v>
      </c>
      <c r="D1791" s="8">
        <f t="shared" si="85"/>
        <v>30</v>
      </c>
      <c r="E1791" s="8">
        <f>IFERROR(VLOOKUP(D1791,$H$4:$I$70,2,0),"")</f>
        <v>399</v>
      </c>
      <c r="F1791" s="9">
        <f>IFERROR(VLOOKUP(C1791,$H$4:$I$70,2,0),"")</f>
        <v>610</v>
      </c>
    </row>
    <row r="1792" spans="2:6" x14ac:dyDescent="0.2">
      <c r="B1792" s="13">
        <f t="shared" si="83"/>
        <v>1789</v>
      </c>
      <c r="C1792" s="8">
        <f t="shared" si="84"/>
        <v>13</v>
      </c>
      <c r="D1792" s="8">
        <f t="shared" si="85"/>
        <v>30</v>
      </c>
      <c r="E1792" s="8">
        <f>IFERROR(VLOOKUP(D1792,$H$4:$I$70,2,0),"")</f>
        <v>399</v>
      </c>
      <c r="F1792" s="9">
        <f>IFERROR(VLOOKUP(C1792,$H$4:$I$70,2,0),"")</f>
        <v>599</v>
      </c>
    </row>
    <row r="1793" spans="2:6" x14ac:dyDescent="0.2">
      <c r="B1793" s="13">
        <f t="shared" si="83"/>
        <v>1790</v>
      </c>
      <c r="C1793" s="8">
        <f t="shared" si="84"/>
        <v>14</v>
      </c>
      <c r="D1793" s="8">
        <f t="shared" si="85"/>
        <v>30</v>
      </c>
      <c r="E1793" s="8">
        <f>IFERROR(VLOOKUP(D1793,$H$4:$I$70,2,0),"")</f>
        <v>399</v>
      </c>
      <c r="F1793" s="9">
        <f>IFERROR(VLOOKUP(C1793,$H$4:$I$70,2,0),"")</f>
        <v>559</v>
      </c>
    </row>
    <row r="1794" spans="2:6" x14ac:dyDescent="0.2">
      <c r="B1794" s="13">
        <f t="shared" si="83"/>
        <v>1791</v>
      </c>
      <c r="C1794" s="8">
        <f t="shared" si="84"/>
        <v>15</v>
      </c>
      <c r="D1794" s="8">
        <f t="shared" si="85"/>
        <v>30</v>
      </c>
      <c r="E1794" s="8">
        <f>IFERROR(VLOOKUP(D1794,$H$4:$I$70,2,0),"")</f>
        <v>399</v>
      </c>
      <c r="F1794" s="9">
        <f>IFERROR(VLOOKUP(C1794,$H$4:$I$70,2,0),"")</f>
        <v>556</v>
      </c>
    </row>
    <row r="1795" spans="2:6" x14ac:dyDescent="0.2">
      <c r="B1795" s="13">
        <f t="shared" si="83"/>
        <v>1792</v>
      </c>
      <c r="C1795" s="8">
        <f t="shared" si="84"/>
        <v>16</v>
      </c>
      <c r="D1795" s="8">
        <f t="shared" si="85"/>
        <v>30</v>
      </c>
      <c r="E1795" s="8">
        <f>IFERROR(VLOOKUP(D1795,$H$4:$I$70,2,0),"")</f>
        <v>399</v>
      </c>
      <c r="F1795" s="9">
        <f>IFERROR(VLOOKUP(C1795,$H$4:$I$70,2,0),"")</f>
        <v>540</v>
      </c>
    </row>
    <row r="1796" spans="2:6" x14ac:dyDescent="0.2">
      <c r="B1796" s="13">
        <f t="shared" si="83"/>
        <v>1793</v>
      </c>
      <c r="C1796" s="8">
        <f t="shared" si="84"/>
        <v>17</v>
      </c>
      <c r="D1796" s="8">
        <f t="shared" si="85"/>
        <v>30</v>
      </c>
      <c r="E1796" s="8">
        <f>IFERROR(VLOOKUP(D1796,$H$4:$I$70,2,0),"")</f>
        <v>399</v>
      </c>
      <c r="F1796" s="9">
        <f>IFERROR(VLOOKUP(C1796,$H$4:$I$70,2,0),"")</f>
        <v>536</v>
      </c>
    </row>
    <row r="1797" spans="2:6" x14ac:dyDescent="0.2">
      <c r="B1797" s="13">
        <f t="shared" ref="B1797:B1860" si="86">ROW()-3</f>
        <v>1794</v>
      </c>
      <c r="C1797" s="8">
        <f t="shared" si="84"/>
        <v>18</v>
      </c>
      <c r="D1797" s="8">
        <f t="shared" si="85"/>
        <v>30</v>
      </c>
      <c r="E1797" s="8">
        <f>IFERROR(VLOOKUP(D1797,$H$4:$I$70,2,0),"")</f>
        <v>399</v>
      </c>
      <c r="F1797" s="9">
        <f>IFERROR(VLOOKUP(C1797,$H$4:$I$70,2,0),"")</f>
        <v>527</v>
      </c>
    </row>
    <row r="1798" spans="2:6" x14ac:dyDescent="0.2">
      <c r="B1798" s="13">
        <f t="shared" si="86"/>
        <v>1795</v>
      </c>
      <c r="C1798" s="8">
        <f t="shared" ref="C1798:C1861" si="87">IF((D1797-C1797)=1,1,C1797+1)</f>
        <v>19</v>
      </c>
      <c r="D1798" s="8">
        <f t="shared" ref="D1798:D1861" si="88">IF((D1797-C1797)=1,D1797-1,D1797)</f>
        <v>30</v>
      </c>
      <c r="E1798" s="8">
        <f>IFERROR(VLOOKUP(D1798,$H$4:$I$70,2,0),"")</f>
        <v>399</v>
      </c>
      <c r="F1798" s="9">
        <f>IFERROR(VLOOKUP(C1798,$H$4:$I$70,2,0),"")</f>
        <v>478</v>
      </c>
    </row>
    <row r="1799" spans="2:6" x14ac:dyDescent="0.2">
      <c r="B1799" s="13">
        <f t="shared" si="86"/>
        <v>1796</v>
      </c>
      <c r="C1799" s="8">
        <f t="shared" si="87"/>
        <v>20</v>
      </c>
      <c r="D1799" s="8">
        <f t="shared" si="88"/>
        <v>30</v>
      </c>
      <c r="E1799" s="8">
        <f>IFERROR(VLOOKUP(D1799,$H$4:$I$70,2,0),"")</f>
        <v>399</v>
      </c>
      <c r="F1799" s="9">
        <f>IFERROR(VLOOKUP(C1799,$H$4:$I$70,2,0),"")</f>
        <v>474</v>
      </c>
    </row>
    <row r="1800" spans="2:6" x14ac:dyDescent="0.2">
      <c r="B1800" s="13">
        <f t="shared" si="86"/>
        <v>1797</v>
      </c>
      <c r="C1800" s="8">
        <f t="shared" si="87"/>
        <v>21</v>
      </c>
      <c r="D1800" s="8">
        <f t="shared" si="88"/>
        <v>30</v>
      </c>
      <c r="E1800" s="8">
        <f>IFERROR(VLOOKUP(D1800,$H$4:$I$70,2,0),"")</f>
        <v>399</v>
      </c>
      <c r="F1800" s="9">
        <f>IFERROR(VLOOKUP(C1800,$H$4:$I$70,2,0),"")</f>
        <v>468</v>
      </c>
    </row>
    <row r="1801" spans="2:6" x14ac:dyDescent="0.2">
      <c r="B1801" s="13">
        <f t="shared" si="86"/>
        <v>1798</v>
      </c>
      <c r="C1801" s="8">
        <f t="shared" si="87"/>
        <v>22</v>
      </c>
      <c r="D1801" s="8">
        <f t="shared" si="88"/>
        <v>30</v>
      </c>
      <c r="E1801" s="8">
        <f>IFERROR(VLOOKUP(D1801,$H$4:$I$70,2,0),"")</f>
        <v>399</v>
      </c>
      <c r="F1801" s="9">
        <f>IFERROR(VLOOKUP(C1801,$H$4:$I$70,2,0),"")</f>
        <v>457</v>
      </c>
    </row>
    <row r="1802" spans="2:6" x14ac:dyDescent="0.2">
      <c r="B1802" s="13">
        <f t="shared" si="86"/>
        <v>1799</v>
      </c>
      <c r="C1802" s="8">
        <f t="shared" si="87"/>
        <v>23</v>
      </c>
      <c r="D1802" s="8">
        <f t="shared" si="88"/>
        <v>30</v>
      </c>
      <c r="E1802" s="8">
        <f>IFERROR(VLOOKUP(D1802,$H$4:$I$70,2,0),"")</f>
        <v>399</v>
      </c>
      <c r="F1802" s="9">
        <f>IFERROR(VLOOKUP(C1802,$H$4:$I$70,2,0),"")</f>
        <v>452</v>
      </c>
    </row>
    <row r="1803" spans="2:6" x14ac:dyDescent="0.2">
      <c r="B1803" s="13">
        <f t="shared" si="86"/>
        <v>1800</v>
      </c>
      <c r="C1803" s="8">
        <f t="shared" si="87"/>
        <v>24</v>
      </c>
      <c r="D1803" s="8">
        <f t="shared" si="88"/>
        <v>30</v>
      </c>
      <c r="E1803" s="8">
        <f>IFERROR(VLOOKUP(D1803,$H$4:$I$70,2,0),"")</f>
        <v>399</v>
      </c>
      <c r="F1803" s="9">
        <f>IFERROR(VLOOKUP(C1803,$H$4:$I$70,2,0),"")</f>
        <v>442</v>
      </c>
    </row>
    <row r="1804" spans="2:6" x14ac:dyDescent="0.2">
      <c r="B1804" s="13">
        <f t="shared" si="86"/>
        <v>1801</v>
      </c>
      <c r="C1804" s="8">
        <f t="shared" si="87"/>
        <v>25</v>
      </c>
      <c r="D1804" s="8">
        <f t="shared" si="88"/>
        <v>30</v>
      </c>
      <c r="E1804" s="8">
        <f>IFERROR(VLOOKUP(D1804,$H$4:$I$70,2,0),"")</f>
        <v>399</v>
      </c>
      <c r="F1804" s="9">
        <f>IFERROR(VLOOKUP(C1804,$H$4:$I$70,2,0),"")</f>
        <v>420</v>
      </c>
    </row>
    <row r="1805" spans="2:6" x14ac:dyDescent="0.2">
      <c r="B1805" s="13">
        <f t="shared" si="86"/>
        <v>1802</v>
      </c>
      <c r="C1805" s="8">
        <f t="shared" si="87"/>
        <v>26</v>
      </c>
      <c r="D1805" s="8">
        <f t="shared" si="88"/>
        <v>30</v>
      </c>
      <c r="E1805" s="8">
        <f>IFERROR(VLOOKUP(D1805,$H$4:$I$70,2,0),"")</f>
        <v>399</v>
      </c>
      <c r="F1805" s="9">
        <f>IFERROR(VLOOKUP(C1805,$H$4:$I$70,2,0),"")</f>
        <v>410</v>
      </c>
    </row>
    <row r="1806" spans="2:6" x14ac:dyDescent="0.2">
      <c r="B1806" s="13">
        <f t="shared" si="86"/>
        <v>1803</v>
      </c>
      <c r="C1806" s="8">
        <f t="shared" si="87"/>
        <v>27</v>
      </c>
      <c r="D1806" s="8">
        <f t="shared" si="88"/>
        <v>30</v>
      </c>
      <c r="E1806" s="8">
        <f>IFERROR(VLOOKUP(D1806,$H$4:$I$70,2,0),"")</f>
        <v>399</v>
      </c>
      <c r="F1806" s="9">
        <f>IFERROR(VLOOKUP(C1806,$H$4:$I$70,2,0),"")</f>
        <v>409</v>
      </c>
    </row>
    <row r="1807" spans="2:6" x14ac:dyDescent="0.2">
      <c r="B1807" s="13">
        <f t="shared" si="86"/>
        <v>1804</v>
      </c>
      <c r="C1807" s="8">
        <f t="shared" si="87"/>
        <v>28</v>
      </c>
      <c r="D1807" s="8">
        <f t="shared" si="88"/>
        <v>30</v>
      </c>
      <c r="E1807" s="8">
        <f>IFERROR(VLOOKUP(D1807,$H$4:$I$70,2,0),"")</f>
        <v>399</v>
      </c>
      <c r="F1807" s="9">
        <f>IFERROR(VLOOKUP(C1807,$H$4:$I$70,2,0),"")</f>
        <v>408</v>
      </c>
    </row>
    <row r="1808" spans="2:6" x14ac:dyDescent="0.2">
      <c r="B1808" s="13">
        <f t="shared" si="86"/>
        <v>1805</v>
      </c>
      <c r="C1808" s="8">
        <f t="shared" si="87"/>
        <v>29</v>
      </c>
      <c r="D1808" s="8">
        <f t="shared" si="88"/>
        <v>30</v>
      </c>
      <c r="E1808" s="8">
        <f>IFERROR(VLOOKUP(D1808,$H$4:$I$70,2,0),"")</f>
        <v>399</v>
      </c>
      <c r="F1808" s="9">
        <f>IFERROR(VLOOKUP(C1808,$H$4:$I$70,2,0),"")</f>
        <v>404</v>
      </c>
    </row>
    <row r="1809" spans="2:6" x14ac:dyDescent="0.2">
      <c r="B1809" s="13">
        <f t="shared" si="86"/>
        <v>1806</v>
      </c>
      <c r="C1809" s="8">
        <f t="shared" si="87"/>
        <v>1</v>
      </c>
      <c r="D1809" s="8">
        <f t="shared" si="88"/>
        <v>29</v>
      </c>
      <c r="E1809" s="8">
        <f>IFERROR(VLOOKUP(D1809,$H$4:$I$70,2,0),"")</f>
        <v>404</v>
      </c>
      <c r="F1809" s="9">
        <f>IFERROR(VLOOKUP(C1809,$H$4:$I$70,2,0),"")</f>
        <v>1344</v>
      </c>
    </row>
    <row r="1810" spans="2:6" x14ac:dyDescent="0.2">
      <c r="B1810" s="13">
        <f t="shared" si="86"/>
        <v>1807</v>
      </c>
      <c r="C1810" s="8">
        <f t="shared" si="87"/>
        <v>2</v>
      </c>
      <c r="D1810" s="8">
        <f t="shared" si="88"/>
        <v>29</v>
      </c>
      <c r="E1810" s="8">
        <f>IFERROR(VLOOKUP(D1810,$H$4:$I$70,2,0),"")</f>
        <v>404</v>
      </c>
      <c r="F1810" s="9">
        <f>IFERROR(VLOOKUP(C1810,$H$4:$I$70,2,0),"")</f>
        <v>1048</v>
      </c>
    </row>
    <row r="1811" spans="2:6" x14ac:dyDescent="0.2">
      <c r="B1811" s="13">
        <f t="shared" si="86"/>
        <v>1808</v>
      </c>
      <c r="C1811" s="8">
        <f t="shared" si="87"/>
        <v>3</v>
      </c>
      <c r="D1811" s="8">
        <f t="shared" si="88"/>
        <v>29</v>
      </c>
      <c r="E1811" s="8">
        <f>IFERROR(VLOOKUP(D1811,$H$4:$I$70,2,0),"")</f>
        <v>404</v>
      </c>
      <c r="F1811" s="9">
        <f>IFERROR(VLOOKUP(C1811,$H$4:$I$70,2,0),"")</f>
        <v>1025</v>
      </c>
    </row>
    <row r="1812" spans="2:6" x14ac:dyDescent="0.2">
      <c r="B1812" s="13">
        <f t="shared" si="86"/>
        <v>1809</v>
      </c>
      <c r="C1812" s="8">
        <f t="shared" si="87"/>
        <v>4</v>
      </c>
      <c r="D1812" s="8">
        <f t="shared" si="88"/>
        <v>29</v>
      </c>
      <c r="E1812" s="8">
        <f>IFERROR(VLOOKUP(D1812,$H$4:$I$70,2,0),"")</f>
        <v>404</v>
      </c>
      <c r="F1812" s="9">
        <f>IFERROR(VLOOKUP(C1812,$H$4:$I$70,2,0),"")</f>
        <v>805</v>
      </c>
    </row>
    <row r="1813" spans="2:6" x14ac:dyDescent="0.2">
      <c r="B1813" s="13">
        <f t="shared" si="86"/>
        <v>1810</v>
      </c>
      <c r="C1813" s="8">
        <f t="shared" si="87"/>
        <v>5</v>
      </c>
      <c r="D1813" s="8">
        <f t="shared" si="88"/>
        <v>29</v>
      </c>
      <c r="E1813" s="8">
        <f>IFERROR(VLOOKUP(D1813,$H$4:$I$70,2,0),"")</f>
        <v>404</v>
      </c>
      <c r="F1813" s="9">
        <f>IFERROR(VLOOKUP(C1813,$H$4:$I$70,2,0),"")</f>
        <v>666</v>
      </c>
    </row>
    <row r="1814" spans="2:6" x14ac:dyDescent="0.2">
      <c r="B1814" s="13">
        <f t="shared" si="86"/>
        <v>1811</v>
      </c>
      <c r="C1814" s="8">
        <f t="shared" si="87"/>
        <v>6</v>
      </c>
      <c r="D1814" s="8">
        <f t="shared" si="88"/>
        <v>29</v>
      </c>
      <c r="E1814" s="8">
        <f>IFERROR(VLOOKUP(D1814,$H$4:$I$70,2,0),"")</f>
        <v>404</v>
      </c>
      <c r="F1814" s="9">
        <f>IFERROR(VLOOKUP(C1814,$H$4:$I$70,2,0),"")</f>
        <v>655</v>
      </c>
    </row>
    <row r="1815" spans="2:6" x14ac:dyDescent="0.2">
      <c r="B1815" s="13">
        <f t="shared" si="86"/>
        <v>1812</v>
      </c>
      <c r="C1815" s="8">
        <f t="shared" si="87"/>
        <v>7</v>
      </c>
      <c r="D1815" s="8">
        <f t="shared" si="88"/>
        <v>29</v>
      </c>
      <c r="E1815" s="8">
        <f>IFERROR(VLOOKUP(D1815,$H$4:$I$70,2,0),"")</f>
        <v>404</v>
      </c>
      <c r="F1815" s="9">
        <f>IFERROR(VLOOKUP(C1815,$H$4:$I$70,2,0),"")</f>
        <v>652</v>
      </c>
    </row>
    <row r="1816" spans="2:6" x14ac:dyDescent="0.2">
      <c r="B1816" s="13">
        <f t="shared" si="86"/>
        <v>1813</v>
      </c>
      <c r="C1816" s="8">
        <f t="shared" si="87"/>
        <v>8</v>
      </c>
      <c r="D1816" s="8">
        <f t="shared" si="88"/>
        <v>29</v>
      </c>
      <c r="E1816" s="8">
        <f>IFERROR(VLOOKUP(D1816,$H$4:$I$70,2,0),"")</f>
        <v>404</v>
      </c>
      <c r="F1816" s="9">
        <f>IFERROR(VLOOKUP(C1816,$H$4:$I$70,2,0),"")</f>
        <v>633</v>
      </c>
    </row>
    <row r="1817" spans="2:6" x14ac:dyDescent="0.2">
      <c r="B1817" s="13">
        <f t="shared" si="86"/>
        <v>1814</v>
      </c>
      <c r="C1817" s="8">
        <f t="shared" si="87"/>
        <v>9</v>
      </c>
      <c r="D1817" s="8">
        <f t="shared" si="88"/>
        <v>29</v>
      </c>
      <c r="E1817" s="8">
        <f>IFERROR(VLOOKUP(D1817,$H$4:$I$70,2,0),"")</f>
        <v>404</v>
      </c>
      <c r="F1817" s="9">
        <f>IFERROR(VLOOKUP(C1817,$H$4:$I$70,2,0),"")</f>
        <v>632</v>
      </c>
    </row>
    <row r="1818" spans="2:6" x14ac:dyDescent="0.2">
      <c r="B1818" s="13">
        <f t="shared" si="86"/>
        <v>1815</v>
      </c>
      <c r="C1818" s="8">
        <f t="shared" si="87"/>
        <v>10</v>
      </c>
      <c r="D1818" s="8">
        <f t="shared" si="88"/>
        <v>29</v>
      </c>
      <c r="E1818" s="8">
        <f>IFERROR(VLOOKUP(D1818,$H$4:$I$70,2,0),"")</f>
        <v>404</v>
      </c>
      <c r="F1818" s="9">
        <f>IFERROR(VLOOKUP(C1818,$H$4:$I$70,2,0),"")</f>
        <v>625</v>
      </c>
    </row>
    <row r="1819" spans="2:6" x14ac:dyDescent="0.2">
      <c r="B1819" s="13">
        <f t="shared" si="86"/>
        <v>1816</v>
      </c>
      <c r="C1819" s="8">
        <f t="shared" si="87"/>
        <v>11</v>
      </c>
      <c r="D1819" s="8">
        <f t="shared" si="88"/>
        <v>29</v>
      </c>
      <c r="E1819" s="8">
        <f>IFERROR(VLOOKUP(D1819,$H$4:$I$70,2,0),"")</f>
        <v>404</v>
      </c>
      <c r="F1819" s="9">
        <f>IFERROR(VLOOKUP(C1819,$H$4:$I$70,2,0),"")</f>
        <v>619</v>
      </c>
    </row>
    <row r="1820" spans="2:6" x14ac:dyDescent="0.2">
      <c r="B1820" s="13">
        <f t="shared" si="86"/>
        <v>1817</v>
      </c>
      <c r="C1820" s="8">
        <f t="shared" si="87"/>
        <v>12</v>
      </c>
      <c r="D1820" s="8">
        <f t="shared" si="88"/>
        <v>29</v>
      </c>
      <c r="E1820" s="8">
        <f>IFERROR(VLOOKUP(D1820,$H$4:$I$70,2,0),"")</f>
        <v>404</v>
      </c>
      <c r="F1820" s="9">
        <f>IFERROR(VLOOKUP(C1820,$H$4:$I$70,2,0),"")</f>
        <v>610</v>
      </c>
    </row>
    <row r="1821" spans="2:6" x14ac:dyDescent="0.2">
      <c r="B1821" s="13">
        <f t="shared" si="86"/>
        <v>1818</v>
      </c>
      <c r="C1821" s="8">
        <f t="shared" si="87"/>
        <v>13</v>
      </c>
      <c r="D1821" s="8">
        <f t="shared" si="88"/>
        <v>29</v>
      </c>
      <c r="E1821" s="8">
        <f>IFERROR(VLOOKUP(D1821,$H$4:$I$70,2,0),"")</f>
        <v>404</v>
      </c>
      <c r="F1821" s="9">
        <f>IFERROR(VLOOKUP(C1821,$H$4:$I$70,2,0),"")</f>
        <v>599</v>
      </c>
    </row>
    <row r="1822" spans="2:6" x14ac:dyDescent="0.2">
      <c r="B1822" s="13">
        <f t="shared" si="86"/>
        <v>1819</v>
      </c>
      <c r="C1822" s="8">
        <f t="shared" si="87"/>
        <v>14</v>
      </c>
      <c r="D1822" s="8">
        <f t="shared" si="88"/>
        <v>29</v>
      </c>
      <c r="E1822" s="8">
        <f>IFERROR(VLOOKUP(D1822,$H$4:$I$70,2,0),"")</f>
        <v>404</v>
      </c>
      <c r="F1822" s="9">
        <f>IFERROR(VLOOKUP(C1822,$H$4:$I$70,2,0),"")</f>
        <v>559</v>
      </c>
    </row>
    <row r="1823" spans="2:6" x14ac:dyDescent="0.2">
      <c r="B1823" s="13">
        <f t="shared" si="86"/>
        <v>1820</v>
      </c>
      <c r="C1823" s="8">
        <f t="shared" si="87"/>
        <v>15</v>
      </c>
      <c r="D1823" s="8">
        <f t="shared" si="88"/>
        <v>29</v>
      </c>
      <c r="E1823" s="8">
        <f>IFERROR(VLOOKUP(D1823,$H$4:$I$70,2,0),"")</f>
        <v>404</v>
      </c>
      <c r="F1823" s="9">
        <f>IFERROR(VLOOKUP(C1823,$H$4:$I$70,2,0),"")</f>
        <v>556</v>
      </c>
    </row>
    <row r="1824" spans="2:6" x14ac:dyDescent="0.2">
      <c r="B1824" s="13">
        <f t="shared" si="86"/>
        <v>1821</v>
      </c>
      <c r="C1824" s="8">
        <f t="shared" si="87"/>
        <v>16</v>
      </c>
      <c r="D1824" s="8">
        <f t="shared" si="88"/>
        <v>29</v>
      </c>
      <c r="E1824" s="8">
        <f>IFERROR(VLOOKUP(D1824,$H$4:$I$70,2,0),"")</f>
        <v>404</v>
      </c>
      <c r="F1824" s="9">
        <f>IFERROR(VLOOKUP(C1824,$H$4:$I$70,2,0),"")</f>
        <v>540</v>
      </c>
    </row>
    <row r="1825" spans="2:6" x14ac:dyDescent="0.2">
      <c r="B1825" s="13">
        <f t="shared" si="86"/>
        <v>1822</v>
      </c>
      <c r="C1825" s="8">
        <f t="shared" si="87"/>
        <v>17</v>
      </c>
      <c r="D1825" s="8">
        <f t="shared" si="88"/>
        <v>29</v>
      </c>
      <c r="E1825" s="8">
        <f>IFERROR(VLOOKUP(D1825,$H$4:$I$70,2,0),"")</f>
        <v>404</v>
      </c>
      <c r="F1825" s="9">
        <f>IFERROR(VLOOKUP(C1825,$H$4:$I$70,2,0),"")</f>
        <v>536</v>
      </c>
    </row>
    <row r="1826" spans="2:6" x14ac:dyDescent="0.2">
      <c r="B1826" s="13">
        <f t="shared" si="86"/>
        <v>1823</v>
      </c>
      <c r="C1826" s="8">
        <f t="shared" si="87"/>
        <v>18</v>
      </c>
      <c r="D1826" s="8">
        <f t="shared" si="88"/>
        <v>29</v>
      </c>
      <c r="E1826" s="8">
        <f>IFERROR(VLOOKUP(D1826,$H$4:$I$70,2,0),"")</f>
        <v>404</v>
      </c>
      <c r="F1826" s="9">
        <f>IFERROR(VLOOKUP(C1826,$H$4:$I$70,2,0),"")</f>
        <v>527</v>
      </c>
    </row>
    <row r="1827" spans="2:6" x14ac:dyDescent="0.2">
      <c r="B1827" s="13">
        <f t="shared" si="86"/>
        <v>1824</v>
      </c>
      <c r="C1827" s="8">
        <f t="shared" si="87"/>
        <v>19</v>
      </c>
      <c r="D1827" s="8">
        <f t="shared" si="88"/>
        <v>29</v>
      </c>
      <c r="E1827" s="8">
        <f>IFERROR(VLOOKUP(D1827,$H$4:$I$70,2,0),"")</f>
        <v>404</v>
      </c>
      <c r="F1827" s="9">
        <f>IFERROR(VLOOKUP(C1827,$H$4:$I$70,2,0),"")</f>
        <v>478</v>
      </c>
    </row>
    <row r="1828" spans="2:6" x14ac:dyDescent="0.2">
      <c r="B1828" s="13">
        <f t="shared" si="86"/>
        <v>1825</v>
      </c>
      <c r="C1828" s="8">
        <f t="shared" si="87"/>
        <v>20</v>
      </c>
      <c r="D1828" s="8">
        <f t="shared" si="88"/>
        <v>29</v>
      </c>
      <c r="E1828" s="8">
        <f>IFERROR(VLOOKUP(D1828,$H$4:$I$70,2,0),"")</f>
        <v>404</v>
      </c>
      <c r="F1828" s="9">
        <f>IFERROR(VLOOKUP(C1828,$H$4:$I$70,2,0),"")</f>
        <v>474</v>
      </c>
    </row>
    <row r="1829" spans="2:6" x14ac:dyDescent="0.2">
      <c r="B1829" s="13">
        <f t="shared" si="86"/>
        <v>1826</v>
      </c>
      <c r="C1829" s="8">
        <f t="shared" si="87"/>
        <v>21</v>
      </c>
      <c r="D1829" s="8">
        <f t="shared" si="88"/>
        <v>29</v>
      </c>
      <c r="E1829" s="8">
        <f>IFERROR(VLOOKUP(D1829,$H$4:$I$70,2,0),"")</f>
        <v>404</v>
      </c>
      <c r="F1829" s="9">
        <f>IFERROR(VLOOKUP(C1829,$H$4:$I$70,2,0),"")</f>
        <v>468</v>
      </c>
    </row>
    <row r="1830" spans="2:6" x14ac:dyDescent="0.2">
      <c r="B1830" s="13">
        <f t="shared" si="86"/>
        <v>1827</v>
      </c>
      <c r="C1830" s="8">
        <f t="shared" si="87"/>
        <v>22</v>
      </c>
      <c r="D1830" s="8">
        <f t="shared" si="88"/>
        <v>29</v>
      </c>
      <c r="E1830" s="8">
        <f>IFERROR(VLOOKUP(D1830,$H$4:$I$70,2,0),"")</f>
        <v>404</v>
      </c>
      <c r="F1830" s="9">
        <f>IFERROR(VLOOKUP(C1830,$H$4:$I$70,2,0),"")</f>
        <v>457</v>
      </c>
    </row>
    <row r="1831" spans="2:6" x14ac:dyDescent="0.2">
      <c r="B1831" s="13">
        <f t="shared" si="86"/>
        <v>1828</v>
      </c>
      <c r="C1831" s="8">
        <f t="shared" si="87"/>
        <v>23</v>
      </c>
      <c r="D1831" s="8">
        <f t="shared" si="88"/>
        <v>29</v>
      </c>
      <c r="E1831" s="8">
        <f>IFERROR(VLOOKUP(D1831,$H$4:$I$70,2,0),"")</f>
        <v>404</v>
      </c>
      <c r="F1831" s="9">
        <f>IFERROR(VLOOKUP(C1831,$H$4:$I$70,2,0),"")</f>
        <v>452</v>
      </c>
    </row>
    <row r="1832" spans="2:6" x14ac:dyDescent="0.2">
      <c r="B1832" s="13">
        <f t="shared" si="86"/>
        <v>1829</v>
      </c>
      <c r="C1832" s="8">
        <f t="shared" si="87"/>
        <v>24</v>
      </c>
      <c r="D1832" s="8">
        <f t="shared" si="88"/>
        <v>29</v>
      </c>
      <c r="E1832" s="8">
        <f>IFERROR(VLOOKUP(D1832,$H$4:$I$70,2,0),"")</f>
        <v>404</v>
      </c>
      <c r="F1832" s="9">
        <f>IFERROR(VLOOKUP(C1832,$H$4:$I$70,2,0),"")</f>
        <v>442</v>
      </c>
    </row>
    <row r="1833" spans="2:6" x14ac:dyDescent="0.2">
      <c r="B1833" s="13">
        <f t="shared" si="86"/>
        <v>1830</v>
      </c>
      <c r="C1833" s="8">
        <f t="shared" si="87"/>
        <v>25</v>
      </c>
      <c r="D1833" s="8">
        <f t="shared" si="88"/>
        <v>29</v>
      </c>
      <c r="E1833" s="8">
        <f>IFERROR(VLOOKUP(D1833,$H$4:$I$70,2,0),"")</f>
        <v>404</v>
      </c>
      <c r="F1833" s="9">
        <f>IFERROR(VLOOKUP(C1833,$H$4:$I$70,2,0),"")</f>
        <v>420</v>
      </c>
    </row>
    <row r="1834" spans="2:6" x14ac:dyDescent="0.2">
      <c r="B1834" s="13">
        <f t="shared" si="86"/>
        <v>1831</v>
      </c>
      <c r="C1834" s="8">
        <f t="shared" si="87"/>
        <v>26</v>
      </c>
      <c r="D1834" s="8">
        <f t="shared" si="88"/>
        <v>29</v>
      </c>
      <c r="E1834" s="8">
        <f>IFERROR(VLOOKUP(D1834,$H$4:$I$70,2,0),"")</f>
        <v>404</v>
      </c>
      <c r="F1834" s="9">
        <f>IFERROR(VLOOKUP(C1834,$H$4:$I$70,2,0),"")</f>
        <v>410</v>
      </c>
    </row>
    <row r="1835" spans="2:6" x14ac:dyDescent="0.2">
      <c r="B1835" s="13">
        <f t="shared" si="86"/>
        <v>1832</v>
      </c>
      <c r="C1835" s="8">
        <f t="shared" si="87"/>
        <v>27</v>
      </c>
      <c r="D1835" s="8">
        <f t="shared" si="88"/>
        <v>29</v>
      </c>
      <c r="E1835" s="8">
        <f>IFERROR(VLOOKUP(D1835,$H$4:$I$70,2,0),"")</f>
        <v>404</v>
      </c>
      <c r="F1835" s="9">
        <f>IFERROR(VLOOKUP(C1835,$H$4:$I$70,2,0),"")</f>
        <v>409</v>
      </c>
    </row>
    <row r="1836" spans="2:6" x14ac:dyDescent="0.2">
      <c r="B1836" s="13">
        <f t="shared" si="86"/>
        <v>1833</v>
      </c>
      <c r="C1836" s="8">
        <f t="shared" si="87"/>
        <v>28</v>
      </c>
      <c r="D1836" s="8">
        <f t="shared" si="88"/>
        <v>29</v>
      </c>
      <c r="E1836" s="8">
        <f>IFERROR(VLOOKUP(D1836,$H$4:$I$70,2,0),"")</f>
        <v>404</v>
      </c>
      <c r="F1836" s="9">
        <f>IFERROR(VLOOKUP(C1836,$H$4:$I$70,2,0),"")</f>
        <v>408</v>
      </c>
    </row>
    <row r="1837" spans="2:6" x14ac:dyDescent="0.2">
      <c r="B1837" s="13">
        <f t="shared" si="86"/>
        <v>1834</v>
      </c>
      <c r="C1837" s="8">
        <f t="shared" si="87"/>
        <v>1</v>
      </c>
      <c r="D1837" s="8">
        <f t="shared" si="88"/>
        <v>28</v>
      </c>
      <c r="E1837" s="8">
        <f>IFERROR(VLOOKUP(D1837,$H$4:$I$70,2,0),"")</f>
        <v>408</v>
      </c>
      <c r="F1837" s="9">
        <f>IFERROR(VLOOKUP(C1837,$H$4:$I$70,2,0),"")</f>
        <v>1344</v>
      </c>
    </row>
    <row r="1838" spans="2:6" x14ac:dyDescent="0.2">
      <c r="B1838" s="13">
        <f t="shared" si="86"/>
        <v>1835</v>
      </c>
      <c r="C1838" s="8">
        <f t="shared" si="87"/>
        <v>2</v>
      </c>
      <c r="D1838" s="8">
        <f t="shared" si="88"/>
        <v>28</v>
      </c>
      <c r="E1838" s="8">
        <f>IFERROR(VLOOKUP(D1838,$H$4:$I$70,2,0),"")</f>
        <v>408</v>
      </c>
      <c r="F1838" s="9">
        <f>IFERROR(VLOOKUP(C1838,$H$4:$I$70,2,0),"")</f>
        <v>1048</v>
      </c>
    </row>
    <row r="1839" spans="2:6" x14ac:dyDescent="0.2">
      <c r="B1839" s="13">
        <f t="shared" si="86"/>
        <v>1836</v>
      </c>
      <c r="C1839" s="8">
        <f t="shared" si="87"/>
        <v>3</v>
      </c>
      <c r="D1839" s="8">
        <f t="shared" si="88"/>
        <v>28</v>
      </c>
      <c r="E1839" s="8">
        <f>IFERROR(VLOOKUP(D1839,$H$4:$I$70,2,0),"")</f>
        <v>408</v>
      </c>
      <c r="F1839" s="9">
        <f>IFERROR(VLOOKUP(C1839,$H$4:$I$70,2,0),"")</f>
        <v>1025</v>
      </c>
    </row>
    <row r="1840" spans="2:6" x14ac:dyDescent="0.2">
      <c r="B1840" s="13">
        <f t="shared" si="86"/>
        <v>1837</v>
      </c>
      <c r="C1840" s="8">
        <f t="shared" si="87"/>
        <v>4</v>
      </c>
      <c r="D1840" s="8">
        <f t="shared" si="88"/>
        <v>28</v>
      </c>
      <c r="E1840" s="8">
        <f>IFERROR(VLOOKUP(D1840,$H$4:$I$70,2,0),"")</f>
        <v>408</v>
      </c>
      <c r="F1840" s="9">
        <f>IFERROR(VLOOKUP(C1840,$H$4:$I$70,2,0),"")</f>
        <v>805</v>
      </c>
    </row>
    <row r="1841" spans="2:6" x14ac:dyDescent="0.2">
      <c r="B1841" s="13">
        <f t="shared" si="86"/>
        <v>1838</v>
      </c>
      <c r="C1841" s="8">
        <f t="shared" si="87"/>
        <v>5</v>
      </c>
      <c r="D1841" s="8">
        <f t="shared" si="88"/>
        <v>28</v>
      </c>
      <c r="E1841" s="8">
        <f>IFERROR(VLOOKUP(D1841,$H$4:$I$70,2,0),"")</f>
        <v>408</v>
      </c>
      <c r="F1841" s="9">
        <f>IFERROR(VLOOKUP(C1841,$H$4:$I$70,2,0),"")</f>
        <v>666</v>
      </c>
    </row>
    <row r="1842" spans="2:6" x14ac:dyDescent="0.2">
      <c r="B1842" s="13">
        <f t="shared" si="86"/>
        <v>1839</v>
      </c>
      <c r="C1842" s="8">
        <f t="shared" si="87"/>
        <v>6</v>
      </c>
      <c r="D1842" s="8">
        <f t="shared" si="88"/>
        <v>28</v>
      </c>
      <c r="E1842" s="8">
        <f>IFERROR(VLOOKUP(D1842,$H$4:$I$70,2,0),"")</f>
        <v>408</v>
      </c>
      <c r="F1842" s="9">
        <f>IFERROR(VLOOKUP(C1842,$H$4:$I$70,2,0),"")</f>
        <v>655</v>
      </c>
    </row>
    <row r="1843" spans="2:6" x14ac:dyDescent="0.2">
      <c r="B1843" s="13">
        <f t="shared" si="86"/>
        <v>1840</v>
      </c>
      <c r="C1843" s="8">
        <f t="shared" si="87"/>
        <v>7</v>
      </c>
      <c r="D1843" s="8">
        <f t="shared" si="88"/>
        <v>28</v>
      </c>
      <c r="E1843" s="8">
        <f>IFERROR(VLOOKUP(D1843,$H$4:$I$70,2,0),"")</f>
        <v>408</v>
      </c>
      <c r="F1843" s="9">
        <f>IFERROR(VLOOKUP(C1843,$H$4:$I$70,2,0),"")</f>
        <v>652</v>
      </c>
    </row>
    <row r="1844" spans="2:6" x14ac:dyDescent="0.2">
      <c r="B1844" s="13">
        <f t="shared" si="86"/>
        <v>1841</v>
      </c>
      <c r="C1844" s="8">
        <f t="shared" si="87"/>
        <v>8</v>
      </c>
      <c r="D1844" s="8">
        <f t="shared" si="88"/>
        <v>28</v>
      </c>
      <c r="E1844" s="8">
        <f>IFERROR(VLOOKUP(D1844,$H$4:$I$70,2,0),"")</f>
        <v>408</v>
      </c>
      <c r="F1844" s="9">
        <f>IFERROR(VLOOKUP(C1844,$H$4:$I$70,2,0),"")</f>
        <v>633</v>
      </c>
    </row>
    <row r="1845" spans="2:6" x14ac:dyDescent="0.2">
      <c r="B1845" s="13">
        <f t="shared" si="86"/>
        <v>1842</v>
      </c>
      <c r="C1845" s="8">
        <f t="shared" si="87"/>
        <v>9</v>
      </c>
      <c r="D1845" s="8">
        <f t="shared" si="88"/>
        <v>28</v>
      </c>
      <c r="E1845" s="8">
        <f>IFERROR(VLOOKUP(D1845,$H$4:$I$70,2,0),"")</f>
        <v>408</v>
      </c>
      <c r="F1845" s="9">
        <f>IFERROR(VLOOKUP(C1845,$H$4:$I$70,2,0),"")</f>
        <v>632</v>
      </c>
    </row>
    <row r="1846" spans="2:6" x14ac:dyDescent="0.2">
      <c r="B1846" s="13">
        <f t="shared" si="86"/>
        <v>1843</v>
      </c>
      <c r="C1846" s="8">
        <f t="shared" si="87"/>
        <v>10</v>
      </c>
      <c r="D1846" s="8">
        <f t="shared" si="88"/>
        <v>28</v>
      </c>
      <c r="E1846" s="8">
        <f>IFERROR(VLOOKUP(D1846,$H$4:$I$70,2,0),"")</f>
        <v>408</v>
      </c>
      <c r="F1846" s="9">
        <f>IFERROR(VLOOKUP(C1846,$H$4:$I$70,2,0),"")</f>
        <v>625</v>
      </c>
    </row>
    <row r="1847" spans="2:6" x14ac:dyDescent="0.2">
      <c r="B1847" s="13">
        <f t="shared" si="86"/>
        <v>1844</v>
      </c>
      <c r="C1847" s="8">
        <f t="shared" si="87"/>
        <v>11</v>
      </c>
      <c r="D1847" s="8">
        <f t="shared" si="88"/>
        <v>28</v>
      </c>
      <c r="E1847" s="8">
        <f>IFERROR(VLOOKUP(D1847,$H$4:$I$70,2,0),"")</f>
        <v>408</v>
      </c>
      <c r="F1847" s="9">
        <f>IFERROR(VLOOKUP(C1847,$H$4:$I$70,2,0),"")</f>
        <v>619</v>
      </c>
    </row>
    <row r="1848" spans="2:6" x14ac:dyDescent="0.2">
      <c r="B1848" s="13">
        <f t="shared" si="86"/>
        <v>1845</v>
      </c>
      <c r="C1848" s="8">
        <f t="shared" si="87"/>
        <v>12</v>
      </c>
      <c r="D1848" s="8">
        <f t="shared" si="88"/>
        <v>28</v>
      </c>
      <c r="E1848" s="8">
        <f>IFERROR(VLOOKUP(D1848,$H$4:$I$70,2,0),"")</f>
        <v>408</v>
      </c>
      <c r="F1848" s="9">
        <f>IFERROR(VLOOKUP(C1848,$H$4:$I$70,2,0),"")</f>
        <v>610</v>
      </c>
    </row>
    <row r="1849" spans="2:6" x14ac:dyDescent="0.2">
      <c r="B1849" s="13">
        <f t="shared" si="86"/>
        <v>1846</v>
      </c>
      <c r="C1849" s="8">
        <f t="shared" si="87"/>
        <v>13</v>
      </c>
      <c r="D1849" s="8">
        <f t="shared" si="88"/>
        <v>28</v>
      </c>
      <c r="E1849" s="8">
        <f>IFERROR(VLOOKUP(D1849,$H$4:$I$70,2,0),"")</f>
        <v>408</v>
      </c>
      <c r="F1849" s="9">
        <f>IFERROR(VLOOKUP(C1849,$H$4:$I$70,2,0),"")</f>
        <v>599</v>
      </c>
    </row>
    <row r="1850" spans="2:6" x14ac:dyDescent="0.2">
      <c r="B1850" s="13">
        <f t="shared" si="86"/>
        <v>1847</v>
      </c>
      <c r="C1850" s="8">
        <f t="shared" si="87"/>
        <v>14</v>
      </c>
      <c r="D1850" s="8">
        <f t="shared" si="88"/>
        <v>28</v>
      </c>
      <c r="E1850" s="8">
        <f>IFERROR(VLOOKUP(D1850,$H$4:$I$70,2,0),"")</f>
        <v>408</v>
      </c>
      <c r="F1850" s="9">
        <f>IFERROR(VLOOKUP(C1850,$H$4:$I$70,2,0),"")</f>
        <v>559</v>
      </c>
    </row>
    <row r="1851" spans="2:6" x14ac:dyDescent="0.2">
      <c r="B1851" s="13">
        <f t="shared" si="86"/>
        <v>1848</v>
      </c>
      <c r="C1851" s="8">
        <f t="shared" si="87"/>
        <v>15</v>
      </c>
      <c r="D1851" s="8">
        <f t="shared" si="88"/>
        <v>28</v>
      </c>
      <c r="E1851" s="8">
        <f>IFERROR(VLOOKUP(D1851,$H$4:$I$70,2,0),"")</f>
        <v>408</v>
      </c>
      <c r="F1851" s="9">
        <f>IFERROR(VLOOKUP(C1851,$H$4:$I$70,2,0),"")</f>
        <v>556</v>
      </c>
    </row>
    <row r="1852" spans="2:6" x14ac:dyDescent="0.2">
      <c r="B1852" s="13">
        <f t="shared" si="86"/>
        <v>1849</v>
      </c>
      <c r="C1852" s="8">
        <f t="shared" si="87"/>
        <v>16</v>
      </c>
      <c r="D1852" s="8">
        <f t="shared" si="88"/>
        <v>28</v>
      </c>
      <c r="E1852" s="8">
        <f>IFERROR(VLOOKUP(D1852,$H$4:$I$70,2,0),"")</f>
        <v>408</v>
      </c>
      <c r="F1852" s="9">
        <f>IFERROR(VLOOKUP(C1852,$H$4:$I$70,2,0),"")</f>
        <v>540</v>
      </c>
    </row>
    <row r="1853" spans="2:6" x14ac:dyDescent="0.2">
      <c r="B1853" s="13">
        <f t="shared" si="86"/>
        <v>1850</v>
      </c>
      <c r="C1853" s="8">
        <f t="shared" si="87"/>
        <v>17</v>
      </c>
      <c r="D1853" s="8">
        <f t="shared" si="88"/>
        <v>28</v>
      </c>
      <c r="E1853" s="8">
        <f>IFERROR(VLOOKUP(D1853,$H$4:$I$70,2,0),"")</f>
        <v>408</v>
      </c>
      <c r="F1853" s="9">
        <f>IFERROR(VLOOKUP(C1853,$H$4:$I$70,2,0),"")</f>
        <v>536</v>
      </c>
    </row>
    <row r="1854" spans="2:6" x14ac:dyDescent="0.2">
      <c r="B1854" s="13">
        <f t="shared" si="86"/>
        <v>1851</v>
      </c>
      <c r="C1854" s="8">
        <f t="shared" si="87"/>
        <v>18</v>
      </c>
      <c r="D1854" s="8">
        <f t="shared" si="88"/>
        <v>28</v>
      </c>
      <c r="E1854" s="8">
        <f>IFERROR(VLOOKUP(D1854,$H$4:$I$70,2,0),"")</f>
        <v>408</v>
      </c>
      <c r="F1854" s="9">
        <f>IFERROR(VLOOKUP(C1854,$H$4:$I$70,2,0),"")</f>
        <v>527</v>
      </c>
    </row>
    <row r="1855" spans="2:6" x14ac:dyDescent="0.2">
      <c r="B1855" s="13">
        <f t="shared" si="86"/>
        <v>1852</v>
      </c>
      <c r="C1855" s="8">
        <f t="shared" si="87"/>
        <v>19</v>
      </c>
      <c r="D1855" s="8">
        <f t="shared" si="88"/>
        <v>28</v>
      </c>
      <c r="E1855" s="8">
        <f>IFERROR(VLOOKUP(D1855,$H$4:$I$70,2,0),"")</f>
        <v>408</v>
      </c>
      <c r="F1855" s="9">
        <f>IFERROR(VLOOKUP(C1855,$H$4:$I$70,2,0),"")</f>
        <v>478</v>
      </c>
    </row>
    <row r="1856" spans="2:6" x14ac:dyDescent="0.2">
      <c r="B1856" s="13">
        <f t="shared" si="86"/>
        <v>1853</v>
      </c>
      <c r="C1856" s="8">
        <f t="shared" si="87"/>
        <v>20</v>
      </c>
      <c r="D1856" s="8">
        <f t="shared" si="88"/>
        <v>28</v>
      </c>
      <c r="E1856" s="8">
        <f>IFERROR(VLOOKUP(D1856,$H$4:$I$70,2,0),"")</f>
        <v>408</v>
      </c>
      <c r="F1856" s="9">
        <f>IFERROR(VLOOKUP(C1856,$H$4:$I$70,2,0),"")</f>
        <v>474</v>
      </c>
    </row>
    <row r="1857" spans="2:6" x14ac:dyDescent="0.2">
      <c r="B1857" s="13">
        <f t="shared" si="86"/>
        <v>1854</v>
      </c>
      <c r="C1857" s="8">
        <f t="shared" si="87"/>
        <v>21</v>
      </c>
      <c r="D1857" s="8">
        <f t="shared" si="88"/>
        <v>28</v>
      </c>
      <c r="E1857" s="8">
        <f>IFERROR(VLOOKUP(D1857,$H$4:$I$70,2,0),"")</f>
        <v>408</v>
      </c>
      <c r="F1857" s="9">
        <f>IFERROR(VLOOKUP(C1857,$H$4:$I$70,2,0),"")</f>
        <v>468</v>
      </c>
    </row>
    <row r="1858" spans="2:6" x14ac:dyDescent="0.2">
      <c r="B1858" s="13">
        <f t="shared" si="86"/>
        <v>1855</v>
      </c>
      <c r="C1858" s="8">
        <f t="shared" si="87"/>
        <v>22</v>
      </c>
      <c r="D1858" s="8">
        <f t="shared" si="88"/>
        <v>28</v>
      </c>
      <c r="E1858" s="8">
        <f>IFERROR(VLOOKUP(D1858,$H$4:$I$70,2,0),"")</f>
        <v>408</v>
      </c>
      <c r="F1858" s="9">
        <f>IFERROR(VLOOKUP(C1858,$H$4:$I$70,2,0),"")</f>
        <v>457</v>
      </c>
    </row>
    <row r="1859" spans="2:6" x14ac:dyDescent="0.2">
      <c r="B1859" s="13">
        <f t="shared" si="86"/>
        <v>1856</v>
      </c>
      <c r="C1859" s="8">
        <f t="shared" si="87"/>
        <v>23</v>
      </c>
      <c r="D1859" s="8">
        <f t="shared" si="88"/>
        <v>28</v>
      </c>
      <c r="E1859" s="8">
        <f>IFERROR(VLOOKUP(D1859,$H$4:$I$70,2,0),"")</f>
        <v>408</v>
      </c>
      <c r="F1859" s="9">
        <f>IFERROR(VLOOKUP(C1859,$H$4:$I$70,2,0),"")</f>
        <v>452</v>
      </c>
    </row>
    <row r="1860" spans="2:6" x14ac:dyDescent="0.2">
      <c r="B1860" s="13">
        <f t="shared" si="86"/>
        <v>1857</v>
      </c>
      <c r="C1860" s="8">
        <f t="shared" si="87"/>
        <v>24</v>
      </c>
      <c r="D1860" s="8">
        <f t="shared" si="88"/>
        <v>28</v>
      </c>
      <c r="E1860" s="8">
        <f>IFERROR(VLOOKUP(D1860,$H$4:$I$70,2,0),"")</f>
        <v>408</v>
      </c>
      <c r="F1860" s="9">
        <f>IFERROR(VLOOKUP(C1860,$H$4:$I$70,2,0),"")</f>
        <v>442</v>
      </c>
    </row>
    <row r="1861" spans="2:6" x14ac:dyDescent="0.2">
      <c r="B1861" s="13">
        <f t="shared" ref="B1861:B1894" si="89">ROW()-3</f>
        <v>1858</v>
      </c>
      <c r="C1861" s="8">
        <f t="shared" si="87"/>
        <v>25</v>
      </c>
      <c r="D1861" s="8">
        <f t="shared" si="88"/>
        <v>28</v>
      </c>
      <c r="E1861" s="8">
        <f>IFERROR(VLOOKUP(D1861,$H$4:$I$70,2,0),"")</f>
        <v>408</v>
      </c>
      <c r="F1861" s="9">
        <f>IFERROR(VLOOKUP(C1861,$H$4:$I$70,2,0),"")</f>
        <v>420</v>
      </c>
    </row>
    <row r="1862" spans="2:6" x14ac:dyDescent="0.2">
      <c r="B1862" s="13">
        <f t="shared" si="89"/>
        <v>1859</v>
      </c>
      <c r="C1862" s="8">
        <f t="shared" ref="C1862:C1894" si="90">IF((D1861-C1861)=1,1,C1861+1)</f>
        <v>26</v>
      </c>
      <c r="D1862" s="8">
        <f t="shared" ref="D1862:D1894" si="91">IF((D1861-C1861)=1,D1861-1,D1861)</f>
        <v>28</v>
      </c>
      <c r="E1862" s="8">
        <f>IFERROR(VLOOKUP(D1862,$H$4:$I$70,2,0),"")</f>
        <v>408</v>
      </c>
      <c r="F1862" s="9">
        <f>IFERROR(VLOOKUP(C1862,$H$4:$I$70,2,0),"")</f>
        <v>410</v>
      </c>
    </row>
    <row r="1863" spans="2:6" x14ac:dyDescent="0.2">
      <c r="B1863" s="13">
        <f t="shared" si="89"/>
        <v>1860</v>
      </c>
      <c r="C1863" s="8">
        <f t="shared" si="90"/>
        <v>27</v>
      </c>
      <c r="D1863" s="8">
        <f t="shared" si="91"/>
        <v>28</v>
      </c>
      <c r="E1863" s="8">
        <f>IFERROR(VLOOKUP(D1863,$H$4:$I$70,2,0),"")</f>
        <v>408</v>
      </c>
      <c r="F1863" s="9">
        <f>IFERROR(VLOOKUP(C1863,$H$4:$I$70,2,0),"")</f>
        <v>409</v>
      </c>
    </row>
    <row r="1864" spans="2:6" x14ac:dyDescent="0.2">
      <c r="B1864" s="13">
        <f t="shared" si="89"/>
        <v>1861</v>
      </c>
      <c r="C1864" s="8">
        <f t="shared" si="90"/>
        <v>1</v>
      </c>
      <c r="D1864" s="8">
        <f t="shared" si="91"/>
        <v>27</v>
      </c>
      <c r="E1864" s="8">
        <f>IFERROR(VLOOKUP(D1864,$H$4:$I$70,2,0),"")</f>
        <v>409</v>
      </c>
      <c r="F1864" s="9">
        <f>IFERROR(VLOOKUP(C1864,$H$4:$I$70,2,0),"")</f>
        <v>1344</v>
      </c>
    </row>
    <row r="1865" spans="2:6" x14ac:dyDescent="0.2">
      <c r="B1865" s="13">
        <f t="shared" si="89"/>
        <v>1862</v>
      </c>
      <c r="C1865" s="8">
        <f t="shared" si="90"/>
        <v>2</v>
      </c>
      <c r="D1865" s="8">
        <f t="shared" si="91"/>
        <v>27</v>
      </c>
      <c r="E1865" s="8">
        <f>IFERROR(VLOOKUP(D1865,$H$4:$I$70,2,0),"")</f>
        <v>409</v>
      </c>
      <c r="F1865" s="9">
        <f>IFERROR(VLOOKUP(C1865,$H$4:$I$70,2,0),"")</f>
        <v>1048</v>
      </c>
    </row>
    <row r="1866" spans="2:6" x14ac:dyDescent="0.2">
      <c r="B1866" s="13">
        <f t="shared" si="89"/>
        <v>1863</v>
      </c>
      <c r="C1866" s="8">
        <f t="shared" si="90"/>
        <v>3</v>
      </c>
      <c r="D1866" s="8">
        <f t="shared" si="91"/>
        <v>27</v>
      </c>
      <c r="E1866" s="8">
        <f>IFERROR(VLOOKUP(D1866,$H$4:$I$70,2,0),"")</f>
        <v>409</v>
      </c>
      <c r="F1866" s="9">
        <f>IFERROR(VLOOKUP(C1866,$H$4:$I$70,2,0),"")</f>
        <v>1025</v>
      </c>
    </row>
    <row r="1867" spans="2:6" x14ac:dyDescent="0.2">
      <c r="B1867" s="13">
        <f t="shared" si="89"/>
        <v>1864</v>
      </c>
      <c r="C1867" s="8">
        <f t="shared" si="90"/>
        <v>4</v>
      </c>
      <c r="D1867" s="8">
        <f t="shared" si="91"/>
        <v>27</v>
      </c>
      <c r="E1867" s="8">
        <f>IFERROR(VLOOKUP(D1867,$H$4:$I$70,2,0),"")</f>
        <v>409</v>
      </c>
      <c r="F1867" s="9">
        <f>IFERROR(VLOOKUP(C1867,$H$4:$I$70,2,0),"")</f>
        <v>805</v>
      </c>
    </row>
    <row r="1868" spans="2:6" x14ac:dyDescent="0.2">
      <c r="B1868" s="13">
        <f t="shared" si="89"/>
        <v>1865</v>
      </c>
      <c r="C1868" s="8">
        <f t="shared" si="90"/>
        <v>5</v>
      </c>
      <c r="D1868" s="8">
        <f t="shared" si="91"/>
        <v>27</v>
      </c>
      <c r="E1868" s="8">
        <f>IFERROR(VLOOKUP(D1868,$H$4:$I$70,2,0),"")</f>
        <v>409</v>
      </c>
      <c r="F1868" s="9">
        <f>IFERROR(VLOOKUP(C1868,$H$4:$I$70,2,0),"")</f>
        <v>666</v>
      </c>
    </row>
    <row r="1869" spans="2:6" x14ac:dyDescent="0.2">
      <c r="B1869" s="13">
        <f t="shared" si="89"/>
        <v>1866</v>
      </c>
      <c r="C1869" s="8">
        <f t="shared" si="90"/>
        <v>6</v>
      </c>
      <c r="D1869" s="8">
        <f t="shared" si="91"/>
        <v>27</v>
      </c>
      <c r="E1869" s="8">
        <f>IFERROR(VLOOKUP(D1869,$H$4:$I$70,2,0),"")</f>
        <v>409</v>
      </c>
      <c r="F1869" s="9">
        <f>IFERROR(VLOOKUP(C1869,$H$4:$I$70,2,0),"")</f>
        <v>655</v>
      </c>
    </row>
    <row r="1870" spans="2:6" x14ac:dyDescent="0.2">
      <c r="B1870" s="13">
        <f t="shared" si="89"/>
        <v>1867</v>
      </c>
      <c r="C1870" s="8">
        <f t="shared" si="90"/>
        <v>7</v>
      </c>
      <c r="D1870" s="8">
        <f t="shared" si="91"/>
        <v>27</v>
      </c>
      <c r="E1870" s="8">
        <f>IFERROR(VLOOKUP(D1870,$H$4:$I$70,2,0),"")</f>
        <v>409</v>
      </c>
      <c r="F1870" s="9">
        <f>IFERROR(VLOOKUP(C1870,$H$4:$I$70,2,0),"")</f>
        <v>652</v>
      </c>
    </row>
    <row r="1871" spans="2:6" x14ac:dyDescent="0.2">
      <c r="B1871" s="13">
        <f t="shared" si="89"/>
        <v>1868</v>
      </c>
      <c r="C1871" s="8">
        <f t="shared" si="90"/>
        <v>8</v>
      </c>
      <c r="D1871" s="8">
        <f t="shared" si="91"/>
        <v>27</v>
      </c>
      <c r="E1871" s="8">
        <f>IFERROR(VLOOKUP(D1871,$H$4:$I$70,2,0),"")</f>
        <v>409</v>
      </c>
      <c r="F1871" s="9">
        <f>IFERROR(VLOOKUP(C1871,$H$4:$I$70,2,0),"")</f>
        <v>633</v>
      </c>
    </row>
    <row r="1872" spans="2:6" x14ac:dyDescent="0.2">
      <c r="B1872" s="13">
        <f t="shared" si="89"/>
        <v>1869</v>
      </c>
      <c r="C1872" s="8">
        <f t="shared" si="90"/>
        <v>9</v>
      </c>
      <c r="D1872" s="8">
        <f t="shared" si="91"/>
        <v>27</v>
      </c>
      <c r="E1872" s="8">
        <f>IFERROR(VLOOKUP(D1872,$H$4:$I$70,2,0),"")</f>
        <v>409</v>
      </c>
      <c r="F1872" s="9">
        <f>IFERROR(VLOOKUP(C1872,$H$4:$I$70,2,0),"")</f>
        <v>632</v>
      </c>
    </row>
    <row r="1873" spans="2:6" x14ac:dyDescent="0.2">
      <c r="B1873" s="13">
        <f t="shared" si="89"/>
        <v>1870</v>
      </c>
      <c r="C1873" s="8">
        <f t="shared" si="90"/>
        <v>10</v>
      </c>
      <c r="D1873" s="8">
        <f t="shared" si="91"/>
        <v>27</v>
      </c>
      <c r="E1873" s="8">
        <f>IFERROR(VLOOKUP(D1873,$H$4:$I$70,2,0),"")</f>
        <v>409</v>
      </c>
      <c r="F1873" s="9">
        <f>IFERROR(VLOOKUP(C1873,$H$4:$I$70,2,0),"")</f>
        <v>625</v>
      </c>
    </row>
    <row r="1874" spans="2:6" x14ac:dyDescent="0.2">
      <c r="B1874" s="13">
        <f t="shared" si="89"/>
        <v>1871</v>
      </c>
      <c r="C1874" s="8">
        <f t="shared" si="90"/>
        <v>11</v>
      </c>
      <c r="D1874" s="8">
        <f t="shared" si="91"/>
        <v>27</v>
      </c>
      <c r="E1874" s="8">
        <f>IFERROR(VLOOKUP(D1874,$H$4:$I$70,2,0),"")</f>
        <v>409</v>
      </c>
      <c r="F1874" s="9">
        <f>IFERROR(VLOOKUP(C1874,$H$4:$I$70,2,0),"")</f>
        <v>619</v>
      </c>
    </row>
    <row r="1875" spans="2:6" x14ac:dyDescent="0.2">
      <c r="B1875" s="13">
        <f t="shared" si="89"/>
        <v>1872</v>
      </c>
      <c r="C1875" s="8">
        <f t="shared" si="90"/>
        <v>12</v>
      </c>
      <c r="D1875" s="8">
        <f t="shared" si="91"/>
        <v>27</v>
      </c>
      <c r="E1875" s="8">
        <f>IFERROR(VLOOKUP(D1875,$H$4:$I$70,2,0),"")</f>
        <v>409</v>
      </c>
      <c r="F1875" s="9">
        <f>IFERROR(VLOOKUP(C1875,$H$4:$I$70,2,0),"")</f>
        <v>610</v>
      </c>
    </row>
    <row r="1876" spans="2:6" x14ac:dyDescent="0.2">
      <c r="B1876" s="13">
        <f t="shared" si="89"/>
        <v>1873</v>
      </c>
      <c r="C1876" s="8">
        <f t="shared" si="90"/>
        <v>13</v>
      </c>
      <c r="D1876" s="8">
        <f t="shared" si="91"/>
        <v>27</v>
      </c>
      <c r="E1876" s="8">
        <f>IFERROR(VLOOKUP(D1876,$H$4:$I$70,2,0),"")</f>
        <v>409</v>
      </c>
      <c r="F1876" s="9">
        <f>IFERROR(VLOOKUP(C1876,$H$4:$I$70,2,0),"")</f>
        <v>599</v>
      </c>
    </row>
    <row r="1877" spans="2:6" x14ac:dyDescent="0.2">
      <c r="B1877" s="13">
        <f t="shared" si="89"/>
        <v>1874</v>
      </c>
      <c r="C1877" s="8">
        <f t="shared" si="90"/>
        <v>14</v>
      </c>
      <c r="D1877" s="8">
        <f t="shared" si="91"/>
        <v>27</v>
      </c>
      <c r="E1877" s="8">
        <f>IFERROR(VLOOKUP(D1877,$H$4:$I$70,2,0),"")</f>
        <v>409</v>
      </c>
      <c r="F1877" s="9">
        <f>IFERROR(VLOOKUP(C1877,$H$4:$I$70,2,0),"")</f>
        <v>559</v>
      </c>
    </row>
    <row r="1878" spans="2:6" x14ac:dyDescent="0.2">
      <c r="B1878" s="13">
        <f t="shared" si="89"/>
        <v>1875</v>
      </c>
      <c r="C1878" s="8">
        <f t="shared" si="90"/>
        <v>15</v>
      </c>
      <c r="D1878" s="8">
        <f t="shared" si="91"/>
        <v>27</v>
      </c>
      <c r="E1878" s="8">
        <f>IFERROR(VLOOKUP(D1878,$H$4:$I$70,2,0),"")</f>
        <v>409</v>
      </c>
      <c r="F1878" s="9">
        <f>IFERROR(VLOOKUP(C1878,$H$4:$I$70,2,0),"")</f>
        <v>556</v>
      </c>
    </row>
    <row r="1879" spans="2:6" x14ac:dyDescent="0.2">
      <c r="B1879" s="13">
        <f t="shared" si="89"/>
        <v>1876</v>
      </c>
      <c r="C1879" s="8">
        <f t="shared" si="90"/>
        <v>16</v>
      </c>
      <c r="D1879" s="8">
        <f t="shared" si="91"/>
        <v>27</v>
      </c>
      <c r="E1879" s="8">
        <f>IFERROR(VLOOKUP(D1879,$H$4:$I$70,2,0),"")</f>
        <v>409</v>
      </c>
      <c r="F1879" s="9">
        <f>IFERROR(VLOOKUP(C1879,$H$4:$I$70,2,0),"")</f>
        <v>540</v>
      </c>
    </row>
    <row r="1880" spans="2:6" x14ac:dyDescent="0.2">
      <c r="B1880" s="13">
        <f t="shared" si="89"/>
        <v>1877</v>
      </c>
      <c r="C1880" s="8">
        <f t="shared" si="90"/>
        <v>17</v>
      </c>
      <c r="D1880" s="8">
        <f t="shared" si="91"/>
        <v>27</v>
      </c>
      <c r="E1880" s="8">
        <f>IFERROR(VLOOKUP(D1880,$H$4:$I$70,2,0),"")</f>
        <v>409</v>
      </c>
      <c r="F1880" s="9">
        <f>IFERROR(VLOOKUP(C1880,$H$4:$I$70,2,0),"")</f>
        <v>536</v>
      </c>
    </row>
    <row r="1881" spans="2:6" x14ac:dyDescent="0.2">
      <c r="B1881" s="13">
        <f t="shared" si="89"/>
        <v>1878</v>
      </c>
      <c r="C1881" s="8">
        <f t="shared" si="90"/>
        <v>18</v>
      </c>
      <c r="D1881" s="8">
        <f t="shared" si="91"/>
        <v>27</v>
      </c>
      <c r="E1881" s="8">
        <f>IFERROR(VLOOKUP(D1881,$H$4:$I$70,2,0),"")</f>
        <v>409</v>
      </c>
      <c r="F1881" s="9">
        <f>IFERROR(VLOOKUP(C1881,$H$4:$I$70,2,0),"")</f>
        <v>527</v>
      </c>
    </row>
    <row r="1882" spans="2:6" x14ac:dyDescent="0.2">
      <c r="B1882" s="13">
        <f t="shared" si="89"/>
        <v>1879</v>
      </c>
      <c r="C1882" s="8">
        <f t="shared" si="90"/>
        <v>19</v>
      </c>
      <c r="D1882" s="8">
        <f t="shared" si="91"/>
        <v>27</v>
      </c>
      <c r="E1882" s="8">
        <f>IFERROR(VLOOKUP(D1882,$H$4:$I$70,2,0),"")</f>
        <v>409</v>
      </c>
      <c r="F1882" s="9">
        <f>IFERROR(VLOOKUP(C1882,$H$4:$I$70,2,0),"")</f>
        <v>478</v>
      </c>
    </row>
    <row r="1883" spans="2:6" x14ac:dyDescent="0.2">
      <c r="B1883" s="13">
        <f t="shared" si="89"/>
        <v>1880</v>
      </c>
      <c r="C1883" s="8">
        <f t="shared" si="90"/>
        <v>20</v>
      </c>
      <c r="D1883" s="8">
        <f t="shared" si="91"/>
        <v>27</v>
      </c>
      <c r="E1883" s="8">
        <f>IFERROR(VLOOKUP(D1883,$H$4:$I$70,2,0),"")</f>
        <v>409</v>
      </c>
      <c r="F1883" s="9">
        <f>IFERROR(VLOOKUP(C1883,$H$4:$I$70,2,0),"")</f>
        <v>474</v>
      </c>
    </row>
    <row r="1884" spans="2:6" x14ac:dyDescent="0.2">
      <c r="B1884" s="13">
        <f t="shared" si="89"/>
        <v>1881</v>
      </c>
      <c r="C1884" s="8">
        <f t="shared" si="90"/>
        <v>21</v>
      </c>
      <c r="D1884" s="8">
        <f t="shared" si="91"/>
        <v>27</v>
      </c>
      <c r="E1884" s="8">
        <f>IFERROR(VLOOKUP(D1884,$H$4:$I$70,2,0),"")</f>
        <v>409</v>
      </c>
      <c r="F1884" s="9">
        <f>IFERROR(VLOOKUP(C1884,$H$4:$I$70,2,0),"")</f>
        <v>468</v>
      </c>
    </row>
    <row r="1885" spans="2:6" x14ac:dyDescent="0.2">
      <c r="B1885" s="13">
        <f t="shared" si="89"/>
        <v>1882</v>
      </c>
      <c r="C1885" s="8">
        <f t="shared" si="90"/>
        <v>22</v>
      </c>
      <c r="D1885" s="8">
        <f t="shared" si="91"/>
        <v>27</v>
      </c>
      <c r="E1885" s="8">
        <f>IFERROR(VLOOKUP(D1885,$H$4:$I$70,2,0),"")</f>
        <v>409</v>
      </c>
      <c r="F1885" s="9">
        <f>IFERROR(VLOOKUP(C1885,$H$4:$I$70,2,0),"")</f>
        <v>457</v>
      </c>
    </row>
    <row r="1886" spans="2:6" x14ac:dyDescent="0.2">
      <c r="B1886" s="13">
        <f t="shared" si="89"/>
        <v>1883</v>
      </c>
      <c r="C1886" s="8">
        <f t="shared" si="90"/>
        <v>23</v>
      </c>
      <c r="D1886" s="8">
        <f t="shared" si="91"/>
        <v>27</v>
      </c>
      <c r="E1886" s="8">
        <f>IFERROR(VLOOKUP(D1886,$H$4:$I$70,2,0),"")</f>
        <v>409</v>
      </c>
      <c r="F1886" s="9">
        <f>IFERROR(VLOOKUP(C1886,$H$4:$I$70,2,0),"")</f>
        <v>452</v>
      </c>
    </row>
    <row r="1887" spans="2:6" x14ac:dyDescent="0.2">
      <c r="B1887" s="13">
        <f t="shared" si="89"/>
        <v>1884</v>
      </c>
      <c r="C1887" s="8">
        <f t="shared" si="90"/>
        <v>24</v>
      </c>
      <c r="D1887" s="8">
        <f t="shared" si="91"/>
        <v>27</v>
      </c>
      <c r="E1887" s="8">
        <f>IFERROR(VLOOKUP(D1887,$H$4:$I$70,2,0),"")</f>
        <v>409</v>
      </c>
      <c r="F1887" s="9">
        <f>IFERROR(VLOOKUP(C1887,$H$4:$I$70,2,0),"")</f>
        <v>442</v>
      </c>
    </row>
    <row r="1888" spans="2:6" x14ac:dyDescent="0.2">
      <c r="B1888" s="13">
        <f t="shared" si="89"/>
        <v>1885</v>
      </c>
      <c r="C1888" s="8">
        <f t="shared" si="90"/>
        <v>25</v>
      </c>
      <c r="D1888" s="8">
        <f t="shared" si="91"/>
        <v>27</v>
      </c>
      <c r="E1888" s="8">
        <f>IFERROR(VLOOKUP(D1888,$H$4:$I$70,2,0),"")</f>
        <v>409</v>
      </c>
      <c r="F1888" s="9">
        <f>IFERROR(VLOOKUP(C1888,$H$4:$I$70,2,0),"")</f>
        <v>420</v>
      </c>
    </row>
    <row r="1889" spans="2:6" x14ac:dyDescent="0.2">
      <c r="B1889" s="13">
        <f t="shared" si="89"/>
        <v>1886</v>
      </c>
      <c r="C1889" s="8">
        <f t="shared" si="90"/>
        <v>26</v>
      </c>
      <c r="D1889" s="8">
        <f t="shared" si="91"/>
        <v>27</v>
      </c>
      <c r="E1889" s="8">
        <f>IFERROR(VLOOKUP(D1889,$H$4:$I$70,2,0),"")</f>
        <v>409</v>
      </c>
      <c r="F1889" s="9">
        <f>IFERROR(VLOOKUP(C1889,$H$4:$I$70,2,0),"")</f>
        <v>410</v>
      </c>
    </row>
    <row r="1890" spans="2:6" x14ac:dyDescent="0.2">
      <c r="B1890" s="13">
        <f t="shared" si="89"/>
        <v>1887</v>
      </c>
      <c r="C1890" s="8">
        <f t="shared" si="90"/>
        <v>1</v>
      </c>
      <c r="D1890" s="8">
        <f t="shared" si="91"/>
        <v>26</v>
      </c>
      <c r="E1890" s="8">
        <f>IFERROR(VLOOKUP(D1890,$H$4:$I$70,2,0),"")</f>
        <v>410</v>
      </c>
      <c r="F1890" s="9">
        <f>IFERROR(VLOOKUP(C1890,$H$4:$I$70,2,0),"")</f>
        <v>1344</v>
      </c>
    </row>
    <row r="1891" spans="2:6" x14ac:dyDescent="0.2">
      <c r="B1891" s="13">
        <f t="shared" si="89"/>
        <v>1888</v>
      </c>
      <c r="C1891" s="8">
        <f t="shared" si="90"/>
        <v>2</v>
      </c>
      <c r="D1891" s="8">
        <f t="shared" si="91"/>
        <v>26</v>
      </c>
      <c r="E1891" s="8">
        <f>IFERROR(VLOOKUP(D1891,$H$4:$I$70,2,0),"")</f>
        <v>410</v>
      </c>
      <c r="F1891" s="9">
        <f>IFERROR(VLOOKUP(C1891,$H$4:$I$70,2,0),"")</f>
        <v>1048</v>
      </c>
    </row>
    <row r="1892" spans="2:6" x14ac:dyDescent="0.2">
      <c r="B1892" s="13">
        <f t="shared" si="89"/>
        <v>1889</v>
      </c>
      <c r="C1892" s="8">
        <f t="shared" si="90"/>
        <v>3</v>
      </c>
      <c r="D1892" s="8">
        <f t="shared" si="91"/>
        <v>26</v>
      </c>
      <c r="E1892" s="8">
        <f>IFERROR(VLOOKUP(D1892,$H$4:$I$70,2,0),"")</f>
        <v>410</v>
      </c>
      <c r="F1892" s="9">
        <f>IFERROR(VLOOKUP(C1892,$H$4:$I$70,2,0),"")</f>
        <v>1025</v>
      </c>
    </row>
    <row r="1893" spans="2:6" x14ac:dyDescent="0.2">
      <c r="B1893" s="13">
        <f t="shared" si="89"/>
        <v>1890</v>
      </c>
      <c r="C1893" s="8">
        <f t="shared" si="90"/>
        <v>4</v>
      </c>
      <c r="D1893" s="8">
        <f t="shared" si="91"/>
        <v>26</v>
      </c>
      <c r="E1893" s="8">
        <f>IFERROR(VLOOKUP(D1893,$H$4:$I$70,2,0),"")</f>
        <v>410</v>
      </c>
      <c r="F1893" s="9">
        <f>IFERROR(VLOOKUP(C1893,$H$4:$I$70,2,0),"")</f>
        <v>805</v>
      </c>
    </row>
    <row r="1894" spans="2:6" x14ac:dyDescent="0.2">
      <c r="B1894" s="13">
        <f t="shared" si="89"/>
        <v>1891</v>
      </c>
      <c r="C1894" s="8">
        <f t="shared" si="90"/>
        <v>5</v>
      </c>
      <c r="D1894" s="8">
        <f t="shared" si="91"/>
        <v>26</v>
      </c>
      <c r="E1894" s="8">
        <f>IFERROR(VLOOKUP(D1894,$H$4:$I$70,2,0),"")</f>
        <v>410</v>
      </c>
      <c r="F1894" s="9">
        <f>IFERROR(VLOOKUP(C1894,$H$4:$I$70,2,0),"")</f>
        <v>666</v>
      </c>
    </row>
    <row r="1895" spans="2:6" x14ac:dyDescent="0.2">
      <c r="B1895" s="13">
        <f t="shared" ref="B1895:B1958" si="92">ROW()-3</f>
        <v>1892</v>
      </c>
      <c r="C1895" s="8">
        <f t="shared" ref="C1895:C1958" si="93">IF((D1894-C1894)=1,1,C1894+1)</f>
        <v>6</v>
      </c>
      <c r="D1895" s="8">
        <f t="shared" ref="D1895:D1958" si="94">IF((D1894-C1894)=1,D1894-1,D1894)</f>
        <v>26</v>
      </c>
      <c r="E1895" s="108">
        <f t="shared" ref="E1895:E1958" si="95">IFERROR(VLOOKUP(D1895,$H$4:$I$70,2,0),"")</f>
        <v>410</v>
      </c>
      <c r="F1895" s="109">
        <f t="shared" ref="F1895:F1958" si="96">IFERROR(VLOOKUP(C1895,$H$4:$I$70,2,0),"")</f>
        <v>655</v>
      </c>
    </row>
    <row r="1896" spans="2:6" x14ac:dyDescent="0.2">
      <c r="B1896" s="13">
        <f t="shared" si="92"/>
        <v>1893</v>
      </c>
      <c r="C1896" s="8">
        <f t="shared" si="93"/>
        <v>7</v>
      </c>
      <c r="D1896" s="8">
        <f t="shared" si="94"/>
        <v>26</v>
      </c>
      <c r="E1896" s="108">
        <f t="shared" si="95"/>
        <v>410</v>
      </c>
      <c r="F1896" s="109">
        <f t="shared" si="96"/>
        <v>652</v>
      </c>
    </row>
    <row r="1897" spans="2:6" x14ac:dyDescent="0.2">
      <c r="B1897" s="13">
        <f t="shared" si="92"/>
        <v>1894</v>
      </c>
      <c r="C1897" s="8">
        <f t="shared" si="93"/>
        <v>8</v>
      </c>
      <c r="D1897" s="8">
        <f t="shared" si="94"/>
        <v>26</v>
      </c>
      <c r="E1897" s="108">
        <f t="shared" si="95"/>
        <v>410</v>
      </c>
      <c r="F1897" s="109">
        <f t="shared" si="96"/>
        <v>633</v>
      </c>
    </row>
    <row r="1898" spans="2:6" x14ac:dyDescent="0.2">
      <c r="B1898" s="13">
        <f t="shared" si="92"/>
        <v>1895</v>
      </c>
      <c r="C1898" s="8">
        <f t="shared" si="93"/>
        <v>9</v>
      </c>
      <c r="D1898" s="8">
        <f t="shared" si="94"/>
        <v>26</v>
      </c>
      <c r="E1898" s="108">
        <f t="shared" si="95"/>
        <v>410</v>
      </c>
      <c r="F1898" s="109">
        <f t="shared" si="96"/>
        <v>632</v>
      </c>
    </row>
    <row r="1899" spans="2:6" x14ac:dyDescent="0.2">
      <c r="B1899" s="13">
        <f t="shared" si="92"/>
        <v>1896</v>
      </c>
      <c r="C1899" s="8">
        <f t="shared" si="93"/>
        <v>10</v>
      </c>
      <c r="D1899" s="8">
        <f t="shared" si="94"/>
        <v>26</v>
      </c>
      <c r="E1899" s="108">
        <f t="shared" si="95"/>
        <v>410</v>
      </c>
      <c r="F1899" s="109">
        <f t="shared" si="96"/>
        <v>625</v>
      </c>
    </row>
    <row r="1900" spans="2:6" x14ac:dyDescent="0.2">
      <c r="B1900" s="13">
        <f t="shared" si="92"/>
        <v>1897</v>
      </c>
      <c r="C1900" s="8">
        <f t="shared" si="93"/>
        <v>11</v>
      </c>
      <c r="D1900" s="8">
        <f t="shared" si="94"/>
        <v>26</v>
      </c>
      <c r="E1900" s="108">
        <f t="shared" si="95"/>
        <v>410</v>
      </c>
      <c r="F1900" s="109">
        <f t="shared" si="96"/>
        <v>619</v>
      </c>
    </row>
    <row r="1901" spans="2:6" x14ac:dyDescent="0.2">
      <c r="B1901" s="13">
        <f t="shared" si="92"/>
        <v>1898</v>
      </c>
      <c r="C1901" s="8">
        <f t="shared" si="93"/>
        <v>12</v>
      </c>
      <c r="D1901" s="8">
        <f t="shared" si="94"/>
        <v>26</v>
      </c>
      <c r="E1901" s="108">
        <f t="shared" si="95"/>
        <v>410</v>
      </c>
      <c r="F1901" s="109">
        <f t="shared" si="96"/>
        <v>610</v>
      </c>
    </row>
    <row r="1902" spans="2:6" x14ac:dyDescent="0.2">
      <c r="B1902" s="13">
        <f t="shared" si="92"/>
        <v>1899</v>
      </c>
      <c r="C1902" s="8">
        <f t="shared" si="93"/>
        <v>13</v>
      </c>
      <c r="D1902" s="8">
        <f t="shared" si="94"/>
        <v>26</v>
      </c>
      <c r="E1902" s="108">
        <f t="shared" si="95"/>
        <v>410</v>
      </c>
      <c r="F1902" s="109">
        <f t="shared" si="96"/>
        <v>599</v>
      </c>
    </row>
    <row r="1903" spans="2:6" x14ac:dyDescent="0.2">
      <c r="B1903" s="13">
        <f t="shared" si="92"/>
        <v>1900</v>
      </c>
      <c r="C1903" s="8">
        <f t="shared" si="93"/>
        <v>14</v>
      </c>
      <c r="D1903" s="8">
        <f t="shared" si="94"/>
        <v>26</v>
      </c>
      <c r="E1903" s="108">
        <f t="shared" si="95"/>
        <v>410</v>
      </c>
      <c r="F1903" s="109">
        <f t="shared" si="96"/>
        <v>559</v>
      </c>
    </row>
    <row r="1904" spans="2:6" x14ac:dyDescent="0.2">
      <c r="B1904" s="13">
        <f t="shared" si="92"/>
        <v>1901</v>
      </c>
      <c r="C1904" s="8">
        <f t="shared" si="93"/>
        <v>15</v>
      </c>
      <c r="D1904" s="8">
        <f t="shared" si="94"/>
        <v>26</v>
      </c>
      <c r="E1904" s="108">
        <f t="shared" si="95"/>
        <v>410</v>
      </c>
      <c r="F1904" s="109">
        <f t="shared" si="96"/>
        <v>556</v>
      </c>
    </row>
    <row r="1905" spans="2:6" x14ac:dyDescent="0.2">
      <c r="B1905" s="13">
        <f t="shared" si="92"/>
        <v>1902</v>
      </c>
      <c r="C1905" s="8">
        <f t="shared" si="93"/>
        <v>16</v>
      </c>
      <c r="D1905" s="8">
        <f t="shared" si="94"/>
        <v>26</v>
      </c>
      <c r="E1905" s="108">
        <f t="shared" si="95"/>
        <v>410</v>
      </c>
      <c r="F1905" s="109">
        <f t="shared" si="96"/>
        <v>540</v>
      </c>
    </row>
    <row r="1906" spans="2:6" x14ac:dyDescent="0.2">
      <c r="B1906" s="13">
        <f t="shared" si="92"/>
        <v>1903</v>
      </c>
      <c r="C1906" s="8">
        <f t="shared" si="93"/>
        <v>17</v>
      </c>
      <c r="D1906" s="8">
        <f t="shared" si="94"/>
        <v>26</v>
      </c>
      <c r="E1906" s="108">
        <f t="shared" si="95"/>
        <v>410</v>
      </c>
      <c r="F1906" s="109">
        <f t="shared" si="96"/>
        <v>536</v>
      </c>
    </row>
    <row r="1907" spans="2:6" x14ac:dyDescent="0.2">
      <c r="B1907" s="13">
        <f t="shared" si="92"/>
        <v>1904</v>
      </c>
      <c r="C1907" s="8">
        <f t="shared" si="93"/>
        <v>18</v>
      </c>
      <c r="D1907" s="8">
        <f t="shared" si="94"/>
        <v>26</v>
      </c>
      <c r="E1907" s="108">
        <f t="shared" si="95"/>
        <v>410</v>
      </c>
      <c r="F1907" s="109">
        <f t="shared" si="96"/>
        <v>527</v>
      </c>
    </row>
    <row r="1908" spans="2:6" x14ac:dyDescent="0.2">
      <c r="B1908" s="13">
        <f t="shared" si="92"/>
        <v>1905</v>
      </c>
      <c r="C1908" s="8">
        <f t="shared" si="93"/>
        <v>19</v>
      </c>
      <c r="D1908" s="8">
        <f t="shared" si="94"/>
        <v>26</v>
      </c>
      <c r="E1908" s="108">
        <f t="shared" si="95"/>
        <v>410</v>
      </c>
      <c r="F1908" s="109">
        <f t="shared" si="96"/>
        <v>478</v>
      </c>
    </row>
    <row r="1909" spans="2:6" x14ac:dyDescent="0.2">
      <c r="B1909" s="13">
        <f t="shared" si="92"/>
        <v>1906</v>
      </c>
      <c r="C1909" s="8">
        <f t="shared" si="93"/>
        <v>20</v>
      </c>
      <c r="D1909" s="8">
        <f t="shared" si="94"/>
        <v>26</v>
      </c>
      <c r="E1909" s="108">
        <f t="shared" si="95"/>
        <v>410</v>
      </c>
      <c r="F1909" s="109">
        <f t="shared" si="96"/>
        <v>474</v>
      </c>
    </row>
    <row r="1910" spans="2:6" x14ac:dyDescent="0.2">
      <c r="B1910" s="13">
        <f t="shared" si="92"/>
        <v>1907</v>
      </c>
      <c r="C1910" s="8">
        <f t="shared" si="93"/>
        <v>21</v>
      </c>
      <c r="D1910" s="8">
        <f t="shared" si="94"/>
        <v>26</v>
      </c>
      <c r="E1910" s="108">
        <f t="shared" si="95"/>
        <v>410</v>
      </c>
      <c r="F1910" s="109">
        <f t="shared" si="96"/>
        <v>468</v>
      </c>
    </row>
    <row r="1911" spans="2:6" x14ac:dyDescent="0.2">
      <c r="B1911" s="13">
        <f t="shared" si="92"/>
        <v>1908</v>
      </c>
      <c r="C1911" s="8">
        <f t="shared" si="93"/>
        <v>22</v>
      </c>
      <c r="D1911" s="8">
        <f t="shared" si="94"/>
        <v>26</v>
      </c>
      <c r="E1911" s="108">
        <f t="shared" si="95"/>
        <v>410</v>
      </c>
      <c r="F1911" s="109">
        <f t="shared" si="96"/>
        <v>457</v>
      </c>
    </row>
    <row r="1912" spans="2:6" x14ac:dyDescent="0.2">
      <c r="B1912" s="13">
        <f t="shared" si="92"/>
        <v>1909</v>
      </c>
      <c r="C1912" s="8">
        <f t="shared" si="93"/>
        <v>23</v>
      </c>
      <c r="D1912" s="8">
        <f t="shared" si="94"/>
        <v>26</v>
      </c>
      <c r="E1912" s="108">
        <f t="shared" si="95"/>
        <v>410</v>
      </c>
      <c r="F1912" s="109">
        <f t="shared" si="96"/>
        <v>452</v>
      </c>
    </row>
    <row r="1913" spans="2:6" x14ac:dyDescent="0.2">
      <c r="B1913" s="13">
        <f t="shared" si="92"/>
        <v>1910</v>
      </c>
      <c r="C1913" s="8">
        <f t="shared" si="93"/>
        <v>24</v>
      </c>
      <c r="D1913" s="8">
        <f t="shared" si="94"/>
        <v>26</v>
      </c>
      <c r="E1913" s="108">
        <f t="shared" si="95"/>
        <v>410</v>
      </c>
      <c r="F1913" s="109">
        <f t="shared" si="96"/>
        <v>442</v>
      </c>
    </row>
    <row r="1914" spans="2:6" x14ac:dyDescent="0.2">
      <c r="B1914" s="13">
        <f t="shared" si="92"/>
        <v>1911</v>
      </c>
      <c r="C1914" s="8">
        <f t="shared" si="93"/>
        <v>25</v>
      </c>
      <c r="D1914" s="8">
        <f t="shared" si="94"/>
        <v>26</v>
      </c>
      <c r="E1914" s="108">
        <f t="shared" si="95"/>
        <v>410</v>
      </c>
      <c r="F1914" s="109">
        <f t="shared" si="96"/>
        <v>420</v>
      </c>
    </row>
    <row r="1915" spans="2:6" x14ac:dyDescent="0.2">
      <c r="B1915" s="13">
        <f t="shared" si="92"/>
        <v>1912</v>
      </c>
      <c r="C1915" s="8">
        <f t="shared" si="93"/>
        <v>1</v>
      </c>
      <c r="D1915" s="8">
        <f t="shared" si="94"/>
        <v>25</v>
      </c>
      <c r="E1915" s="108">
        <f t="shared" si="95"/>
        <v>420</v>
      </c>
      <c r="F1915" s="109">
        <f t="shared" si="96"/>
        <v>1344</v>
      </c>
    </row>
    <row r="1916" spans="2:6" x14ac:dyDescent="0.2">
      <c r="B1916" s="13">
        <f t="shared" si="92"/>
        <v>1913</v>
      </c>
      <c r="C1916" s="8">
        <f t="shared" si="93"/>
        <v>2</v>
      </c>
      <c r="D1916" s="8">
        <f t="shared" si="94"/>
        <v>25</v>
      </c>
      <c r="E1916" s="108">
        <f t="shared" si="95"/>
        <v>420</v>
      </c>
      <c r="F1916" s="109">
        <f t="shared" si="96"/>
        <v>1048</v>
      </c>
    </row>
    <row r="1917" spans="2:6" x14ac:dyDescent="0.2">
      <c r="B1917" s="13">
        <f t="shared" si="92"/>
        <v>1914</v>
      </c>
      <c r="C1917" s="8">
        <f t="shared" si="93"/>
        <v>3</v>
      </c>
      <c r="D1917" s="8">
        <f t="shared" si="94"/>
        <v>25</v>
      </c>
      <c r="E1917" s="108">
        <f t="shared" si="95"/>
        <v>420</v>
      </c>
      <c r="F1917" s="109">
        <f t="shared" si="96"/>
        <v>1025</v>
      </c>
    </row>
    <row r="1918" spans="2:6" x14ac:dyDescent="0.2">
      <c r="B1918" s="13">
        <f t="shared" si="92"/>
        <v>1915</v>
      </c>
      <c r="C1918" s="8">
        <f t="shared" si="93"/>
        <v>4</v>
      </c>
      <c r="D1918" s="8">
        <f t="shared" si="94"/>
        <v>25</v>
      </c>
      <c r="E1918" s="108">
        <f t="shared" si="95"/>
        <v>420</v>
      </c>
      <c r="F1918" s="109">
        <f t="shared" si="96"/>
        <v>805</v>
      </c>
    </row>
    <row r="1919" spans="2:6" x14ac:dyDescent="0.2">
      <c r="B1919" s="13">
        <f t="shared" si="92"/>
        <v>1916</v>
      </c>
      <c r="C1919" s="8">
        <f t="shared" si="93"/>
        <v>5</v>
      </c>
      <c r="D1919" s="8">
        <f t="shared" si="94"/>
        <v>25</v>
      </c>
      <c r="E1919" s="108">
        <f t="shared" si="95"/>
        <v>420</v>
      </c>
      <c r="F1919" s="109">
        <f t="shared" si="96"/>
        <v>666</v>
      </c>
    </row>
    <row r="1920" spans="2:6" x14ac:dyDescent="0.2">
      <c r="B1920" s="13">
        <f t="shared" si="92"/>
        <v>1917</v>
      </c>
      <c r="C1920" s="8">
        <f t="shared" si="93"/>
        <v>6</v>
      </c>
      <c r="D1920" s="8">
        <f t="shared" si="94"/>
        <v>25</v>
      </c>
      <c r="E1920" s="108">
        <f t="shared" si="95"/>
        <v>420</v>
      </c>
      <c r="F1920" s="109">
        <f t="shared" si="96"/>
        <v>655</v>
      </c>
    </row>
    <row r="1921" spans="2:6" x14ac:dyDescent="0.2">
      <c r="B1921" s="13">
        <f t="shared" si="92"/>
        <v>1918</v>
      </c>
      <c r="C1921" s="8">
        <f t="shared" si="93"/>
        <v>7</v>
      </c>
      <c r="D1921" s="8">
        <f t="shared" si="94"/>
        <v>25</v>
      </c>
      <c r="E1921" s="108">
        <f t="shared" si="95"/>
        <v>420</v>
      </c>
      <c r="F1921" s="109">
        <f t="shared" si="96"/>
        <v>652</v>
      </c>
    </row>
    <row r="1922" spans="2:6" x14ac:dyDescent="0.2">
      <c r="B1922" s="13">
        <f t="shared" si="92"/>
        <v>1919</v>
      </c>
      <c r="C1922" s="8">
        <f t="shared" si="93"/>
        <v>8</v>
      </c>
      <c r="D1922" s="8">
        <f t="shared" si="94"/>
        <v>25</v>
      </c>
      <c r="E1922" s="108">
        <f t="shared" si="95"/>
        <v>420</v>
      </c>
      <c r="F1922" s="109">
        <f t="shared" si="96"/>
        <v>633</v>
      </c>
    </row>
    <row r="1923" spans="2:6" x14ac:dyDescent="0.2">
      <c r="B1923" s="13">
        <f t="shared" si="92"/>
        <v>1920</v>
      </c>
      <c r="C1923" s="8">
        <f t="shared" si="93"/>
        <v>9</v>
      </c>
      <c r="D1923" s="8">
        <f t="shared" si="94"/>
        <v>25</v>
      </c>
      <c r="E1923" s="108">
        <f t="shared" si="95"/>
        <v>420</v>
      </c>
      <c r="F1923" s="109">
        <f t="shared" si="96"/>
        <v>632</v>
      </c>
    </row>
    <row r="1924" spans="2:6" x14ac:dyDescent="0.2">
      <c r="B1924" s="13">
        <f t="shared" si="92"/>
        <v>1921</v>
      </c>
      <c r="C1924" s="8">
        <f t="shared" si="93"/>
        <v>10</v>
      </c>
      <c r="D1924" s="8">
        <f t="shared" si="94"/>
        <v>25</v>
      </c>
      <c r="E1924" s="108">
        <f t="shared" si="95"/>
        <v>420</v>
      </c>
      <c r="F1924" s="109">
        <f t="shared" si="96"/>
        <v>625</v>
      </c>
    </row>
    <row r="1925" spans="2:6" x14ac:dyDescent="0.2">
      <c r="B1925" s="13">
        <f t="shared" si="92"/>
        <v>1922</v>
      </c>
      <c r="C1925" s="8">
        <f t="shared" si="93"/>
        <v>11</v>
      </c>
      <c r="D1925" s="8">
        <f t="shared" si="94"/>
        <v>25</v>
      </c>
      <c r="E1925" s="108">
        <f t="shared" si="95"/>
        <v>420</v>
      </c>
      <c r="F1925" s="109">
        <f t="shared" si="96"/>
        <v>619</v>
      </c>
    </row>
    <row r="1926" spans="2:6" x14ac:dyDescent="0.2">
      <c r="B1926" s="13">
        <f t="shared" si="92"/>
        <v>1923</v>
      </c>
      <c r="C1926" s="8">
        <f t="shared" si="93"/>
        <v>12</v>
      </c>
      <c r="D1926" s="8">
        <f t="shared" si="94"/>
        <v>25</v>
      </c>
      <c r="E1926" s="108">
        <f t="shared" si="95"/>
        <v>420</v>
      </c>
      <c r="F1926" s="109">
        <f t="shared" si="96"/>
        <v>610</v>
      </c>
    </row>
    <row r="1927" spans="2:6" x14ac:dyDescent="0.2">
      <c r="B1927" s="13">
        <f t="shared" si="92"/>
        <v>1924</v>
      </c>
      <c r="C1927" s="8">
        <f t="shared" si="93"/>
        <v>13</v>
      </c>
      <c r="D1927" s="8">
        <f t="shared" si="94"/>
        <v>25</v>
      </c>
      <c r="E1927" s="108">
        <f t="shared" si="95"/>
        <v>420</v>
      </c>
      <c r="F1927" s="109">
        <f t="shared" si="96"/>
        <v>599</v>
      </c>
    </row>
    <row r="1928" spans="2:6" x14ac:dyDescent="0.2">
      <c r="B1928" s="13">
        <f t="shared" si="92"/>
        <v>1925</v>
      </c>
      <c r="C1928" s="8">
        <f t="shared" si="93"/>
        <v>14</v>
      </c>
      <c r="D1928" s="8">
        <f t="shared" si="94"/>
        <v>25</v>
      </c>
      <c r="E1928" s="108">
        <f t="shared" si="95"/>
        <v>420</v>
      </c>
      <c r="F1928" s="109">
        <f t="shared" si="96"/>
        <v>559</v>
      </c>
    </row>
    <row r="1929" spans="2:6" x14ac:dyDescent="0.2">
      <c r="B1929" s="13">
        <f t="shared" si="92"/>
        <v>1926</v>
      </c>
      <c r="C1929" s="8">
        <f t="shared" si="93"/>
        <v>15</v>
      </c>
      <c r="D1929" s="8">
        <f t="shared" si="94"/>
        <v>25</v>
      </c>
      <c r="E1929" s="108">
        <f t="shared" si="95"/>
        <v>420</v>
      </c>
      <c r="F1929" s="109">
        <f t="shared" si="96"/>
        <v>556</v>
      </c>
    </row>
    <row r="1930" spans="2:6" x14ac:dyDescent="0.2">
      <c r="B1930" s="13">
        <f t="shared" si="92"/>
        <v>1927</v>
      </c>
      <c r="C1930" s="8">
        <f t="shared" si="93"/>
        <v>16</v>
      </c>
      <c r="D1930" s="8">
        <f t="shared" si="94"/>
        <v>25</v>
      </c>
      <c r="E1930" s="108">
        <f t="shared" si="95"/>
        <v>420</v>
      </c>
      <c r="F1930" s="109">
        <f t="shared" si="96"/>
        <v>540</v>
      </c>
    </row>
    <row r="1931" spans="2:6" x14ac:dyDescent="0.2">
      <c r="B1931" s="13">
        <f t="shared" si="92"/>
        <v>1928</v>
      </c>
      <c r="C1931" s="8">
        <f t="shared" si="93"/>
        <v>17</v>
      </c>
      <c r="D1931" s="8">
        <f t="shared" si="94"/>
        <v>25</v>
      </c>
      <c r="E1931" s="108">
        <f t="shared" si="95"/>
        <v>420</v>
      </c>
      <c r="F1931" s="109">
        <f t="shared" si="96"/>
        <v>536</v>
      </c>
    </row>
    <row r="1932" spans="2:6" x14ac:dyDescent="0.2">
      <c r="B1932" s="13">
        <f t="shared" si="92"/>
        <v>1929</v>
      </c>
      <c r="C1932" s="8">
        <f t="shared" si="93"/>
        <v>18</v>
      </c>
      <c r="D1932" s="8">
        <f t="shared" si="94"/>
        <v>25</v>
      </c>
      <c r="E1932" s="108">
        <f t="shared" si="95"/>
        <v>420</v>
      </c>
      <c r="F1932" s="109">
        <f t="shared" si="96"/>
        <v>527</v>
      </c>
    </row>
    <row r="1933" spans="2:6" x14ac:dyDescent="0.2">
      <c r="B1933" s="13">
        <f t="shared" si="92"/>
        <v>1930</v>
      </c>
      <c r="C1933" s="8">
        <f t="shared" si="93"/>
        <v>19</v>
      </c>
      <c r="D1933" s="8">
        <f t="shared" si="94"/>
        <v>25</v>
      </c>
      <c r="E1933" s="108">
        <f t="shared" si="95"/>
        <v>420</v>
      </c>
      <c r="F1933" s="109">
        <f t="shared" si="96"/>
        <v>478</v>
      </c>
    </row>
    <row r="1934" spans="2:6" x14ac:dyDescent="0.2">
      <c r="B1934" s="13">
        <f t="shared" si="92"/>
        <v>1931</v>
      </c>
      <c r="C1934" s="8">
        <f t="shared" si="93"/>
        <v>20</v>
      </c>
      <c r="D1934" s="8">
        <f t="shared" si="94"/>
        <v>25</v>
      </c>
      <c r="E1934" s="108">
        <f t="shared" si="95"/>
        <v>420</v>
      </c>
      <c r="F1934" s="109">
        <f t="shared" si="96"/>
        <v>474</v>
      </c>
    </row>
    <row r="1935" spans="2:6" x14ac:dyDescent="0.2">
      <c r="B1935" s="13">
        <f t="shared" si="92"/>
        <v>1932</v>
      </c>
      <c r="C1935" s="8">
        <f t="shared" si="93"/>
        <v>21</v>
      </c>
      <c r="D1935" s="8">
        <f t="shared" si="94"/>
        <v>25</v>
      </c>
      <c r="E1935" s="108">
        <f t="shared" si="95"/>
        <v>420</v>
      </c>
      <c r="F1935" s="109">
        <f t="shared" si="96"/>
        <v>468</v>
      </c>
    </row>
    <row r="1936" spans="2:6" x14ac:dyDescent="0.2">
      <c r="B1936" s="13">
        <f t="shared" si="92"/>
        <v>1933</v>
      </c>
      <c r="C1936" s="8">
        <f t="shared" si="93"/>
        <v>22</v>
      </c>
      <c r="D1936" s="8">
        <f t="shared" si="94"/>
        <v>25</v>
      </c>
      <c r="E1936" s="108">
        <f t="shared" si="95"/>
        <v>420</v>
      </c>
      <c r="F1936" s="109">
        <f t="shared" si="96"/>
        <v>457</v>
      </c>
    </row>
    <row r="1937" spans="2:6" x14ac:dyDescent="0.2">
      <c r="B1937" s="13">
        <f t="shared" si="92"/>
        <v>1934</v>
      </c>
      <c r="C1937" s="8">
        <f t="shared" si="93"/>
        <v>23</v>
      </c>
      <c r="D1937" s="8">
        <f t="shared" si="94"/>
        <v>25</v>
      </c>
      <c r="E1937" s="108">
        <f t="shared" si="95"/>
        <v>420</v>
      </c>
      <c r="F1937" s="109">
        <f t="shared" si="96"/>
        <v>452</v>
      </c>
    </row>
    <row r="1938" spans="2:6" x14ac:dyDescent="0.2">
      <c r="B1938" s="13">
        <f t="shared" si="92"/>
        <v>1935</v>
      </c>
      <c r="C1938" s="8">
        <f t="shared" si="93"/>
        <v>24</v>
      </c>
      <c r="D1938" s="8">
        <f t="shared" si="94"/>
        <v>25</v>
      </c>
      <c r="E1938" s="108">
        <f t="shared" si="95"/>
        <v>420</v>
      </c>
      <c r="F1938" s="109">
        <f t="shared" si="96"/>
        <v>442</v>
      </c>
    </row>
    <row r="1939" spans="2:6" x14ac:dyDescent="0.2">
      <c r="B1939" s="13">
        <f t="shared" si="92"/>
        <v>1936</v>
      </c>
      <c r="C1939" s="8">
        <f t="shared" si="93"/>
        <v>1</v>
      </c>
      <c r="D1939" s="8">
        <f t="shared" si="94"/>
        <v>24</v>
      </c>
      <c r="E1939" s="108">
        <f t="shared" si="95"/>
        <v>442</v>
      </c>
      <c r="F1939" s="109">
        <f t="shared" si="96"/>
        <v>1344</v>
      </c>
    </row>
    <row r="1940" spans="2:6" x14ac:dyDescent="0.2">
      <c r="B1940" s="13">
        <f t="shared" si="92"/>
        <v>1937</v>
      </c>
      <c r="C1940" s="8">
        <f t="shared" si="93"/>
        <v>2</v>
      </c>
      <c r="D1940" s="8">
        <f t="shared" si="94"/>
        <v>24</v>
      </c>
      <c r="E1940" s="108">
        <f t="shared" si="95"/>
        <v>442</v>
      </c>
      <c r="F1940" s="109">
        <f t="shared" si="96"/>
        <v>1048</v>
      </c>
    </row>
    <row r="1941" spans="2:6" x14ac:dyDescent="0.2">
      <c r="B1941" s="13">
        <f t="shared" si="92"/>
        <v>1938</v>
      </c>
      <c r="C1941" s="8">
        <f t="shared" si="93"/>
        <v>3</v>
      </c>
      <c r="D1941" s="8">
        <f t="shared" si="94"/>
        <v>24</v>
      </c>
      <c r="E1941" s="108">
        <f t="shared" si="95"/>
        <v>442</v>
      </c>
      <c r="F1941" s="109">
        <f t="shared" si="96"/>
        <v>1025</v>
      </c>
    </row>
    <row r="1942" spans="2:6" x14ac:dyDescent="0.2">
      <c r="B1942" s="13">
        <f t="shared" si="92"/>
        <v>1939</v>
      </c>
      <c r="C1942" s="8">
        <f t="shared" si="93"/>
        <v>4</v>
      </c>
      <c r="D1942" s="8">
        <f t="shared" si="94"/>
        <v>24</v>
      </c>
      <c r="E1942" s="108">
        <f t="shared" si="95"/>
        <v>442</v>
      </c>
      <c r="F1942" s="109">
        <f t="shared" si="96"/>
        <v>805</v>
      </c>
    </row>
    <row r="1943" spans="2:6" x14ac:dyDescent="0.2">
      <c r="B1943" s="13">
        <f t="shared" si="92"/>
        <v>1940</v>
      </c>
      <c r="C1943" s="8">
        <f t="shared" si="93"/>
        <v>5</v>
      </c>
      <c r="D1943" s="8">
        <f t="shared" si="94"/>
        <v>24</v>
      </c>
      <c r="E1943" s="108">
        <f t="shared" si="95"/>
        <v>442</v>
      </c>
      <c r="F1943" s="109">
        <f t="shared" si="96"/>
        <v>666</v>
      </c>
    </row>
    <row r="1944" spans="2:6" x14ac:dyDescent="0.2">
      <c r="B1944" s="13">
        <f t="shared" si="92"/>
        <v>1941</v>
      </c>
      <c r="C1944" s="8">
        <f t="shared" si="93"/>
        <v>6</v>
      </c>
      <c r="D1944" s="8">
        <f t="shared" si="94"/>
        <v>24</v>
      </c>
      <c r="E1944" s="108">
        <f t="shared" si="95"/>
        <v>442</v>
      </c>
      <c r="F1944" s="109">
        <f t="shared" si="96"/>
        <v>655</v>
      </c>
    </row>
    <row r="1945" spans="2:6" x14ac:dyDescent="0.2">
      <c r="B1945" s="13">
        <f t="shared" si="92"/>
        <v>1942</v>
      </c>
      <c r="C1945" s="8">
        <f t="shared" si="93"/>
        <v>7</v>
      </c>
      <c r="D1945" s="8">
        <f t="shared" si="94"/>
        <v>24</v>
      </c>
      <c r="E1945" s="108">
        <f t="shared" si="95"/>
        <v>442</v>
      </c>
      <c r="F1945" s="109">
        <f t="shared" si="96"/>
        <v>652</v>
      </c>
    </row>
    <row r="1946" spans="2:6" x14ac:dyDescent="0.2">
      <c r="B1946" s="13">
        <f t="shared" si="92"/>
        <v>1943</v>
      </c>
      <c r="C1946" s="8">
        <f t="shared" si="93"/>
        <v>8</v>
      </c>
      <c r="D1946" s="8">
        <f t="shared" si="94"/>
        <v>24</v>
      </c>
      <c r="E1946" s="108">
        <f t="shared" si="95"/>
        <v>442</v>
      </c>
      <c r="F1946" s="109">
        <f t="shared" si="96"/>
        <v>633</v>
      </c>
    </row>
    <row r="1947" spans="2:6" x14ac:dyDescent="0.2">
      <c r="B1947" s="13">
        <f t="shared" si="92"/>
        <v>1944</v>
      </c>
      <c r="C1947" s="8">
        <f t="shared" si="93"/>
        <v>9</v>
      </c>
      <c r="D1947" s="8">
        <f t="shared" si="94"/>
        <v>24</v>
      </c>
      <c r="E1947" s="108">
        <f t="shared" si="95"/>
        <v>442</v>
      </c>
      <c r="F1947" s="109">
        <f t="shared" si="96"/>
        <v>632</v>
      </c>
    </row>
    <row r="1948" spans="2:6" x14ac:dyDescent="0.2">
      <c r="B1948" s="13">
        <f t="shared" si="92"/>
        <v>1945</v>
      </c>
      <c r="C1948" s="8">
        <f t="shared" si="93"/>
        <v>10</v>
      </c>
      <c r="D1948" s="8">
        <f t="shared" si="94"/>
        <v>24</v>
      </c>
      <c r="E1948" s="108">
        <f t="shared" si="95"/>
        <v>442</v>
      </c>
      <c r="F1948" s="109">
        <f t="shared" si="96"/>
        <v>625</v>
      </c>
    </row>
    <row r="1949" spans="2:6" x14ac:dyDescent="0.2">
      <c r="B1949" s="13">
        <f t="shared" si="92"/>
        <v>1946</v>
      </c>
      <c r="C1949" s="8">
        <f t="shared" si="93"/>
        <v>11</v>
      </c>
      <c r="D1949" s="8">
        <f t="shared" si="94"/>
        <v>24</v>
      </c>
      <c r="E1949" s="108">
        <f t="shared" si="95"/>
        <v>442</v>
      </c>
      <c r="F1949" s="109">
        <f t="shared" si="96"/>
        <v>619</v>
      </c>
    </row>
    <row r="1950" spans="2:6" x14ac:dyDescent="0.2">
      <c r="B1950" s="13">
        <f t="shared" si="92"/>
        <v>1947</v>
      </c>
      <c r="C1950" s="8">
        <f t="shared" si="93"/>
        <v>12</v>
      </c>
      <c r="D1950" s="8">
        <f t="shared" si="94"/>
        <v>24</v>
      </c>
      <c r="E1950" s="108">
        <f t="shared" si="95"/>
        <v>442</v>
      </c>
      <c r="F1950" s="109">
        <f t="shared" si="96"/>
        <v>610</v>
      </c>
    </row>
    <row r="1951" spans="2:6" x14ac:dyDescent="0.2">
      <c r="B1951" s="13">
        <f t="shared" si="92"/>
        <v>1948</v>
      </c>
      <c r="C1951" s="8">
        <f t="shared" si="93"/>
        <v>13</v>
      </c>
      <c r="D1951" s="8">
        <f t="shared" si="94"/>
        <v>24</v>
      </c>
      <c r="E1951" s="108">
        <f t="shared" si="95"/>
        <v>442</v>
      </c>
      <c r="F1951" s="109">
        <f t="shared" si="96"/>
        <v>599</v>
      </c>
    </row>
    <row r="1952" spans="2:6" x14ac:dyDescent="0.2">
      <c r="B1952" s="13">
        <f t="shared" si="92"/>
        <v>1949</v>
      </c>
      <c r="C1952" s="8">
        <f t="shared" si="93"/>
        <v>14</v>
      </c>
      <c r="D1952" s="8">
        <f t="shared" si="94"/>
        <v>24</v>
      </c>
      <c r="E1952" s="108">
        <f t="shared" si="95"/>
        <v>442</v>
      </c>
      <c r="F1952" s="109">
        <f t="shared" si="96"/>
        <v>559</v>
      </c>
    </row>
    <row r="1953" spans="2:6" x14ac:dyDescent="0.2">
      <c r="B1953" s="13">
        <f t="shared" si="92"/>
        <v>1950</v>
      </c>
      <c r="C1953" s="8">
        <f t="shared" si="93"/>
        <v>15</v>
      </c>
      <c r="D1953" s="8">
        <f t="shared" si="94"/>
        <v>24</v>
      </c>
      <c r="E1953" s="108">
        <f t="shared" si="95"/>
        <v>442</v>
      </c>
      <c r="F1953" s="109">
        <f t="shared" si="96"/>
        <v>556</v>
      </c>
    </row>
    <row r="1954" spans="2:6" x14ac:dyDescent="0.2">
      <c r="B1954" s="13">
        <f t="shared" si="92"/>
        <v>1951</v>
      </c>
      <c r="C1954" s="8">
        <f t="shared" si="93"/>
        <v>16</v>
      </c>
      <c r="D1954" s="8">
        <f t="shared" si="94"/>
        <v>24</v>
      </c>
      <c r="E1954" s="108">
        <f t="shared" si="95"/>
        <v>442</v>
      </c>
      <c r="F1954" s="109">
        <f t="shared" si="96"/>
        <v>540</v>
      </c>
    </row>
    <row r="1955" spans="2:6" x14ac:dyDescent="0.2">
      <c r="B1955" s="13">
        <f t="shared" si="92"/>
        <v>1952</v>
      </c>
      <c r="C1955" s="8">
        <f t="shared" si="93"/>
        <v>17</v>
      </c>
      <c r="D1955" s="8">
        <f t="shared" si="94"/>
        <v>24</v>
      </c>
      <c r="E1955" s="108">
        <f t="shared" si="95"/>
        <v>442</v>
      </c>
      <c r="F1955" s="109">
        <f t="shared" si="96"/>
        <v>536</v>
      </c>
    </row>
    <row r="1956" spans="2:6" x14ac:dyDescent="0.2">
      <c r="B1956" s="13">
        <f t="shared" si="92"/>
        <v>1953</v>
      </c>
      <c r="C1956" s="8">
        <f t="shared" si="93"/>
        <v>18</v>
      </c>
      <c r="D1956" s="8">
        <f t="shared" si="94"/>
        <v>24</v>
      </c>
      <c r="E1956" s="108">
        <f t="shared" si="95"/>
        <v>442</v>
      </c>
      <c r="F1956" s="109">
        <f t="shared" si="96"/>
        <v>527</v>
      </c>
    </row>
    <row r="1957" spans="2:6" x14ac:dyDescent="0.2">
      <c r="B1957" s="13">
        <f t="shared" si="92"/>
        <v>1954</v>
      </c>
      <c r="C1957" s="8">
        <f t="shared" si="93"/>
        <v>19</v>
      </c>
      <c r="D1957" s="8">
        <f t="shared" si="94"/>
        <v>24</v>
      </c>
      <c r="E1957" s="108">
        <f t="shared" si="95"/>
        <v>442</v>
      </c>
      <c r="F1957" s="109">
        <f t="shared" si="96"/>
        <v>478</v>
      </c>
    </row>
    <row r="1958" spans="2:6" x14ac:dyDescent="0.2">
      <c r="B1958" s="13">
        <f t="shared" si="92"/>
        <v>1955</v>
      </c>
      <c r="C1958" s="8">
        <f t="shared" si="93"/>
        <v>20</v>
      </c>
      <c r="D1958" s="8">
        <f t="shared" si="94"/>
        <v>24</v>
      </c>
      <c r="E1958" s="108">
        <f t="shared" si="95"/>
        <v>442</v>
      </c>
      <c r="F1958" s="109">
        <f t="shared" si="96"/>
        <v>474</v>
      </c>
    </row>
    <row r="1959" spans="2:6" x14ac:dyDescent="0.2">
      <c r="B1959" s="13">
        <f t="shared" ref="B1959:B2022" si="97">ROW()-3</f>
        <v>1956</v>
      </c>
      <c r="C1959" s="8">
        <f t="shared" ref="C1959:C2022" si="98">IF((D1958-C1958)=1,1,C1958+1)</f>
        <v>21</v>
      </c>
      <c r="D1959" s="8">
        <f t="shared" ref="D1959:D2022" si="99">IF((D1958-C1958)=1,D1958-1,D1958)</f>
        <v>24</v>
      </c>
      <c r="E1959" s="108">
        <f t="shared" ref="E1959:E2022" si="100">IFERROR(VLOOKUP(D1959,$H$4:$I$70,2,0),"")</f>
        <v>442</v>
      </c>
      <c r="F1959" s="109">
        <f t="shared" ref="F1959:F2022" si="101">IFERROR(VLOOKUP(C1959,$H$4:$I$70,2,0),"")</f>
        <v>468</v>
      </c>
    </row>
    <row r="1960" spans="2:6" x14ac:dyDescent="0.2">
      <c r="B1960" s="13">
        <f t="shared" si="97"/>
        <v>1957</v>
      </c>
      <c r="C1960" s="8">
        <f t="shared" si="98"/>
        <v>22</v>
      </c>
      <c r="D1960" s="8">
        <f t="shared" si="99"/>
        <v>24</v>
      </c>
      <c r="E1960" s="108">
        <f t="shared" si="100"/>
        <v>442</v>
      </c>
      <c r="F1960" s="109">
        <f t="shared" si="101"/>
        <v>457</v>
      </c>
    </row>
    <row r="1961" spans="2:6" x14ac:dyDescent="0.2">
      <c r="B1961" s="13">
        <f t="shared" si="97"/>
        <v>1958</v>
      </c>
      <c r="C1961" s="8">
        <f t="shared" si="98"/>
        <v>23</v>
      </c>
      <c r="D1961" s="8">
        <f t="shared" si="99"/>
        <v>24</v>
      </c>
      <c r="E1961" s="108">
        <f t="shared" si="100"/>
        <v>442</v>
      </c>
      <c r="F1961" s="109">
        <f t="shared" si="101"/>
        <v>452</v>
      </c>
    </row>
    <row r="1962" spans="2:6" x14ac:dyDescent="0.2">
      <c r="B1962" s="13">
        <f t="shared" si="97"/>
        <v>1959</v>
      </c>
      <c r="C1962" s="8">
        <f t="shared" si="98"/>
        <v>1</v>
      </c>
      <c r="D1962" s="8">
        <f t="shared" si="99"/>
        <v>23</v>
      </c>
      <c r="E1962" s="108">
        <f t="shared" si="100"/>
        <v>452</v>
      </c>
      <c r="F1962" s="109">
        <f t="shared" si="101"/>
        <v>1344</v>
      </c>
    </row>
    <row r="1963" spans="2:6" x14ac:dyDescent="0.2">
      <c r="B1963" s="13">
        <f t="shared" si="97"/>
        <v>1960</v>
      </c>
      <c r="C1963" s="8">
        <f t="shared" si="98"/>
        <v>2</v>
      </c>
      <c r="D1963" s="8">
        <f t="shared" si="99"/>
        <v>23</v>
      </c>
      <c r="E1963" s="108">
        <f t="shared" si="100"/>
        <v>452</v>
      </c>
      <c r="F1963" s="109">
        <f t="shared" si="101"/>
        <v>1048</v>
      </c>
    </row>
    <row r="1964" spans="2:6" x14ac:dyDescent="0.2">
      <c r="B1964" s="13">
        <f t="shared" si="97"/>
        <v>1961</v>
      </c>
      <c r="C1964" s="8">
        <f t="shared" si="98"/>
        <v>3</v>
      </c>
      <c r="D1964" s="8">
        <f t="shared" si="99"/>
        <v>23</v>
      </c>
      <c r="E1964" s="108">
        <f t="shared" si="100"/>
        <v>452</v>
      </c>
      <c r="F1964" s="109">
        <f t="shared" si="101"/>
        <v>1025</v>
      </c>
    </row>
    <row r="1965" spans="2:6" x14ac:dyDescent="0.2">
      <c r="B1965" s="13">
        <f t="shared" si="97"/>
        <v>1962</v>
      </c>
      <c r="C1965" s="8">
        <f t="shared" si="98"/>
        <v>4</v>
      </c>
      <c r="D1965" s="8">
        <f t="shared" si="99"/>
        <v>23</v>
      </c>
      <c r="E1965" s="108">
        <f t="shared" si="100"/>
        <v>452</v>
      </c>
      <c r="F1965" s="109">
        <f t="shared" si="101"/>
        <v>805</v>
      </c>
    </row>
    <row r="1966" spans="2:6" x14ac:dyDescent="0.2">
      <c r="B1966" s="13">
        <f t="shared" si="97"/>
        <v>1963</v>
      </c>
      <c r="C1966" s="8">
        <f t="shared" si="98"/>
        <v>5</v>
      </c>
      <c r="D1966" s="8">
        <f t="shared" si="99"/>
        <v>23</v>
      </c>
      <c r="E1966" s="108">
        <f t="shared" si="100"/>
        <v>452</v>
      </c>
      <c r="F1966" s="109">
        <f t="shared" si="101"/>
        <v>666</v>
      </c>
    </row>
    <row r="1967" spans="2:6" x14ac:dyDescent="0.2">
      <c r="B1967" s="13">
        <f t="shared" si="97"/>
        <v>1964</v>
      </c>
      <c r="C1967" s="8">
        <f t="shared" si="98"/>
        <v>6</v>
      </c>
      <c r="D1967" s="8">
        <f t="shared" si="99"/>
        <v>23</v>
      </c>
      <c r="E1967" s="108">
        <f t="shared" si="100"/>
        <v>452</v>
      </c>
      <c r="F1967" s="109">
        <f t="shared" si="101"/>
        <v>655</v>
      </c>
    </row>
    <row r="1968" spans="2:6" x14ac:dyDescent="0.2">
      <c r="B1968" s="13">
        <f t="shared" si="97"/>
        <v>1965</v>
      </c>
      <c r="C1968" s="8">
        <f t="shared" si="98"/>
        <v>7</v>
      </c>
      <c r="D1968" s="8">
        <f t="shared" si="99"/>
        <v>23</v>
      </c>
      <c r="E1968" s="108">
        <f t="shared" si="100"/>
        <v>452</v>
      </c>
      <c r="F1968" s="109">
        <f t="shared" si="101"/>
        <v>652</v>
      </c>
    </row>
    <row r="1969" spans="2:6" x14ac:dyDescent="0.2">
      <c r="B1969" s="13">
        <f t="shared" si="97"/>
        <v>1966</v>
      </c>
      <c r="C1969" s="8">
        <f t="shared" si="98"/>
        <v>8</v>
      </c>
      <c r="D1969" s="8">
        <f t="shared" si="99"/>
        <v>23</v>
      </c>
      <c r="E1969" s="108">
        <f t="shared" si="100"/>
        <v>452</v>
      </c>
      <c r="F1969" s="109">
        <f t="shared" si="101"/>
        <v>633</v>
      </c>
    </row>
    <row r="1970" spans="2:6" x14ac:dyDescent="0.2">
      <c r="B1970" s="13">
        <f t="shared" si="97"/>
        <v>1967</v>
      </c>
      <c r="C1970" s="8">
        <f t="shared" si="98"/>
        <v>9</v>
      </c>
      <c r="D1970" s="8">
        <f t="shared" si="99"/>
        <v>23</v>
      </c>
      <c r="E1970" s="108">
        <f t="shared" si="100"/>
        <v>452</v>
      </c>
      <c r="F1970" s="109">
        <f t="shared" si="101"/>
        <v>632</v>
      </c>
    </row>
    <row r="1971" spans="2:6" x14ac:dyDescent="0.2">
      <c r="B1971" s="13">
        <f t="shared" si="97"/>
        <v>1968</v>
      </c>
      <c r="C1971" s="8">
        <f t="shared" si="98"/>
        <v>10</v>
      </c>
      <c r="D1971" s="8">
        <f t="shared" si="99"/>
        <v>23</v>
      </c>
      <c r="E1971" s="108">
        <f t="shared" si="100"/>
        <v>452</v>
      </c>
      <c r="F1971" s="109">
        <f t="shared" si="101"/>
        <v>625</v>
      </c>
    </row>
    <row r="1972" spans="2:6" x14ac:dyDescent="0.2">
      <c r="B1972" s="13">
        <f t="shared" si="97"/>
        <v>1969</v>
      </c>
      <c r="C1972" s="8">
        <f t="shared" si="98"/>
        <v>11</v>
      </c>
      <c r="D1972" s="8">
        <f t="shared" si="99"/>
        <v>23</v>
      </c>
      <c r="E1972" s="108">
        <f t="shared" si="100"/>
        <v>452</v>
      </c>
      <c r="F1972" s="109">
        <f t="shared" si="101"/>
        <v>619</v>
      </c>
    </row>
    <row r="1973" spans="2:6" x14ac:dyDescent="0.2">
      <c r="B1973" s="13">
        <f t="shared" si="97"/>
        <v>1970</v>
      </c>
      <c r="C1973" s="8">
        <f t="shared" si="98"/>
        <v>12</v>
      </c>
      <c r="D1973" s="8">
        <f t="shared" si="99"/>
        <v>23</v>
      </c>
      <c r="E1973" s="108">
        <f t="shared" si="100"/>
        <v>452</v>
      </c>
      <c r="F1973" s="109">
        <f t="shared" si="101"/>
        <v>610</v>
      </c>
    </row>
    <row r="1974" spans="2:6" x14ac:dyDescent="0.2">
      <c r="B1974" s="13">
        <f t="shared" si="97"/>
        <v>1971</v>
      </c>
      <c r="C1974" s="8">
        <f t="shared" si="98"/>
        <v>13</v>
      </c>
      <c r="D1974" s="8">
        <f t="shared" si="99"/>
        <v>23</v>
      </c>
      <c r="E1974" s="108">
        <f t="shared" si="100"/>
        <v>452</v>
      </c>
      <c r="F1974" s="109">
        <f t="shared" si="101"/>
        <v>599</v>
      </c>
    </row>
    <row r="1975" spans="2:6" x14ac:dyDescent="0.2">
      <c r="B1975" s="13">
        <f t="shared" si="97"/>
        <v>1972</v>
      </c>
      <c r="C1975" s="8">
        <f t="shared" si="98"/>
        <v>14</v>
      </c>
      <c r="D1975" s="8">
        <f t="shared" si="99"/>
        <v>23</v>
      </c>
      <c r="E1975" s="108">
        <f t="shared" si="100"/>
        <v>452</v>
      </c>
      <c r="F1975" s="109">
        <f t="shared" si="101"/>
        <v>559</v>
      </c>
    </row>
    <row r="1976" spans="2:6" x14ac:dyDescent="0.2">
      <c r="B1976" s="13">
        <f t="shared" si="97"/>
        <v>1973</v>
      </c>
      <c r="C1976" s="8">
        <f t="shared" si="98"/>
        <v>15</v>
      </c>
      <c r="D1976" s="8">
        <f t="shared" si="99"/>
        <v>23</v>
      </c>
      <c r="E1976" s="108">
        <f t="shared" si="100"/>
        <v>452</v>
      </c>
      <c r="F1976" s="109">
        <f t="shared" si="101"/>
        <v>556</v>
      </c>
    </row>
    <row r="1977" spans="2:6" x14ac:dyDescent="0.2">
      <c r="B1977" s="13">
        <f t="shared" si="97"/>
        <v>1974</v>
      </c>
      <c r="C1977" s="8">
        <f t="shared" si="98"/>
        <v>16</v>
      </c>
      <c r="D1977" s="8">
        <f t="shared" si="99"/>
        <v>23</v>
      </c>
      <c r="E1977" s="108">
        <f t="shared" si="100"/>
        <v>452</v>
      </c>
      <c r="F1977" s="109">
        <f t="shared" si="101"/>
        <v>540</v>
      </c>
    </row>
    <row r="1978" spans="2:6" x14ac:dyDescent="0.2">
      <c r="B1978" s="13">
        <f t="shared" si="97"/>
        <v>1975</v>
      </c>
      <c r="C1978" s="8">
        <f t="shared" si="98"/>
        <v>17</v>
      </c>
      <c r="D1978" s="8">
        <f t="shared" si="99"/>
        <v>23</v>
      </c>
      <c r="E1978" s="108">
        <f t="shared" si="100"/>
        <v>452</v>
      </c>
      <c r="F1978" s="109">
        <f t="shared" si="101"/>
        <v>536</v>
      </c>
    </row>
    <row r="1979" spans="2:6" x14ac:dyDescent="0.2">
      <c r="B1979" s="13">
        <f t="shared" si="97"/>
        <v>1976</v>
      </c>
      <c r="C1979" s="8">
        <f t="shared" si="98"/>
        <v>18</v>
      </c>
      <c r="D1979" s="8">
        <f t="shared" si="99"/>
        <v>23</v>
      </c>
      <c r="E1979" s="108">
        <f t="shared" si="100"/>
        <v>452</v>
      </c>
      <c r="F1979" s="109">
        <f t="shared" si="101"/>
        <v>527</v>
      </c>
    </row>
    <row r="1980" spans="2:6" x14ac:dyDescent="0.2">
      <c r="B1980" s="13">
        <f t="shared" si="97"/>
        <v>1977</v>
      </c>
      <c r="C1980" s="8">
        <f t="shared" si="98"/>
        <v>19</v>
      </c>
      <c r="D1980" s="8">
        <f t="shared" si="99"/>
        <v>23</v>
      </c>
      <c r="E1980" s="108">
        <f t="shared" si="100"/>
        <v>452</v>
      </c>
      <c r="F1980" s="109">
        <f t="shared" si="101"/>
        <v>478</v>
      </c>
    </row>
    <row r="1981" spans="2:6" x14ac:dyDescent="0.2">
      <c r="B1981" s="13">
        <f t="shared" si="97"/>
        <v>1978</v>
      </c>
      <c r="C1981" s="8">
        <f t="shared" si="98"/>
        <v>20</v>
      </c>
      <c r="D1981" s="8">
        <f t="shared" si="99"/>
        <v>23</v>
      </c>
      <c r="E1981" s="108">
        <f t="shared" si="100"/>
        <v>452</v>
      </c>
      <c r="F1981" s="109">
        <f t="shared" si="101"/>
        <v>474</v>
      </c>
    </row>
    <row r="1982" spans="2:6" x14ac:dyDescent="0.2">
      <c r="B1982" s="13">
        <f t="shared" si="97"/>
        <v>1979</v>
      </c>
      <c r="C1982" s="8">
        <f t="shared" si="98"/>
        <v>21</v>
      </c>
      <c r="D1982" s="8">
        <f t="shared" si="99"/>
        <v>23</v>
      </c>
      <c r="E1982" s="108">
        <f t="shared" si="100"/>
        <v>452</v>
      </c>
      <c r="F1982" s="109">
        <f t="shared" si="101"/>
        <v>468</v>
      </c>
    </row>
    <row r="1983" spans="2:6" x14ac:dyDescent="0.2">
      <c r="B1983" s="13">
        <f t="shared" si="97"/>
        <v>1980</v>
      </c>
      <c r="C1983" s="8">
        <f t="shared" si="98"/>
        <v>22</v>
      </c>
      <c r="D1983" s="8">
        <f t="shared" si="99"/>
        <v>23</v>
      </c>
      <c r="E1983" s="108">
        <f t="shared" si="100"/>
        <v>452</v>
      </c>
      <c r="F1983" s="109">
        <f t="shared" si="101"/>
        <v>457</v>
      </c>
    </row>
    <row r="1984" spans="2:6" x14ac:dyDescent="0.2">
      <c r="B1984" s="13">
        <f t="shared" si="97"/>
        <v>1981</v>
      </c>
      <c r="C1984" s="8">
        <f t="shared" si="98"/>
        <v>1</v>
      </c>
      <c r="D1984" s="8">
        <f t="shared" si="99"/>
        <v>22</v>
      </c>
      <c r="E1984" s="108">
        <f t="shared" si="100"/>
        <v>457</v>
      </c>
      <c r="F1984" s="109">
        <f t="shared" si="101"/>
        <v>1344</v>
      </c>
    </row>
    <row r="1985" spans="2:6" x14ac:dyDescent="0.2">
      <c r="B1985" s="13">
        <f t="shared" si="97"/>
        <v>1982</v>
      </c>
      <c r="C1985" s="8">
        <f t="shared" si="98"/>
        <v>2</v>
      </c>
      <c r="D1985" s="8">
        <f t="shared" si="99"/>
        <v>22</v>
      </c>
      <c r="E1985" s="108">
        <f t="shared" si="100"/>
        <v>457</v>
      </c>
      <c r="F1985" s="109">
        <f t="shared" si="101"/>
        <v>1048</v>
      </c>
    </row>
    <row r="1986" spans="2:6" x14ac:dyDescent="0.2">
      <c r="B1986" s="13">
        <f t="shared" si="97"/>
        <v>1983</v>
      </c>
      <c r="C1986" s="8">
        <f t="shared" si="98"/>
        <v>3</v>
      </c>
      <c r="D1986" s="8">
        <f t="shared" si="99"/>
        <v>22</v>
      </c>
      <c r="E1986" s="108">
        <f t="shared" si="100"/>
        <v>457</v>
      </c>
      <c r="F1986" s="109">
        <f t="shared" si="101"/>
        <v>1025</v>
      </c>
    </row>
    <row r="1987" spans="2:6" x14ac:dyDescent="0.2">
      <c r="B1987" s="13">
        <f t="shared" si="97"/>
        <v>1984</v>
      </c>
      <c r="C1987" s="8">
        <f t="shared" si="98"/>
        <v>4</v>
      </c>
      <c r="D1987" s="8">
        <f t="shared" si="99"/>
        <v>22</v>
      </c>
      <c r="E1987" s="108">
        <f t="shared" si="100"/>
        <v>457</v>
      </c>
      <c r="F1987" s="109">
        <f t="shared" si="101"/>
        <v>805</v>
      </c>
    </row>
    <row r="1988" spans="2:6" x14ac:dyDescent="0.2">
      <c r="B1988" s="13">
        <f t="shared" si="97"/>
        <v>1985</v>
      </c>
      <c r="C1988" s="8">
        <f t="shared" si="98"/>
        <v>5</v>
      </c>
      <c r="D1988" s="8">
        <f t="shared" si="99"/>
        <v>22</v>
      </c>
      <c r="E1988" s="108">
        <f t="shared" si="100"/>
        <v>457</v>
      </c>
      <c r="F1988" s="109">
        <f t="shared" si="101"/>
        <v>666</v>
      </c>
    </row>
    <row r="1989" spans="2:6" x14ac:dyDescent="0.2">
      <c r="B1989" s="13">
        <f t="shared" si="97"/>
        <v>1986</v>
      </c>
      <c r="C1989" s="8">
        <f t="shared" si="98"/>
        <v>6</v>
      </c>
      <c r="D1989" s="8">
        <f t="shared" si="99"/>
        <v>22</v>
      </c>
      <c r="E1989" s="108">
        <f t="shared" si="100"/>
        <v>457</v>
      </c>
      <c r="F1989" s="109">
        <f t="shared" si="101"/>
        <v>655</v>
      </c>
    </row>
    <row r="1990" spans="2:6" x14ac:dyDescent="0.2">
      <c r="B1990" s="13">
        <f t="shared" si="97"/>
        <v>1987</v>
      </c>
      <c r="C1990" s="8">
        <f t="shared" si="98"/>
        <v>7</v>
      </c>
      <c r="D1990" s="8">
        <f t="shared" si="99"/>
        <v>22</v>
      </c>
      <c r="E1990" s="108">
        <f t="shared" si="100"/>
        <v>457</v>
      </c>
      <c r="F1990" s="109">
        <f t="shared" si="101"/>
        <v>652</v>
      </c>
    </row>
    <row r="1991" spans="2:6" x14ac:dyDescent="0.2">
      <c r="B1991" s="13">
        <f t="shared" si="97"/>
        <v>1988</v>
      </c>
      <c r="C1991" s="8">
        <f t="shared" si="98"/>
        <v>8</v>
      </c>
      <c r="D1991" s="8">
        <f t="shared" si="99"/>
        <v>22</v>
      </c>
      <c r="E1991" s="108">
        <f t="shared" si="100"/>
        <v>457</v>
      </c>
      <c r="F1991" s="109">
        <f t="shared" si="101"/>
        <v>633</v>
      </c>
    </row>
    <row r="1992" spans="2:6" x14ac:dyDescent="0.2">
      <c r="B1992" s="13">
        <f t="shared" si="97"/>
        <v>1989</v>
      </c>
      <c r="C1992" s="8">
        <f t="shared" si="98"/>
        <v>9</v>
      </c>
      <c r="D1992" s="8">
        <f t="shared" si="99"/>
        <v>22</v>
      </c>
      <c r="E1992" s="108">
        <f t="shared" si="100"/>
        <v>457</v>
      </c>
      <c r="F1992" s="109">
        <f t="shared" si="101"/>
        <v>632</v>
      </c>
    </row>
    <row r="1993" spans="2:6" x14ac:dyDescent="0.2">
      <c r="B1993" s="13">
        <f t="shared" si="97"/>
        <v>1990</v>
      </c>
      <c r="C1993" s="8">
        <f t="shared" si="98"/>
        <v>10</v>
      </c>
      <c r="D1993" s="8">
        <f t="shared" si="99"/>
        <v>22</v>
      </c>
      <c r="E1993" s="108">
        <f t="shared" si="100"/>
        <v>457</v>
      </c>
      <c r="F1993" s="109">
        <f t="shared" si="101"/>
        <v>625</v>
      </c>
    </row>
    <row r="1994" spans="2:6" x14ac:dyDescent="0.2">
      <c r="B1994" s="13">
        <f t="shared" si="97"/>
        <v>1991</v>
      </c>
      <c r="C1994" s="8">
        <f t="shared" si="98"/>
        <v>11</v>
      </c>
      <c r="D1994" s="8">
        <f t="shared" si="99"/>
        <v>22</v>
      </c>
      <c r="E1994" s="108">
        <f t="shared" si="100"/>
        <v>457</v>
      </c>
      <c r="F1994" s="109">
        <f t="shared" si="101"/>
        <v>619</v>
      </c>
    </row>
    <row r="1995" spans="2:6" x14ac:dyDescent="0.2">
      <c r="B1995" s="13">
        <f t="shared" si="97"/>
        <v>1992</v>
      </c>
      <c r="C1995" s="8">
        <f t="shared" si="98"/>
        <v>12</v>
      </c>
      <c r="D1995" s="8">
        <f t="shared" si="99"/>
        <v>22</v>
      </c>
      <c r="E1995" s="108">
        <f t="shared" si="100"/>
        <v>457</v>
      </c>
      <c r="F1995" s="109">
        <f t="shared" si="101"/>
        <v>610</v>
      </c>
    </row>
    <row r="1996" spans="2:6" x14ac:dyDescent="0.2">
      <c r="B1996" s="13">
        <f t="shared" si="97"/>
        <v>1993</v>
      </c>
      <c r="C1996" s="8">
        <f t="shared" si="98"/>
        <v>13</v>
      </c>
      <c r="D1996" s="8">
        <f t="shared" si="99"/>
        <v>22</v>
      </c>
      <c r="E1996" s="108">
        <f t="shared" si="100"/>
        <v>457</v>
      </c>
      <c r="F1996" s="109">
        <f t="shared" si="101"/>
        <v>599</v>
      </c>
    </row>
    <row r="1997" spans="2:6" x14ac:dyDescent="0.2">
      <c r="B1997" s="13">
        <f t="shared" si="97"/>
        <v>1994</v>
      </c>
      <c r="C1997" s="8">
        <f t="shared" si="98"/>
        <v>14</v>
      </c>
      <c r="D1997" s="8">
        <f t="shared" si="99"/>
        <v>22</v>
      </c>
      <c r="E1997" s="108">
        <f t="shared" si="100"/>
        <v>457</v>
      </c>
      <c r="F1997" s="109">
        <f t="shared" si="101"/>
        <v>559</v>
      </c>
    </row>
    <row r="1998" spans="2:6" x14ac:dyDescent="0.2">
      <c r="B1998" s="13">
        <f t="shared" si="97"/>
        <v>1995</v>
      </c>
      <c r="C1998" s="8">
        <f t="shared" si="98"/>
        <v>15</v>
      </c>
      <c r="D1998" s="8">
        <f t="shared" si="99"/>
        <v>22</v>
      </c>
      <c r="E1998" s="108">
        <f t="shared" si="100"/>
        <v>457</v>
      </c>
      <c r="F1998" s="109">
        <f t="shared" si="101"/>
        <v>556</v>
      </c>
    </row>
    <row r="1999" spans="2:6" x14ac:dyDescent="0.2">
      <c r="B1999" s="13">
        <f t="shared" si="97"/>
        <v>1996</v>
      </c>
      <c r="C1999" s="8">
        <f t="shared" si="98"/>
        <v>16</v>
      </c>
      <c r="D1999" s="8">
        <f t="shared" si="99"/>
        <v>22</v>
      </c>
      <c r="E1999" s="108">
        <f t="shared" si="100"/>
        <v>457</v>
      </c>
      <c r="F1999" s="109">
        <f t="shared" si="101"/>
        <v>540</v>
      </c>
    </row>
    <row r="2000" spans="2:6" x14ac:dyDescent="0.2">
      <c r="B2000" s="13">
        <f t="shared" si="97"/>
        <v>1997</v>
      </c>
      <c r="C2000" s="8">
        <f t="shared" si="98"/>
        <v>17</v>
      </c>
      <c r="D2000" s="8">
        <f t="shared" si="99"/>
        <v>22</v>
      </c>
      <c r="E2000" s="108">
        <f t="shared" si="100"/>
        <v>457</v>
      </c>
      <c r="F2000" s="109">
        <f t="shared" si="101"/>
        <v>536</v>
      </c>
    </row>
    <row r="2001" spans="2:6" x14ac:dyDescent="0.2">
      <c r="B2001" s="13">
        <f t="shared" si="97"/>
        <v>1998</v>
      </c>
      <c r="C2001" s="8">
        <f t="shared" si="98"/>
        <v>18</v>
      </c>
      <c r="D2001" s="8">
        <f t="shared" si="99"/>
        <v>22</v>
      </c>
      <c r="E2001" s="108">
        <f t="shared" si="100"/>
        <v>457</v>
      </c>
      <c r="F2001" s="109">
        <f t="shared" si="101"/>
        <v>527</v>
      </c>
    </row>
    <row r="2002" spans="2:6" x14ac:dyDescent="0.2">
      <c r="B2002" s="13">
        <f t="shared" si="97"/>
        <v>1999</v>
      </c>
      <c r="C2002" s="8">
        <f t="shared" si="98"/>
        <v>19</v>
      </c>
      <c r="D2002" s="8">
        <f t="shared" si="99"/>
        <v>22</v>
      </c>
      <c r="E2002" s="108">
        <f t="shared" si="100"/>
        <v>457</v>
      </c>
      <c r="F2002" s="109">
        <f t="shared" si="101"/>
        <v>478</v>
      </c>
    </row>
    <row r="2003" spans="2:6" x14ac:dyDescent="0.2">
      <c r="B2003" s="13">
        <f t="shared" si="97"/>
        <v>2000</v>
      </c>
      <c r="C2003" s="8">
        <f t="shared" si="98"/>
        <v>20</v>
      </c>
      <c r="D2003" s="8">
        <f t="shared" si="99"/>
        <v>22</v>
      </c>
      <c r="E2003" s="108">
        <f t="shared" si="100"/>
        <v>457</v>
      </c>
      <c r="F2003" s="109">
        <f t="shared" si="101"/>
        <v>474</v>
      </c>
    </row>
    <row r="2004" spans="2:6" x14ac:dyDescent="0.2">
      <c r="B2004" s="13">
        <f t="shared" si="97"/>
        <v>2001</v>
      </c>
      <c r="C2004" s="8">
        <f t="shared" si="98"/>
        <v>21</v>
      </c>
      <c r="D2004" s="8">
        <f t="shared" si="99"/>
        <v>22</v>
      </c>
      <c r="E2004" s="108">
        <f t="shared" si="100"/>
        <v>457</v>
      </c>
      <c r="F2004" s="109">
        <f t="shared" si="101"/>
        <v>468</v>
      </c>
    </row>
    <row r="2005" spans="2:6" x14ac:dyDescent="0.2">
      <c r="B2005" s="13">
        <f t="shared" si="97"/>
        <v>2002</v>
      </c>
      <c r="C2005" s="8">
        <f t="shared" si="98"/>
        <v>1</v>
      </c>
      <c r="D2005" s="8">
        <f t="shared" si="99"/>
        <v>21</v>
      </c>
      <c r="E2005" s="108">
        <f t="shared" si="100"/>
        <v>468</v>
      </c>
      <c r="F2005" s="109">
        <f t="shared" si="101"/>
        <v>1344</v>
      </c>
    </row>
    <row r="2006" spans="2:6" x14ac:dyDescent="0.2">
      <c r="B2006" s="13">
        <f t="shared" si="97"/>
        <v>2003</v>
      </c>
      <c r="C2006" s="8">
        <f t="shared" si="98"/>
        <v>2</v>
      </c>
      <c r="D2006" s="8">
        <f t="shared" si="99"/>
        <v>21</v>
      </c>
      <c r="E2006" s="108">
        <f t="shared" si="100"/>
        <v>468</v>
      </c>
      <c r="F2006" s="109">
        <f t="shared" si="101"/>
        <v>1048</v>
      </c>
    </row>
    <row r="2007" spans="2:6" x14ac:dyDescent="0.2">
      <c r="B2007" s="13">
        <f t="shared" si="97"/>
        <v>2004</v>
      </c>
      <c r="C2007" s="8">
        <f t="shared" si="98"/>
        <v>3</v>
      </c>
      <c r="D2007" s="8">
        <f t="shared" si="99"/>
        <v>21</v>
      </c>
      <c r="E2007" s="108">
        <f t="shared" si="100"/>
        <v>468</v>
      </c>
      <c r="F2007" s="109">
        <f t="shared" si="101"/>
        <v>1025</v>
      </c>
    </row>
    <row r="2008" spans="2:6" x14ac:dyDescent="0.2">
      <c r="B2008" s="13">
        <f t="shared" si="97"/>
        <v>2005</v>
      </c>
      <c r="C2008" s="8">
        <f t="shared" si="98"/>
        <v>4</v>
      </c>
      <c r="D2008" s="8">
        <f t="shared" si="99"/>
        <v>21</v>
      </c>
      <c r="E2008" s="108">
        <f t="shared" si="100"/>
        <v>468</v>
      </c>
      <c r="F2008" s="109">
        <f t="shared" si="101"/>
        <v>805</v>
      </c>
    </row>
    <row r="2009" spans="2:6" x14ac:dyDescent="0.2">
      <c r="B2009" s="13">
        <f t="shared" si="97"/>
        <v>2006</v>
      </c>
      <c r="C2009" s="8">
        <f t="shared" si="98"/>
        <v>5</v>
      </c>
      <c r="D2009" s="8">
        <f t="shared" si="99"/>
        <v>21</v>
      </c>
      <c r="E2009" s="108">
        <f t="shared" si="100"/>
        <v>468</v>
      </c>
      <c r="F2009" s="109">
        <f t="shared" si="101"/>
        <v>666</v>
      </c>
    </row>
    <row r="2010" spans="2:6" x14ac:dyDescent="0.2">
      <c r="B2010" s="13">
        <f t="shared" si="97"/>
        <v>2007</v>
      </c>
      <c r="C2010" s="8">
        <f t="shared" si="98"/>
        <v>6</v>
      </c>
      <c r="D2010" s="8">
        <f t="shared" si="99"/>
        <v>21</v>
      </c>
      <c r="E2010" s="108">
        <f t="shared" si="100"/>
        <v>468</v>
      </c>
      <c r="F2010" s="109">
        <f t="shared" si="101"/>
        <v>655</v>
      </c>
    </row>
    <row r="2011" spans="2:6" x14ac:dyDescent="0.2">
      <c r="B2011" s="13">
        <f t="shared" si="97"/>
        <v>2008</v>
      </c>
      <c r="C2011" s="8">
        <f t="shared" si="98"/>
        <v>7</v>
      </c>
      <c r="D2011" s="8">
        <f t="shared" si="99"/>
        <v>21</v>
      </c>
      <c r="E2011" s="108">
        <f t="shared" si="100"/>
        <v>468</v>
      </c>
      <c r="F2011" s="109">
        <f t="shared" si="101"/>
        <v>652</v>
      </c>
    </row>
    <row r="2012" spans="2:6" x14ac:dyDescent="0.2">
      <c r="B2012" s="13">
        <f t="shared" si="97"/>
        <v>2009</v>
      </c>
      <c r="C2012" s="8">
        <f t="shared" si="98"/>
        <v>8</v>
      </c>
      <c r="D2012" s="8">
        <f t="shared" si="99"/>
        <v>21</v>
      </c>
      <c r="E2012" s="108">
        <f t="shared" si="100"/>
        <v>468</v>
      </c>
      <c r="F2012" s="109">
        <f t="shared" si="101"/>
        <v>633</v>
      </c>
    </row>
    <row r="2013" spans="2:6" x14ac:dyDescent="0.2">
      <c r="B2013" s="13">
        <f t="shared" si="97"/>
        <v>2010</v>
      </c>
      <c r="C2013" s="8">
        <f t="shared" si="98"/>
        <v>9</v>
      </c>
      <c r="D2013" s="8">
        <f t="shared" si="99"/>
        <v>21</v>
      </c>
      <c r="E2013" s="108">
        <f t="shared" si="100"/>
        <v>468</v>
      </c>
      <c r="F2013" s="109">
        <f t="shared" si="101"/>
        <v>632</v>
      </c>
    </row>
    <row r="2014" spans="2:6" x14ac:dyDescent="0.2">
      <c r="B2014" s="13">
        <f t="shared" si="97"/>
        <v>2011</v>
      </c>
      <c r="C2014" s="8">
        <f t="shared" si="98"/>
        <v>10</v>
      </c>
      <c r="D2014" s="8">
        <f t="shared" si="99"/>
        <v>21</v>
      </c>
      <c r="E2014" s="108">
        <f t="shared" si="100"/>
        <v>468</v>
      </c>
      <c r="F2014" s="109">
        <f t="shared" si="101"/>
        <v>625</v>
      </c>
    </row>
    <row r="2015" spans="2:6" x14ac:dyDescent="0.2">
      <c r="B2015" s="13">
        <f t="shared" si="97"/>
        <v>2012</v>
      </c>
      <c r="C2015" s="8">
        <f t="shared" si="98"/>
        <v>11</v>
      </c>
      <c r="D2015" s="8">
        <f t="shared" si="99"/>
        <v>21</v>
      </c>
      <c r="E2015" s="108">
        <f t="shared" si="100"/>
        <v>468</v>
      </c>
      <c r="F2015" s="109">
        <f t="shared" si="101"/>
        <v>619</v>
      </c>
    </row>
    <row r="2016" spans="2:6" x14ac:dyDescent="0.2">
      <c r="B2016" s="13">
        <f t="shared" si="97"/>
        <v>2013</v>
      </c>
      <c r="C2016" s="8">
        <f t="shared" si="98"/>
        <v>12</v>
      </c>
      <c r="D2016" s="8">
        <f t="shared" si="99"/>
        <v>21</v>
      </c>
      <c r="E2016" s="108">
        <f t="shared" si="100"/>
        <v>468</v>
      </c>
      <c r="F2016" s="109">
        <f t="shared" si="101"/>
        <v>610</v>
      </c>
    </row>
    <row r="2017" spans="2:6" x14ac:dyDescent="0.2">
      <c r="B2017" s="13">
        <f t="shared" si="97"/>
        <v>2014</v>
      </c>
      <c r="C2017" s="8">
        <f t="shared" si="98"/>
        <v>13</v>
      </c>
      <c r="D2017" s="8">
        <f t="shared" si="99"/>
        <v>21</v>
      </c>
      <c r="E2017" s="108">
        <f t="shared" si="100"/>
        <v>468</v>
      </c>
      <c r="F2017" s="109">
        <f t="shared" si="101"/>
        <v>599</v>
      </c>
    </row>
    <row r="2018" spans="2:6" x14ac:dyDescent="0.2">
      <c r="B2018" s="13">
        <f t="shared" si="97"/>
        <v>2015</v>
      </c>
      <c r="C2018" s="8">
        <f t="shared" si="98"/>
        <v>14</v>
      </c>
      <c r="D2018" s="8">
        <f t="shared" si="99"/>
        <v>21</v>
      </c>
      <c r="E2018" s="108">
        <f t="shared" si="100"/>
        <v>468</v>
      </c>
      <c r="F2018" s="109">
        <f t="shared" si="101"/>
        <v>559</v>
      </c>
    </row>
    <row r="2019" spans="2:6" x14ac:dyDescent="0.2">
      <c r="B2019" s="13">
        <f t="shared" si="97"/>
        <v>2016</v>
      </c>
      <c r="C2019" s="8">
        <f t="shared" si="98"/>
        <v>15</v>
      </c>
      <c r="D2019" s="8">
        <f t="shared" si="99"/>
        <v>21</v>
      </c>
      <c r="E2019" s="108">
        <f t="shared" si="100"/>
        <v>468</v>
      </c>
      <c r="F2019" s="109">
        <f t="shared" si="101"/>
        <v>556</v>
      </c>
    </row>
    <row r="2020" spans="2:6" x14ac:dyDescent="0.2">
      <c r="B2020" s="13">
        <f t="shared" si="97"/>
        <v>2017</v>
      </c>
      <c r="C2020" s="8">
        <f t="shared" si="98"/>
        <v>16</v>
      </c>
      <c r="D2020" s="8">
        <f t="shared" si="99"/>
        <v>21</v>
      </c>
      <c r="E2020" s="108">
        <f t="shared" si="100"/>
        <v>468</v>
      </c>
      <c r="F2020" s="109">
        <f t="shared" si="101"/>
        <v>540</v>
      </c>
    </row>
    <row r="2021" spans="2:6" x14ac:dyDescent="0.2">
      <c r="B2021" s="13">
        <f t="shared" si="97"/>
        <v>2018</v>
      </c>
      <c r="C2021" s="8">
        <f t="shared" si="98"/>
        <v>17</v>
      </c>
      <c r="D2021" s="8">
        <f t="shared" si="99"/>
        <v>21</v>
      </c>
      <c r="E2021" s="108">
        <f t="shared" si="100"/>
        <v>468</v>
      </c>
      <c r="F2021" s="109">
        <f t="shared" si="101"/>
        <v>536</v>
      </c>
    </row>
    <row r="2022" spans="2:6" x14ac:dyDescent="0.2">
      <c r="B2022" s="13">
        <f t="shared" si="97"/>
        <v>2019</v>
      </c>
      <c r="C2022" s="8">
        <f t="shared" si="98"/>
        <v>18</v>
      </c>
      <c r="D2022" s="8">
        <f t="shared" si="99"/>
        <v>21</v>
      </c>
      <c r="E2022" s="108">
        <f t="shared" si="100"/>
        <v>468</v>
      </c>
      <c r="F2022" s="109">
        <f t="shared" si="101"/>
        <v>527</v>
      </c>
    </row>
    <row r="2023" spans="2:6" x14ac:dyDescent="0.2">
      <c r="B2023" s="13">
        <f t="shared" ref="B2023:B2086" si="102">ROW()-3</f>
        <v>2020</v>
      </c>
      <c r="C2023" s="8">
        <f t="shared" ref="C2023:C2086" si="103">IF((D2022-C2022)=1,1,C2022+1)</f>
        <v>19</v>
      </c>
      <c r="D2023" s="8">
        <f t="shared" ref="D2023:D2086" si="104">IF((D2022-C2022)=1,D2022-1,D2022)</f>
        <v>21</v>
      </c>
      <c r="E2023" s="108">
        <f t="shared" ref="E2023:E2086" si="105">IFERROR(VLOOKUP(D2023,$H$4:$I$70,2,0),"")</f>
        <v>468</v>
      </c>
      <c r="F2023" s="109">
        <f t="shared" ref="F2023:F2086" si="106">IFERROR(VLOOKUP(C2023,$H$4:$I$70,2,0),"")</f>
        <v>478</v>
      </c>
    </row>
    <row r="2024" spans="2:6" x14ac:dyDescent="0.2">
      <c r="B2024" s="13">
        <f t="shared" si="102"/>
        <v>2021</v>
      </c>
      <c r="C2024" s="8">
        <f t="shared" si="103"/>
        <v>20</v>
      </c>
      <c r="D2024" s="8">
        <f t="shared" si="104"/>
        <v>21</v>
      </c>
      <c r="E2024" s="108">
        <f t="shared" si="105"/>
        <v>468</v>
      </c>
      <c r="F2024" s="109">
        <f t="shared" si="106"/>
        <v>474</v>
      </c>
    </row>
    <row r="2025" spans="2:6" x14ac:dyDescent="0.2">
      <c r="B2025" s="13">
        <f t="shared" si="102"/>
        <v>2022</v>
      </c>
      <c r="C2025" s="8">
        <f t="shared" si="103"/>
        <v>1</v>
      </c>
      <c r="D2025" s="8">
        <f t="shared" si="104"/>
        <v>20</v>
      </c>
      <c r="E2025" s="108">
        <f t="shared" si="105"/>
        <v>474</v>
      </c>
      <c r="F2025" s="109">
        <f t="shared" si="106"/>
        <v>1344</v>
      </c>
    </row>
    <row r="2026" spans="2:6" x14ac:dyDescent="0.2">
      <c r="B2026" s="13">
        <f t="shared" si="102"/>
        <v>2023</v>
      </c>
      <c r="C2026" s="8">
        <f t="shared" si="103"/>
        <v>2</v>
      </c>
      <c r="D2026" s="8">
        <f t="shared" si="104"/>
        <v>20</v>
      </c>
      <c r="E2026" s="108">
        <f t="shared" si="105"/>
        <v>474</v>
      </c>
      <c r="F2026" s="109">
        <f t="shared" si="106"/>
        <v>1048</v>
      </c>
    </row>
    <row r="2027" spans="2:6" x14ac:dyDescent="0.2">
      <c r="B2027" s="13">
        <f t="shared" si="102"/>
        <v>2024</v>
      </c>
      <c r="C2027" s="8">
        <f t="shared" si="103"/>
        <v>3</v>
      </c>
      <c r="D2027" s="8">
        <f t="shared" si="104"/>
        <v>20</v>
      </c>
      <c r="E2027" s="108">
        <f t="shared" si="105"/>
        <v>474</v>
      </c>
      <c r="F2027" s="109">
        <f t="shared" si="106"/>
        <v>1025</v>
      </c>
    </row>
    <row r="2028" spans="2:6" x14ac:dyDescent="0.2">
      <c r="B2028" s="13">
        <f t="shared" si="102"/>
        <v>2025</v>
      </c>
      <c r="C2028" s="8">
        <f t="shared" si="103"/>
        <v>4</v>
      </c>
      <c r="D2028" s="8">
        <f t="shared" si="104"/>
        <v>20</v>
      </c>
      <c r="E2028" s="108">
        <f t="shared" si="105"/>
        <v>474</v>
      </c>
      <c r="F2028" s="109">
        <f t="shared" si="106"/>
        <v>805</v>
      </c>
    </row>
    <row r="2029" spans="2:6" x14ac:dyDescent="0.2">
      <c r="B2029" s="13">
        <f t="shared" si="102"/>
        <v>2026</v>
      </c>
      <c r="C2029" s="8">
        <f t="shared" si="103"/>
        <v>5</v>
      </c>
      <c r="D2029" s="8">
        <f t="shared" si="104"/>
        <v>20</v>
      </c>
      <c r="E2029" s="108">
        <f t="shared" si="105"/>
        <v>474</v>
      </c>
      <c r="F2029" s="109">
        <f t="shared" si="106"/>
        <v>666</v>
      </c>
    </row>
    <row r="2030" spans="2:6" x14ac:dyDescent="0.2">
      <c r="B2030" s="13">
        <f t="shared" si="102"/>
        <v>2027</v>
      </c>
      <c r="C2030" s="8">
        <f t="shared" si="103"/>
        <v>6</v>
      </c>
      <c r="D2030" s="8">
        <f t="shared" si="104"/>
        <v>20</v>
      </c>
      <c r="E2030" s="108">
        <f t="shared" si="105"/>
        <v>474</v>
      </c>
      <c r="F2030" s="109">
        <f t="shared" si="106"/>
        <v>655</v>
      </c>
    </row>
    <row r="2031" spans="2:6" x14ac:dyDescent="0.2">
      <c r="B2031" s="13">
        <f t="shared" si="102"/>
        <v>2028</v>
      </c>
      <c r="C2031" s="8">
        <f t="shared" si="103"/>
        <v>7</v>
      </c>
      <c r="D2031" s="8">
        <f t="shared" si="104"/>
        <v>20</v>
      </c>
      <c r="E2031" s="108">
        <f t="shared" si="105"/>
        <v>474</v>
      </c>
      <c r="F2031" s="109">
        <f t="shared" si="106"/>
        <v>652</v>
      </c>
    </row>
    <row r="2032" spans="2:6" x14ac:dyDescent="0.2">
      <c r="B2032" s="13">
        <f t="shared" si="102"/>
        <v>2029</v>
      </c>
      <c r="C2032" s="8">
        <f t="shared" si="103"/>
        <v>8</v>
      </c>
      <c r="D2032" s="8">
        <f t="shared" si="104"/>
        <v>20</v>
      </c>
      <c r="E2032" s="108">
        <f t="shared" si="105"/>
        <v>474</v>
      </c>
      <c r="F2032" s="109">
        <f t="shared" si="106"/>
        <v>633</v>
      </c>
    </row>
    <row r="2033" spans="2:6" x14ac:dyDescent="0.2">
      <c r="B2033" s="13">
        <f t="shared" si="102"/>
        <v>2030</v>
      </c>
      <c r="C2033" s="8">
        <f t="shared" si="103"/>
        <v>9</v>
      </c>
      <c r="D2033" s="8">
        <f t="shared" si="104"/>
        <v>20</v>
      </c>
      <c r="E2033" s="108">
        <f t="shared" si="105"/>
        <v>474</v>
      </c>
      <c r="F2033" s="109">
        <f t="shared" si="106"/>
        <v>632</v>
      </c>
    </row>
    <row r="2034" spans="2:6" x14ac:dyDescent="0.2">
      <c r="B2034" s="13">
        <f t="shared" si="102"/>
        <v>2031</v>
      </c>
      <c r="C2034" s="8">
        <f t="shared" si="103"/>
        <v>10</v>
      </c>
      <c r="D2034" s="8">
        <f t="shared" si="104"/>
        <v>20</v>
      </c>
      <c r="E2034" s="108">
        <f t="shared" si="105"/>
        <v>474</v>
      </c>
      <c r="F2034" s="109">
        <f t="shared" si="106"/>
        <v>625</v>
      </c>
    </row>
    <row r="2035" spans="2:6" x14ac:dyDescent="0.2">
      <c r="B2035" s="13">
        <f t="shared" si="102"/>
        <v>2032</v>
      </c>
      <c r="C2035" s="8">
        <f t="shared" si="103"/>
        <v>11</v>
      </c>
      <c r="D2035" s="8">
        <f t="shared" si="104"/>
        <v>20</v>
      </c>
      <c r="E2035" s="108">
        <f t="shared" si="105"/>
        <v>474</v>
      </c>
      <c r="F2035" s="109">
        <f t="shared" si="106"/>
        <v>619</v>
      </c>
    </row>
    <row r="2036" spans="2:6" x14ac:dyDescent="0.2">
      <c r="B2036" s="13">
        <f t="shared" si="102"/>
        <v>2033</v>
      </c>
      <c r="C2036" s="8">
        <f t="shared" si="103"/>
        <v>12</v>
      </c>
      <c r="D2036" s="8">
        <f t="shared" si="104"/>
        <v>20</v>
      </c>
      <c r="E2036" s="108">
        <f t="shared" si="105"/>
        <v>474</v>
      </c>
      <c r="F2036" s="109">
        <f t="shared" si="106"/>
        <v>610</v>
      </c>
    </row>
    <row r="2037" spans="2:6" x14ac:dyDescent="0.2">
      <c r="B2037" s="13">
        <f t="shared" si="102"/>
        <v>2034</v>
      </c>
      <c r="C2037" s="8">
        <f t="shared" si="103"/>
        <v>13</v>
      </c>
      <c r="D2037" s="8">
        <f t="shared" si="104"/>
        <v>20</v>
      </c>
      <c r="E2037" s="108">
        <f t="shared" si="105"/>
        <v>474</v>
      </c>
      <c r="F2037" s="109">
        <f t="shared" si="106"/>
        <v>599</v>
      </c>
    </row>
    <row r="2038" spans="2:6" x14ac:dyDescent="0.2">
      <c r="B2038" s="13">
        <f t="shared" si="102"/>
        <v>2035</v>
      </c>
      <c r="C2038" s="8">
        <f t="shared" si="103"/>
        <v>14</v>
      </c>
      <c r="D2038" s="8">
        <f t="shared" si="104"/>
        <v>20</v>
      </c>
      <c r="E2038" s="108">
        <f t="shared" si="105"/>
        <v>474</v>
      </c>
      <c r="F2038" s="109">
        <f t="shared" si="106"/>
        <v>559</v>
      </c>
    </row>
    <row r="2039" spans="2:6" x14ac:dyDescent="0.2">
      <c r="B2039" s="13">
        <f t="shared" si="102"/>
        <v>2036</v>
      </c>
      <c r="C2039" s="8">
        <f t="shared" si="103"/>
        <v>15</v>
      </c>
      <c r="D2039" s="8">
        <f t="shared" si="104"/>
        <v>20</v>
      </c>
      <c r="E2039" s="108">
        <f t="shared" si="105"/>
        <v>474</v>
      </c>
      <c r="F2039" s="109">
        <f t="shared" si="106"/>
        <v>556</v>
      </c>
    </row>
    <row r="2040" spans="2:6" x14ac:dyDescent="0.2">
      <c r="B2040" s="13">
        <f t="shared" si="102"/>
        <v>2037</v>
      </c>
      <c r="C2040" s="8">
        <f t="shared" si="103"/>
        <v>16</v>
      </c>
      <c r="D2040" s="8">
        <f t="shared" si="104"/>
        <v>20</v>
      </c>
      <c r="E2040" s="108">
        <f t="shared" si="105"/>
        <v>474</v>
      </c>
      <c r="F2040" s="109">
        <f t="shared" si="106"/>
        <v>540</v>
      </c>
    </row>
    <row r="2041" spans="2:6" x14ac:dyDescent="0.2">
      <c r="B2041" s="13">
        <f t="shared" si="102"/>
        <v>2038</v>
      </c>
      <c r="C2041" s="8">
        <f t="shared" si="103"/>
        <v>17</v>
      </c>
      <c r="D2041" s="8">
        <f t="shared" si="104"/>
        <v>20</v>
      </c>
      <c r="E2041" s="108">
        <f t="shared" si="105"/>
        <v>474</v>
      </c>
      <c r="F2041" s="109">
        <f t="shared" si="106"/>
        <v>536</v>
      </c>
    </row>
    <row r="2042" spans="2:6" x14ac:dyDescent="0.2">
      <c r="B2042" s="13">
        <f t="shared" si="102"/>
        <v>2039</v>
      </c>
      <c r="C2042" s="8">
        <f t="shared" si="103"/>
        <v>18</v>
      </c>
      <c r="D2042" s="8">
        <f t="shared" si="104"/>
        <v>20</v>
      </c>
      <c r="E2042" s="108">
        <f t="shared" si="105"/>
        <v>474</v>
      </c>
      <c r="F2042" s="109">
        <f t="shared" si="106"/>
        <v>527</v>
      </c>
    </row>
    <row r="2043" spans="2:6" x14ac:dyDescent="0.2">
      <c r="B2043" s="13">
        <f t="shared" si="102"/>
        <v>2040</v>
      </c>
      <c r="C2043" s="8">
        <f t="shared" si="103"/>
        <v>19</v>
      </c>
      <c r="D2043" s="8">
        <f t="shared" si="104"/>
        <v>20</v>
      </c>
      <c r="E2043" s="108">
        <f t="shared" si="105"/>
        <v>474</v>
      </c>
      <c r="F2043" s="109">
        <f t="shared" si="106"/>
        <v>478</v>
      </c>
    </row>
    <row r="2044" spans="2:6" x14ac:dyDescent="0.2">
      <c r="B2044" s="13">
        <f t="shared" si="102"/>
        <v>2041</v>
      </c>
      <c r="C2044" s="8">
        <f t="shared" si="103"/>
        <v>1</v>
      </c>
      <c r="D2044" s="8">
        <f t="shared" si="104"/>
        <v>19</v>
      </c>
      <c r="E2044" s="108">
        <f t="shared" si="105"/>
        <v>478</v>
      </c>
      <c r="F2044" s="109">
        <f t="shared" si="106"/>
        <v>1344</v>
      </c>
    </row>
    <row r="2045" spans="2:6" x14ac:dyDescent="0.2">
      <c r="B2045" s="13">
        <f t="shared" si="102"/>
        <v>2042</v>
      </c>
      <c r="C2045" s="8">
        <f t="shared" si="103"/>
        <v>2</v>
      </c>
      <c r="D2045" s="8">
        <f t="shared" si="104"/>
        <v>19</v>
      </c>
      <c r="E2045" s="108">
        <f t="shared" si="105"/>
        <v>478</v>
      </c>
      <c r="F2045" s="109">
        <f t="shared" si="106"/>
        <v>1048</v>
      </c>
    </row>
    <row r="2046" spans="2:6" x14ac:dyDescent="0.2">
      <c r="B2046" s="13">
        <f t="shared" si="102"/>
        <v>2043</v>
      </c>
      <c r="C2046" s="8">
        <f t="shared" si="103"/>
        <v>3</v>
      </c>
      <c r="D2046" s="8">
        <f t="shared" si="104"/>
        <v>19</v>
      </c>
      <c r="E2046" s="108">
        <f t="shared" si="105"/>
        <v>478</v>
      </c>
      <c r="F2046" s="109">
        <f t="shared" si="106"/>
        <v>1025</v>
      </c>
    </row>
    <row r="2047" spans="2:6" x14ac:dyDescent="0.2">
      <c r="B2047" s="13">
        <f t="shared" si="102"/>
        <v>2044</v>
      </c>
      <c r="C2047" s="8">
        <f t="shared" si="103"/>
        <v>4</v>
      </c>
      <c r="D2047" s="8">
        <f t="shared" si="104"/>
        <v>19</v>
      </c>
      <c r="E2047" s="108">
        <f t="shared" si="105"/>
        <v>478</v>
      </c>
      <c r="F2047" s="109">
        <f t="shared" si="106"/>
        <v>805</v>
      </c>
    </row>
    <row r="2048" spans="2:6" x14ac:dyDescent="0.2">
      <c r="B2048" s="13">
        <f t="shared" si="102"/>
        <v>2045</v>
      </c>
      <c r="C2048" s="8">
        <f t="shared" si="103"/>
        <v>5</v>
      </c>
      <c r="D2048" s="8">
        <f t="shared" si="104"/>
        <v>19</v>
      </c>
      <c r="E2048" s="108">
        <f t="shared" si="105"/>
        <v>478</v>
      </c>
      <c r="F2048" s="109">
        <f t="shared" si="106"/>
        <v>666</v>
      </c>
    </row>
    <row r="2049" spans="2:6" x14ac:dyDescent="0.2">
      <c r="B2049" s="13">
        <f t="shared" si="102"/>
        <v>2046</v>
      </c>
      <c r="C2049" s="8">
        <f t="shared" si="103"/>
        <v>6</v>
      </c>
      <c r="D2049" s="8">
        <f t="shared" si="104"/>
        <v>19</v>
      </c>
      <c r="E2049" s="108">
        <f t="shared" si="105"/>
        <v>478</v>
      </c>
      <c r="F2049" s="109">
        <f t="shared" si="106"/>
        <v>655</v>
      </c>
    </row>
    <row r="2050" spans="2:6" x14ac:dyDescent="0.2">
      <c r="B2050" s="13">
        <f t="shared" si="102"/>
        <v>2047</v>
      </c>
      <c r="C2050" s="8">
        <f t="shared" si="103"/>
        <v>7</v>
      </c>
      <c r="D2050" s="8">
        <f t="shared" si="104"/>
        <v>19</v>
      </c>
      <c r="E2050" s="108">
        <f t="shared" si="105"/>
        <v>478</v>
      </c>
      <c r="F2050" s="109">
        <f t="shared" si="106"/>
        <v>652</v>
      </c>
    </row>
    <row r="2051" spans="2:6" x14ac:dyDescent="0.2">
      <c r="B2051" s="13">
        <f t="shared" si="102"/>
        <v>2048</v>
      </c>
      <c r="C2051" s="8">
        <f t="shared" si="103"/>
        <v>8</v>
      </c>
      <c r="D2051" s="8">
        <f t="shared" si="104"/>
        <v>19</v>
      </c>
      <c r="E2051" s="108">
        <f t="shared" si="105"/>
        <v>478</v>
      </c>
      <c r="F2051" s="109">
        <f t="shared" si="106"/>
        <v>633</v>
      </c>
    </row>
    <row r="2052" spans="2:6" x14ac:dyDescent="0.2">
      <c r="B2052" s="13">
        <f t="shared" si="102"/>
        <v>2049</v>
      </c>
      <c r="C2052" s="8">
        <f t="shared" si="103"/>
        <v>9</v>
      </c>
      <c r="D2052" s="8">
        <f t="shared" si="104"/>
        <v>19</v>
      </c>
      <c r="E2052" s="108">
        <f t="shared" si="105"/>
        <v>478</v>
      </c>
      <c r="F2052" s="109">
        <f t="shared" si="106"/>
        <v>632</v>
      </c>
    </row>
    <row r="2053" spans="2:6" x14ac:dyDescent="0.2">
      <c r="B2053" s="13">
        <f t="shared" si="102"/>
        <v>2050</v>
      </c>
      <c r="C2053" s="8">
        <f t="shared" si="103"/>
        <v>10</v>
      </c>
      <c r="D2053" s="8">
        <f t="shared" si="104"/>
        <v>19</v>
      </c>
      <c r="E2053" s="108">
        <f t="shared" si="105"/>
        <v>478</v>
      </c>
      <c r="F2053" s="109">
        <f t="shared" si="106"/>
        <v>625</v>
      </c>
    </row>
    <row r="2054" spans="2:6" x14ac:dyDescent="0.2">
      <c r="B2054" s="13">
        <f t="shared" si="102"/>
        <v>2051</v>
      </c>
      <c r="C2054" s="8">
        <f t="shared" si="103"/>
        <v>11</v>
      </c>
      <c r="D2054" s="8">
        <f t="shared" si="104"/>
        <v>19</v>
      </c>
      <c r="E2054" s="108">
        <f t="shared" si="105"/>
        <v>478</v>
      </c>
      <c r="F2054" s="109">
        <f t="shared" si="106"/>
        <v>619</v>
      </c>
    </row>
    <row r="2055" spans="2:6" x14ac:dyDescent="0.2">
      <c r="B2055" s="13">
        <f t="shared" si="102"/>
        <v>2052</v>
      </c>
      <c r="C2055" s="8">
        <f t="shared" si="103"/>
        <v>12</v>
      </c>
      <c r="D2055" s="8">
        <f t="shared" si="104"/>
        <v>19</v>
      </c>
      <c r="E2055" s="108">
        <f t="shared" si="105"/>
        <v>478</v>
      </c>
      <c r="F2055" s="109">
        <f t="shared" si="106"/>
        <v>610</v>
      </c>
    </row>
    <row r="2056" spans="2:6" x14ac:dyDescent="0.2">
      <c r="B2056" s="13">
        <f t="shared" si="102"/>
        <v>2053</v>
      </c>
      <c r="C2056" s="8">
        <f t="shared" si="103"/>
        <v>13</v>
      </c>
      <c r="D2056" s="8">
        <f t="shared" si="104"/>
        <v>19</v>
      </c>
      <c r="E2056" s="108">
        <f t="shared" si="105"/>
        <v>478</v>
      </c>
      <c r="F2056" s="109">
        <f t="shared" si="106"/>
        <v>599</v>
      </c>
    </row>
    <row r="2057" spans="2:6" x14ac:dyDescent="0.2">
      <c r="B2057" s="13">
        <f t="shared" si="102"/>
        <v>2054</v>
      </c>
      <c r="C2057" s="8">
        <f t="shared" si="103"/>
        <v>14</v>
      </c>
      <c r="D2057" s="8">
        <f t="shared" si="104"/>
        <v>19</v>
      </c>
      <c r="E2057" s="108">
        <f t="shared" si="105"/>
        <v>478</v>
      </c>
      <c r="F2057" s="109">
        <f t="shared" si="106"/>
        <v>559</v>
      </c>
    </row>
    <row r="2058" spans="2:6" x14ac:dyDescent="0.2">
      <c r="B2058" s="13">
        <f t="shared" si="102"/>
        <v>2055</v>
      </c>
      <c r="C2058" s="8">
        <f t="shared" si="103"/>
        <v>15</v>
      </c>
      <c r="D2058" s="8">
        <f t="shared" si="104"/>
        <v>19</v>
      </c>
      <c r="E2058" s="108">
        <f t="shared" si="105"/>
        <v>478</v>
      </c>
      <c r="F2058" s="109">
        <f t="shared" si="106"/>
        <v>556</v>
      </c>
    </row>
    <row r="2059" spans="2:6" x14ac:dyDescent="0.2">
      <c r="B2059" s="13">
        <f t="shared" si="102"/>
        <v>2056</v>
      </c>
      <c r="C2059" s="8">
        <f t="shared" si="103"/>
        <v>16</v>
      </c>
      <c r="D2059" s="8">
        <f t="shared" si="104"/>
        <v>19</v>
      </c>
      <c r="E2059" s="108">
        <f t="shared" si="105"/>
        <v>478</v>
      </c>
      <c r="F2059" s="109">
        <f t="shared" si="106"/>
        <v>540</v>
      </c>
    </row>
    <row r="2060" spans="2:6" x14ac:dyDescent="0.2">
      <c r="B2060" s="13">
        <f t="shared" si="102"/>
        <v>2057</v>
      </c>
      <c r="C2060" s="8">
        <f t="shared" si="103"/>
        <v>17</v>
      </c>
      <c r="D2060" s="8">
        <f t="shared" si="104"/>
        <v>19</v>
      </c>
      <c r="E2060" s="108">
        <f t="shared" si="105"/>
        <v>478</v>
      </c>
      <c r="F2060" s="109">
        <f t="shared" si="106"/>
        <v>536</v>
      </c>
    </row>
    <row r="2061" spans="2:6" x14ac:dyDescent="0.2">
      <c r="B2061" s="13">
        <f t="shared" si="102"/>
        <v>2058</v>
      </c>
      <c r="C2061" s="8">
        <f t="shared" si="103"/>
        <v>18</v>
      </c>
      <c r="D2061" s="8">
        <f t="shared" si="104"/>
        <v>19</v>
      </c>
      <c r="E2061" s="108">
        <f t="shared" si="105"/>
        <v>478</v>
      </c>
      <c r="F2061" s="109">
        <f t="shared" si="106"/>
        <v>527</v>
      </c>
    </row>
    <row r="2062" spans="2:6" x14ac:dyDescent="0.2">
      <c r="B2062" s="13">
        <f t="shared" si="102"/>
        <v>2059</v>
      </c>
      <c r="C2062" s="8">
        <f t="shared" si="103"/>
        <v>1</v>
      </c>
      <c r="D2062" s="8">
        <f t="shared" si="104"/>
        <v>18</v>
      </c>
      <c r="E2062" s="108">
        <f t="shared" si="105"/>
        <v>527</v>
      </c>
      <c r="F2062" s="109">
        <f t="shared" si="106"/>
        <v>1344</v>
      </c>
    </row>
    <row r="2063" spans="2:6" x14ac:dyDescent="0.2">
      <c r="B2063" s="13">
        <f t="shared" si="102"/>
        <v>2060</v>
      </c>
      <c r="C2063" s="8">
        <f t="shared" si="103"/>
        <v>2</v>
      </c>
      <c r="D2063" s="8">
        <f t="shared" si="104"/>
        <v>18</v>
      </c>
      <c r="E2063" s="108">
        <f t="shared" si="105"/>
        <v>527</v>
      </c>
      <c r="F2063" s="109">
        <f t="shared" si="106"/>
        <v>1048</v>
      </c>
    </row>
    <row r="2064" spans="2:6" x14ac:dyDescent="0.2">
      <c r="B2064" s="13">
        <f t="shared" si="102"/>
        <v>2061</v>
      </c>
      <c r="C2064" s="8">
        <f t="shared" si="103"/>
        <v>3</v>
      </c>
      <c r="D2064" s="8">
        <f t="shared" si="104"/>
        <v>18</v>
      </c>
      <c r="E2064" s="108">
        <f t="shared" si="105"/>
        <v>527</v>
      </c>
      <c r="F2064" s="109">
        <f t="shared" si="106"/>
        <v>1025</v>
      </c>
    </row>
    <row r="2065" spans="2:6" x14ac:dyDescent="0.2">
      <c r="B2065" s="13">
        <f t="shared" si="102"/>
        <v>2062</v>
      </c>
      <c r="C2065" s="8">
        <f t="shared" si="103"/>
        <v>4</v>
      </c>
      <c r="D2065" s="8">
        <f t="shared" si="104"/>
        <v>18</v>
      </c>
      <c r="E2065" s="108">
        <f t="shared" si="105"/>
        <v>527</v>
      </c>
      <c r="F2065" s="109">
        <f t="shared" si="106"/>
        <v>805</v>
      </c>
    </row>
    <row r="2066" spans="2:6" x14ac:dyDescent="0.2">
      <c r="B2066" s="13">
        <f t="shared" si="102"/>
        <v>2063</v>
      </c>
      <c r="C2066" s="8">
        <f t="shared" si="103"/>
        <v>5</v>
      </c>
      <c r="D2066" s="8">
        <f t="shared" si="104"/>
        <v>18</v>
      </c>
      <c r="E2066" s="108">
        <f t="shared" si="105"/>
        <v>527</v>
      </c>
      <c r="F2066" s="109">
        <f t="shared" si="106"/>
        <v>666</v>
      </c>
    </row>
    <row r="2067" spans="2:6" x14ac:dyDescent="0.2">
      <c r="B2067" s="13">
        <f t="shared" si="102"/>
        <v>2064</v>
      </c>
      <c r="C2067" s="8">
        <f t="shared" si="103"/>
        <v>6</v>
      </c>
      <c r="D2067" s="8">
        <f t="shared" si="104"/>
        <v>18</v>
      </c>
      <c r="E2067" s="108">
        <f t="shared" si="105"/>
        <v>527</v>
      </c>
      <c r="F2067" s="109">
        <f t="shared" si="106"/>
        <v>655</v>
      </c>
    </row>
    <row r="2068" spans="2:6" x14ac:dyDescent="0.2">
      <c r="B2068" s="13">
        <f t="shared" si="102"/>
        <v>2065</v>
      </c>
      <c r="C2068" s="8">
        <f t="shared" si="103"/>
        <v>7</v>
      </c>
      <c r="D2068" s="8">
        <f t="shared" si="104"/>
        <v>18</v>
      </c>
      <c r="E2068" s="108">
        <f t="shared" si="105"/>
        <v>527</v>
      </c>
      <c r="F2068" s="109">
        <f t="shared" si="106"/>
        <v>652</v>
      </c>
    </row>
    <row r="2069" spans="2:6" x14ac:dyDescent="0.2">
      <c r="B2069" s="13">
        <f t="shared" si="102"/>
        <v>2066</v>
      </c>
      <c r="C2069" s="8">
        <f t="shared" si="103"/>
        <v>8</v>
      </c>
      <c r="D2069" s="8">
        <f t="shared" si="104"/>
        <v>18</v>
      </c>
      <c r="E2069" s="108">
        <f t="shared" si="105"/>
        <v>527</v>
      </c>
      <c r="F2069" s="109">
        <f t="shared" si="106"/>
        <v>633</v>
      </c>
    </row>
    <row r="2070" spans="2:6" x14ac:dyDescent="0.2">
      <c r="B2070" s="13">
        <f t="shared" si="102"/>
        <v>2067</v>
      </c>
      <c r="C2070" s="8">
        <f t="shared" si="103"/>
        <v>9</v>
      </c>
      <c r="D2070" s="8">
        <f t="shared" si="104"/>
        <v>18</v>
      </c>
      <c r="E2070" s="108">
        <f t="shared" si="105"/>
        <v>527</v>
      </c>
      <c r="F2070" s="109">
        <f t="shared" si="106"/>
        <v>632</v>
      </c>
    </row>
    <row r="2071" spans="2:6" x14ac:dyDescent="0.2">
      <c r="B2071" s="13">
        <f t="shared" si="102"/>
        <v>2068</v>
      </c>
      <c r="C2071" s="8">
        <f t="shared" si="103"/>
        <v>10</v>
      </c>
      <c r="D2071" s="8">
        <f t="shared" si="104"/>
        <v>18</v>
      </c>
      <c r="E2071" s="108">
        <f t="shared" si="105"/>
        <v>527</v>
      </c>
      <c r="F2071" s="109">
        <f t="shared" si="106"/>
        <v>625</v>
      </c>
    </row>
    <row r="2072" spans="2:6" x14ac:dyDescent="0.2">
      <c r="B2072" s="13">
        <f t="shared" si="102"/>
        <v>2069</v>
      </c>
      <c r="C2072" s="8">
        <f t="shared" si="103"/>
        <v>11</v>
      </c>
      <c r="D2072" s="8">
        <f t="shared" si="104"/>
        <v>18</v>
      </c>
      <c r="E2072" s="108">
        <f t="shared" si="105"/>
        <v>527</v>
      </c>
      <c r="F2072" s="109">
        <f t="shared" si="106"/>
        <v>619</v>
      </c>
    </row>
    <row r="2073" spans="2:6" x14ac:dyDescent="0.2">
      <c r="B2073" s="13">
        <f t="shared" si="102"/>
        <v>2070</v>
      </c>
      <c r="C2073" s="8">
        <f t="shared" si="103"/>
        <v>12</v>
      </c>
      <c r="D2073" s="8">
        <f t="shared" si="104"/>
        <v>18</v>
      </c>
      <c r="E2073" s="108">
        <f t="shared" si="105"/>
        <v>527</v>
      </c>
      <c r="F2073" s="109">
        <f t="shared" si="106"/>
        <v>610</v>
      </c>
    </row>
    <row r="2074" spans="2:6" x14ac:dyDescent="0.2">
      <c r="B2074" s="13">
        <f t="shared" si="102"/>
        <v>2071</v>
      </c>
      <c r="C2074" s="8">
        <f t="shared" si="103"/>
        <v>13</v>
      </c>
      <c r="D2074" s="8">
        <f t="shared" si="104"/>
        <v>18</v>
      </c>
      <c r="E2074" s="108">
        <f t="shared" si="105"/>
        <v>527</v>
      </c>
      <c r="F2074" s="109">
        <f t="shared" si="106"/>
        <v>599</v>
      </c>
    </row>
    <row r="2075" spans="2:6" x14ac:dyDescent="0.2">
      <c r="B2075" s="13">
        <f t="shared" si="102"/>
        <v>2072</v>
      </c>
      <c r="C2075" s="8">
        <f t="shared" si="103"/>
        <v>14</v>
      </c>
      <c r="D2075" s="8">
        <f t="shared" si="104"/>
        <v>18</v>
      </c>
      <c r="E2075" s="108">
        <f t="shared" si="105"/>
        <v>527</v>
      </c>
      <c r="F2075" s="109">
        <f t="shared" si="106"/>
        <v>559</v>
      </c>
    </row>
    <row r="2076" spans="2:6" x14ac:dyDescent="0.2">
      <c r="B2076" s="13">
        <f t="shared" si="102"/>
        <v>2073</v>
      </c>
      <c r="C2076" s="8">
        <f t="shared" si="103"/>
        <v>15</v>
      </c>
      <c r="D2076" s="8">
        <f t="shared" si="104"/>
        <v>18</v>
      </c>
      <c r="E2076" s="108">
        <f t="shared" si="105"/>
        <v>527</v>
      </c>
      <c r="F2076" s="109">
        <f t="shared" si="106"/>
        <v>556</v>
      </c>
    </row>
    <row r="2077" spans="2:6" x14ac:dyDescent="0.2">
      <c r="B2077" s="13">
        <f t="shared" si="102"/>
        <v>2074</v>
      </c>
      <c r="C2077" s="8">
        <f t="shared" si="103"/>
        <v>16</v>
      </c>
      <c r="D2077" s="8">
        <f t="shared" si="104"/>
        <v>18</v>
      </c>
      <c r="E2077" s="108">
        <f t="shared" si="105"/>
        <v>527</v>
      </c>
      <c r="F2077" s="109">
        <f t="shared" si="106"/>
        <v>540</v>
      </c>
    </row>
    <row r="2078" spans="2:6" x14ac:dyDescent="0.2">
      <c r="B2078" s="13">
        <f t="shared" si="102"/>
        <v>2075</v>
      </c>
      <c r="C2078" s="8">
        <f t="shared" si="103"/>
        <v>17</v>
      </c>
      <c r="D2078" s="8">
        <f t="shared" si="104"/>
        <v>18</v>
      </c>
      <c r="E2078" s="108">
        <f t="shared" si="105"/>
        <v>527</v>
      </c>
      <c r="F2078" s="109">
        <f t="shared" si="106"/>
        <v>536</v>
      </c>
    </row>
    <row r="2079" spans="2:6" x14ac:dyDescent="0.2">
      <c r="B2079" s="13">
        <f t="shared" si="102"/>
        <v>2076</v>
      </c>
      <c r="C2079" s="8">
        <f t="shared" si="103"/>
        <v>1</v>
      </c>
      <c r="D2079" s="8">
        <f t="shared" si="104"/>
        <v>17</v>
      </c>
      <c r="E2079" s="108">
        <f t="shared" si="105"/>
        <v>536</v>
      </c>
      <c r="F2079" s="109">
        <f t="shared" si="106"/>
        <v>1344</v>
      </c>
    </row>
    <row r="2080" spans="2:6" x14ac:dyDescent="0.2">
      <c r="B2080" s="13">
        <f t="shared" si="102"/>
        <v>2077</v>
      </c>
      <c r="C2080" s="8">
        <f t="shared" si="103"/>
        <v>2</v>
      </c>
      <c r="D2080" s="8">
        <f t="shared" si="104"/>
        <v>17</v>
      </c>
      <c r="E2080" s="108">
        <f t="shared" si="105"/>
        <v>536</v>
      </c>
      <c r="F2080" s="109">
        <f t="shared" si="106"/>
        <v>1048</v>
      </c>
    </row>
    <row r="2081" spans="2:6" x14ac:dyDescent="0.2">
      <c r="B2081" s="13">
        <f t="shared" si="102"/>
        <v>2078</v>
      </c>
      <c r="C2081" s="8">
        <f t="shared" si="103"/>
        <v>3</v>
      </c>
      <c r="D2081" s="8">
        <f t="shared" si="104"/>
        <v>17</v>
      </c>
      <c r="E2081" s="108">
        <f t="shared" si="105"/>
        <v>536</v>
      </c>
      <c r="F2081" s="109">
        <f t="shared" si="106"/>
        <v>1025</v>
      </c>
    </row>
    <row r="2082" spans="2:6" x14ac:dyDescent="0.2">
      <c r="B2082" s="13">
        <f t="shared" si="102"/>
        <v>2079</v>
      </c>
      <c r="C2082" s="8">
        <f t="shared" si="103"/>
        <v>4</v>
      </c>
      <c r="D2082" s="8">
        <f t="shared" si="104"/>
        <v>17</v>
      </c>
      <c r="E2082" s="108">
        <f t="shared" si="105"/>
        <v>536</v>
      </c>
      <c r="F2082" s="109">
        <f t="shared" si="106"/>
        <v>805</v>
      </c>
    </row>
    <row r="2083" spans="2:6" x14ac:dyDescent="0.2">
      <c r="B2083" s="13">
        <f t="shared" si="102"/>
        <v>2080</v>
      </c>
      <c r="C2083" s="8">
        <f t="shared" si="103"/>
        <v>5</v>
      </c>
      <c r="D2083" s="8">
        <f t="shared" si="104"/>
        <v>17</v>
      </c>
      <c r="E2083" s="108">
        <f t="shared" si="105"/>
        <v>536</v>
      </c>
      <c r="F2083" s="109">
        <f t="shared" si="106"/>
        <v>666</v>
      </c>
    </row>
    <row r="2084" spans="2:6" x14ac:dyDescent="0.2">
      <c r="B2084" s="13">
        <f t="shared" si="102"/>
        <v>2081</v>
      </c>
      <c r="C2084" s="8">
        <f t="shared" si="103"/>
        <v>6</v>
      </c>
      <c r="D2084" s="8">
        <f t="shared" si="104"/>
        <v>17</v>
      </c>
      <c r="E2084" s="108">
        <f t="shared" si="105"/>
        <v>536</v>
      </c>
      <c r="F2084" s="109">
        <f t="shared" si="106"/>
        <v>655</v>
      </c>
    </row>
    <row r="2085" spans="2:6" x14ac:dyDescent="0.2">
      <c r="B2085" s="13">
        <f t="shared" si="102"/>
        <v>2082</v>
      </c>
      <c r="C2085" s="8">
        <f t="shared" si="103"/>
        <v>7</v>
      </c>
      <c r="D2085" s="8">
        <f t="shared" si="104"/>
        <v>17</v>
      </c>
      <c r="E2085" s="108">
        <f t="shared" si="105"/>
        <v>536</v>
      </c>
      <c r="F2085" s="109">
        <f t="shared" si="106"/>
        <v>652</v>
      </c>
    </row>
    <row r="2086" spans="2:6" x14ac:dyDescent="0.2">
      <c r="B2086" s="13">
        <f t="shared" si="102"/>
        <v>2083</v>
      </c>
      <c r="C2086" s="8">
        <f t="shared" si="103"/>
        <v>8</v>
      </c>
      <c r="D2086" s="8">
        <f t="shared" si="104"/>
        <v>17</v>
      </c>
      <c r="E2086" s="108">
        <f t="shared" si="105"/>
        <v>536</v>
      </c>
      <c r="F2086" s="109">
        <f t="shared" si="106"/>
        <v>633</v>
      </c>
    </row>
    <row r="2087" spans="2:6" x14ac:dyDescent="0.2">
      <c r="B2087" s="13">
        <f t="shared" ref="B2087:B2150" si="107">ROW()-3</f>
        <v>2084</v>
      </c>
      <c r="C2087" s="8">
        <f t="shared" ref="C2087:C2150" si="108">IF((D2086-C2086)=1,1,C2086+1)</f>
        <v>9</v>
      </c>
      <c r="D2087" s="8">
        <f t="shared" ref="D2087:D2150" si="109">IF((D2086-C2086)=1,D2086-1,D2086)</f>
        <v>17</v>
      </c>
      <c r="E2087" s="108">
        <f t="shared" ref="E2087:E2150" si="110">IFERROR(VLOOKUP(D2087,$H$4:$I$70,2,0),"")</f>
        <v>536</v>
      </c>
      <c r="F2087" s="109">
        <f t="shared" ref="F2087:F2150" si="111">IFERROR(VLOOKUP(C2087,$H$4:$I$70,2,0),"")</f>
        <v>632</v>
      </c>
    </row>
    <row r="2088" spans="2:6" x14ac:dyDescent="0.2">
      <c r="B2088" s="13">
        <f t="shared" si="107"/>
        <v>2085</v>
      </c>
      <c r="C2088" s="8">
        <f t="shared" si="108"/>
        <v>10</v>
      </c>
      <c r="D2088" s="8">
        <f t="shared" si="109"/>
        <v>17</v>
      </c>
      <c r="E2088" s="108">
        <f t="shared" si="110"/>
        <v>536</v>
      </c>
      <c r="F2088" s="109">
        <f t="shared" si="111"/>
        <v>625</v>
      </c>
    </row>
    <row r="2089" spans="2:6" x14ac:dyDescent="0.2">
      <c r="B2089" s="13">
        <f t="shared" si="107"/>
        <v>2086</v>
      </c>
      <c r="C2089" s="8">
        <f t="shared" si="108"/>
        <v>11</v>
      </c>
      <c r="D2089" s="8">
        <f t="shared" si="109"/>
        <v>17</v>
      </c>
      <c r="E2089" s="108">
        <f t="shared" si="110"/>
        <v>536</v>
      </c>
      <c r="F2089" s="109">
        <f t="shared" si="111"/>
        <v>619</v>
      </c>
    </row>
    <row r="2090" spans="2:6" x14ac:dyDescent="0.2">
      <c r="B2090" s="13">
        <f t="shared" si="107"/>
        <v>2087</v>
      </c>
      <c r="C2090" s="8">
        <f t="shared" si="108"/>
        <v>12</v>
      </c>
      <c r="D2090" s="8">
        <f t="shared" si="109"/>
        <v>17</v>
      </c>
      <c r="E2090" s="108">
        <f t="shared" si="110"/>
        <v>536</v>
      </c>
      <c r="F2090" s="109">
        <f t="shared" si="111"/>
        <v>610</v>
      </c>
    </row>
    <row r="2091" spans="2:6" x14ac:dyDescent="0.2">
      <c r="B2091" s="13">
        <f t="shared" si="107"/>
        <v>2088</v>
      </c>
      <c r="C2091" s="8">
        <f t="shared" si="108"/>
        <v>13</v>
      </c>
      <c r="D2091" s="8">
        <f t="shared" si="109"/>
        <v>17</v>
      </c>
      <c r="E2091" s="108">
        <f t="shared" si="110"/>
        <v>536</v>
      </c>
      <c r="F2091" s="109">
        <f t="shared" si="111"/>
        <v>599</v>
      </c>
    </row>
    <row r="2092" spans="2:6" x14ac:dyDescent="0.2">
      <c r="B2092" s="13">
        <f t="shared" si="107"/>
        <v>2089</v>
      </c>
      <c r="C2092" s="8">
        <f t="shared" si="108"/>
        <v>14</v>
      </c>
      <c r="D2092" s="8">
        <f t="shared" si="109"/>
        <v>17</v>
      </c>
      <c r="E2092" s="108">
        <f t="shared" si="110"/>
        <v>536</v>
      </c>
      <c r="F2092" s="109">
        <f t="shared" si="111"/>
        <v>559</v>
      </c>
    </row>
    <row r="2093" spans="2:6" x14ac:dyDescent="0.2">
      <c r="B2093" s="13">
        <f t="shared" si="107"/>
        <v>2090</v>
      </c>
      <c r="C2093" s="8">
        <f t="shared" si="108"/>
        <v>15</v>
      </c>
      <c r="D2093" s="8">
        <f t="shared" si="109"/>
        <v>17</v>
      </c>
      <c r="E2093" s="108">
        <f t="shared" si="110"/>
        <v>536</v>
      </c>
      <c r="F2093" s="109">
        <f t="shared" si="111"/>
        <v>556</v>
      </c>
    </row>
    <row r="2094" spans="2:6" x14ac:dyDescent="0.2">
      <c r="B2094" s="13">
        <f t="shared" si="107"/>
        <v>2091</v>
      </c>
      <c r="C2094" s="8">
        <f t="shared" si="108"/>
        <v>16</v>
      </c>
      <c r="D2094" s="8">
        <f t="shared" si="109"/>
        <v>17</v>
      </c>
      <c r="E2094" s="108">
        <f t="shared" si="110"/>
        <v>536</v>
      </c>
      <c r="F2094" s="109">
        <f t="shared" si="111"/>
        <v>540</v>
      </c>
    </row>
    <row r="2095" spans="2:6" x14ac:dyDescent="0.2">
      <c r="B2095" s="13">
        <f t="shared" si="107"/>
        <v>2092</v>
      </c>
      <c r="C2095" s="8">
        <f t="shared" si="108"/>
        <v>1</v>
      </c>
      <c r="D2095" s="8">
        <f t="shared" si="109"/>
        <v>16</v>
      </c>
      <c r="E2095" s="108">
        <f t="shared" si="110"/>
        <v>540</v>
      </c>
      <c r="F2095" s="109">
        <f t="shared" si="111"/>
        <v>1344</v>
      </c>
    </row>
    <row r="2096" spans="2:6" x14ac:dyDescent="0.2">
      <c r="B2096" s="13">
        <f t="shared" si="107"/>
        <v>2093</v>
      </c>
      <c r="C2096" s="8">
        <f t="shared" si="108"/>
        <v>2</v>
      </c>
      <c r="D2096" s="8">
        <f t="shared" si="109"/>
        <v>16</v>
      </c>
      <c r="E2096" s="108">
        <f t="shared" si="110"/>
        <v>540</v>
      </c>
      <c r="F2096" s="109">
        <f t="shared" si="111"/>
        <v>1048</v>
      </c>
    </row>
    <row r="2097" spans="2:6" x14ac:dyDescent="0.2">
      <c r="B2097" s="13">
        <f t="shared" si="107"/>
        <v>2094</v>
      </c>
      <c r="C2097" s="8">
        <f t="shared" si="108"/>
        <v>3</v>
      </c>
      <c r="D2097" s="8">
        <f t="shared" si="109"/>
        <v>16</v>
      </c>
      <c r="E2097" s="108">
        <f t="shared" si="110"/>
        <v>540</v>
      </c>
      <c r="F2097" s="109">
        <f t="shared" si="111"/>
        <v>1025</v>
      </c>
    </row>
    <row r="2098" spans="2:6" x14ac:dyDescent="0.2">
      <c r="B2098" s="13">
        <f t="shared" si="107"/>
        <v>2095</v>
      </c>
      <c r="C2098" s="8">
        <f t="shared" si="108"/>
        <v>4</v>
      </c>
      <c r="D2098" s="8">
        <f t="shared" si="109"/>
        <v>16</v>
      </c>
      <c r="E2098" s="108">
        <f t="shared" si="110"/>
        <v>540</v>
      </c>
      <c r="F2098" s="109">
        <f t="shared" si="111"/>
        <v>805</v>
      </c>
    </row>
    <row r="2099" spans="2:6" x14ac:dyDescent="0.2">
      <c r="B2099" s="13">
        <f t="shared" si="107"/>
        <v>2096</v>
      </c>
      <c r="C2099" s="8">
        <f t="shared" si="108"/>
        <v>5</v>
      </c>
      <c r="D2099" s="8">
        <f t="shared" si="109"/>
        <v>16</v>
      </c>
      <c r="E2099" s="108">
        <f t="shared" si="110"/>
        <v>540</v>
      </c>
      <c r="F2099" s="109">
        <f t="shared" si="111"/>
        <v>666</v>
      </c>
    </row>
    <row r="2100" spans="2:6" x14ac:dyDescent="0.2">
      <c r="B2100" s="13">
        <f t="shared" si="107"/>
        <v>2097</v>
      </c>
      <c r="C2100" s="8">
        <f t="shared" si="108"/>
        <v>6</v>
      </c>
      <c r="D2100" s="8">
        <f t="shared" si="109"/>
        <v>16</v>
      </c>
      <c r="E2100" s="108">
        <f t="shared" si="110"/>
        <v>540</v>
      </c>
      <c r="F2100" s="109">
        <f t="shared" si="111"/>
        <v>655</v>
      </c>
    </row>
    <row r="2101" spans="2:6" x14ac:dyDescent="0.2">
      <c r="B2101" s="13">
        <f t="shared" si="107"/>
        <v>2098</v>
      </c>
      <c r="C2101" s="8">
        <f t="shared" si="108"/>
        <v>7</v>
      </c>
      <c r="D2101" s="8">
        <f t="shared" si="109"/>
        <v>16</v>
      </c>
      <c r="E2101" s="108">
        <f t="shared" si="110"/>
        <v>540</v>
      </c>
      <c r="F2101" s="109">
        <f t="shared" si="111"/>
        <v>652</v>
      </c>
    </row>
    <row r="2102" spans="2:6" x14ac:dyDescent="0.2">
      <c r="B2102" s="13">
        <f t="shared" si="107"/>
        <v>2099</v>
      </c>
      <c r="C2102" s="8">
        <f t="shared" si="108"/>
        <v>8</v>
      </c>
      <c r="D2102" s="8">
        <f t="shared" si="109"/>
        <v>16</v>
      </c>
      <c r="E2102" s="108">
        <f t="shared" si="110"/>
        <v>540</v>
      </c>
      <c r="F2102" s="109">
        <f t="shared" si="111"/>
        <v>633</v>
      </c>
    </row>
    <row r="2103" spans="2:6" x14ac:dyDescent="0.2">
      <c r="B2103" s="13">
        <f t="shared" si="107"/>
        <v>2100</v>
      </c>
      <c r="C2103" s="8">
        <f t="shared" si="108"/>
        <v>9</v>
      </c>
      <c r="D2103" s="8">
        <f t="shared" si="109"/>
        <v>16</v>
      </c>
      <c r="E2103" s="108">
        <f t="shared" si="110"/>
        <v>540</v>
      </c>
      <c r="F2103" s="109">
        <f t="shared" si="111"/>
        <v>632</v>
      </c>
    </row>
    <row r="2104" spans="2:6" x14ac:dyDescent="0.2">
      <c r="B2104" s="13">
        <f t="shared" si="107"/>
        <v>2101</v>
      </c>
      <c r="C2104" s="8">
        <f t="shared" si="108"/>
        <v>10</v>
      </c>
      <c r="D2104" s="8">
        <f t="shared" si="109"/>
        <v>16</v>
      </c>
      <c r="E2104" s="108">
        <f t="shared" si="110"/>
        <v>540</v>
      </c>
      <c r="F2104" s="109">
        <f t="shared" si="111"/>
        <v>625</v>
      </c>
    </row>
    <row r="2105" spans="2:6" x14ac:dyDescent="0.2">
      <c r="B2105" s="13">
        <f t="shared" si="107"/>
        <v>2102</v>
      </c>
      <c r="C2105" s="8">
        <f t="shared" si="108"/>
        <v>11</v>
      </c>
      <c r="D2105" s="8">
        <f t="shared" si="109"/>
        <v>16</v>
      </c>
      <c r="E2105" s="108">
        <f t="shared" si="110"/>
        <v>540</v>
      </c>
      <c r="F2105" s="109">
        <f t="shared" si="111"/>
        <v>619</v>
      </c>
    </row>
    <row r="2106" spans="2:6" x14ac:dyDescent="0.2">
      <c r="B2106" s="13">
        <f t="shared" si="107"/>
        <v>2103</v>
      </c>
      <c r="C2106" s="8">
        <f t="shared" si="108"/>
        <v>12</v>
      </c>
      <c r="D2106" s="8">
        <f t="shared" si="109"/>
        <v>16</v>
      </c>
      <c r="E2106" s="108">
        <f t="shared" si="110"/>
        <v>540</v>
      </c>
      <c r="F2106" s="109">
        <f t="shared" si="111"/>
        <v>610</v>
      </c>
    </row>
    <row r="2107" spans="2:6" x14ac:dyDescent="0.2">
      <c r="B2107" s="13">
        <f t="shared" si="107"/>
        <v>2104</v>
      </c>
      <c r="C2107" s="8">
        <f t="shared" si="108"/>
        <v>13</v>
      </c>
      <c r="D2107" s="8">
        <f t="shared" si="109"/>
        <v>16</v>
      </c>
      <c r="E2107" s="108">
        <f t="shared" si="110"/>
        <v>540</v>
      </c>
      <c r="F2107" s="109">
        <f t="shared" si="111"/>
        <v>599</v>
      </c>
    </row>
    <row r="2108" spans="2:6" x14ac:dyDescent="0.2">
      <c r="B2108" s="13">
        <f t="shared" si="107"/>
        <v>2105</v>
      </c>
      <c r="C2108" s="8">
        <f t="shared" si="108"/>
        <v>14</v>
      </c>
      <c r="D2108" s="8">
        <f t="shared" si="109"/>
        <v>16</v>
      </c>
      <c r="E2108" s="108">
        <f t="shared" si="110"/>
        <v>540</v>
      </c>
      <c r="F2108" s="109">
        <f t="shared" si="111"/>
        <v>559</v>
      </c>
    </row>
    <row r="2109" spans="2:6" x14ac:dyDescent="0.2">
      <c r="B2109" s="13">
        <f t="shared" si="107"/>
        <v>2106</v>
      </c>
      <c r="C2109" s="8">
        <f t="shared" si="108"/>
        <v>15</v>
      </c>
      <c r="D2109" s="8">
        <f t="shared" si="109"/>
        <v>16</v>
      </c>
      <c r="E2109" s="108">
        <f t="shared" si="110"/>
        <v>540</v>
      </c>
      <c r="F2109" s="109">
        <f t="shared" si="111"/>
        <v>556</v>
      </c>
    </row>
    <row r="2110" spans="2:6" x14ac:dyDescent="0.2">
      <c r="B2110" s="13">
        <f t="shared" si="107"/>
        <v>2107</v>
      </c>
      <c r="C2110" s="8">
        <f t="shared" si="108"/>
        <v>1</v>
      </c>
      <c r="D2110" s="8">
        <f t="shared" si="109"/>
        <v>15</v>
      </c>
      <c r="E2110" s="108">
        <f t="shared" si="110"/>
        <v>556</v>
      </c>
      <c r="F2110" s="109">
        <f t="shared" si="111"/>
        <v>1344</v>
      </c>
    </row>
    <row r="2111" spans="2:6" x14ac:dyDescent="0.2">
      <c r="B2111" s="13">
        <f t="shared" si="107"/>
        <v>2108</v>
      </c>
      <c r="C2111" s="8">
        <f t="shared" si="108"/>
        <v>2</v>
      </c>
      <c r="D2111" s="8">
        <f t="shared" si="109"/>
        <v>15</v>
      </c>
      <c r="E2111" s="108">
        <f t="shared" si="110"/>
        <v>556</v>
      </c>
      <c r="F2111" s="109">
        <f t="shared" si="111"/>
        <v>1048</v>
      </c>
    </row>
    <row r="2112" spans="2:6" x14ac:dyDescent="0.2">
      <c r="B2112" s="13">
        <f t="shared" si="107"/>
        <v>2109</v>
      </c>
      <c r="C2112" s="8">
        <f t="shared" si="108"/>
        <v>3</v>
      </c>
      <c r="D2112" s="8">
        <f t="shared" si="109"/>
        <v>15</v>
      </c>
      <c r="E2112" s="108">
        <f t="shared" si="110"/>
        <v>556</v>
      </c>
      <c r="F2112" s="109">
        <f t="shared" si="111"/>
        <v>1025</v>
      </c>
    </row>
    <row r="2113" spans="2:6" x14ac:dyDescent="0.2">
      <c r="B2113" s="13">
        <f t="shared" si="107"/>
        <v>2110</v>
      </c>
      <c r="C2113" s="8">
        <f t="shared" si="108"/>
        <v>4</v>
      </c>
      <c r="D2113" s="8">
        <f t="shared" si="109"/>
        <v>15</v>
      </c>
      <c r="E2113" s="108">
        <f t="shared" si="110"/>
        <v>556</v>
      </c>
      <c r="F2113" s="109">
        <f t="shared" si="111"/>
        <v>805</v>
      </c>
    </row>
    <row r="2114" spans="2:6" x14ac:dyDescent="0.2">
      <c r="B2114" s="13">
        <f t="shared" si="107"/>
        <v>2111</v>
      </c>
      <c r="C2114" s="8">
        <f t="shared" si="108"/>
        <v>5</v>
      </c>
      <c r="D2114" s="8">
        <f t="shared" si="109"/>
        <v>15</v>
      </c>
      <c r="E2114" s="108">
        <f t="shared" si="110"/>
        <v>556</v>
      </c>
      <c r="F2114" s="109">
        <f t="shared" si="111"/>
        <v>666</v>
      </c>
    </row>
    <row r="2115" spans="2:6" x14ac:dyDescent="0.2">
      <c r="B2115" s="13">
        <f t="shared" si="107"/>
        <v>2112</v>
      </c>
      <c r="C2115" s="8">
        <f t="shared" si="108"/>
        <v>6</v>
      </c>
      <c r="D2115" s="8">
        <f t="shared" si="109"/>
        <v>15</v>
      </c>
      <c r="E2115" s="108">
        <f t="shared" si="110"/>
        <v>556</v>
      </c>
      <c r="F2115" s="109">
        <f t="shared" si="111"/>
        <v>655</v>
      </c>
    </row>
    <row r="2116" spans="2:6" x14ac:dyDescent="0.2">
      <c r="B2116" s="13">
        <f t="shared" si="107"/>
        <v>2113</v>
      </c>
      <c r="C2116" s="8">
        <f t="shared" si="108"/>
        <v>7</v>
      </c>
      <c r="D2116" s="8">
        <f t="shared" si="109"/>
        <v>15</v>
      </c>
      <c r="E2116" s="108">
        <f t="shared" si="110"/>
        <v>556</v>
      </c>
      <c r="F2116" s="109">
        <f t="shared" si="111"/>
        <v>652</v>
      </c>
    </row>
    <row r="2117" spans="2:6" x14ac:dyDescent="0.2">
      <c r="B2117" s="13">
        <f t="shared" si="107"/>
        <v>2114</v>
      </c>
      <c r="C2117" s="8">
        <f t="shared" si="108"/>
        <v>8</v>
      </c>
      <c r="D2117" s="8">
        <f t="shared" si="109"/>
        <v>15</v>
      </c>
      <c r="E2117" s="108">
        <f t="shared" si="110"/>
        <v>556</v>
      </c>
      <c r="F2117" s="109">
        <f t="shared" si="111"/>
        <v>633</v>
      </c>
    </row>
    <row r="2118" spans="2:6" x14ac:dyDescent="0.2">
      <c r="B2118" s="13">
        <f t="shared" si="107"/>
        <v>2115</v>
      </c>
      <c r="C2118" s="8">
        <f t="shared" si="108"/>
        <v>9</v>
      </c>
      <c r="D2118" s="8">
        <f t="shared" si="109"/>
        <v>15</v>
      </c>
      <c r="E2118" s="108">
        <f t="shared" si="110"/>
        <v>556</v>
      </c>
      <c r="F2118" s="109">
        <f t="shared" si="111"/>
        <v>632</v>
      </c>
    </row>
    <row r="2119" spans="2:6" x14ac:dyDescent="0.2">
      <c r="B2119" s="13">
        <f t="shared" si="107"/>
        <v>2116</v>
      </c>
      <c r="C2119" s="8">
        <f t="shared" si="108"/>
        <v>10</v>
      </c>
      <c r="D2119" s="8">
        <f t="shared" si="109"/>
        <v>15</v>
      </c>
      <c r="E2119" s="108">
        <f t="shared" si="110"/>
        <v>556</v>
      </c>
      <c r="F2119" s="109">
        <f t="shared" si="111"/>
        <v>625</v>
      </c>
    </row>
    <row r="2120" spans="2:6" x14ac:dyDescent="0.2">
      <c r="B2120" s="13">
        <f t="shared" si="107"/>
        <v>2117</v>
      </c>
      <c r="C2120" s="8">
        <f t="shared" si="108"/>
        <v>11</v>
      </c>
      <c r="D2120" s="8">
        <f t="shared" si="109"/>
        <v>15</v>
      </c>
      <c r="E2120" s="108">
        <f t="shared" si="110"/>
        <v>556</v>
      </c>
      <c r="F2120" s="109">
        <f t="shared" si="111"/>
        <v>619</v>
      </c>
    </row>
    <row r="2121" spans="2:6" x14ac:dyDescent="0.2">
      <c r="B2121" s="13">
        <f t="shared" si="107"/>
        <v>2118</v>
      </c>
      <c r="C2121" s="8">
        <f t="shared" si="108"/>
        <v>12</v>
      </c>
      <c r="D2121" s="8">
        <f t="shared" si="109"/>
        <v>15</v>
      </c>
      <c r="E2121" s="108">
        <f t="shared" si="110"/>
        <v>556</v>
      </c>
      <c r="F2121" s="109">
        <f t="shared" si="111"/>
        <v>610</v>
      </c>
    </row>
    <row r="2122" spans="2:6" x14ac:dyDescent="0.2">
      <c r="B2122" s="13">
        <f t="shared" si="107"/>
        <v>2119</v>
      </c>
      <c r="C2122" s="8">
        <f t="shared" si="108"/>
        <v>13</v>
      </c>
      <c r="D2122" s="8">
        <f t="shared" si="109"/>
        <v>15</v>
      </c>
      <c r="E2122" s="108">
        <f t="shared" si="110"/>
        <v>556</v>
      </c>
      <c r="F2122" s="109">
        <f t="shared" si="111"/>
        <v>599</v>
      </c>
    </row>
    <row r="2123" spans="2:6" x14ac:dyDescent="0.2">
      <c r="B2123" s="13">
        <f t="shared" si="107"/>
        <v>2120</v>
      </c>
      <c r="C2123" s="8">
        <f t="shared" si="108"/>
        <v>14</v>
      </c>
      <c r="D2123" s="8">
        <f t="shared" si="109"/>
        <v>15</v>
      </c>
      <c r="E2123" s="108">
        <f t="shared" si="110"/>
        <v>556</v>
      </c>
      <c r="F2123" s="109">
        <f t="shared" si="111"/>
        <v>559</v>
      </c>
    </row>
    <row r="2124" spans="2:6" x14ac:dyDescent="0.2">
      <c r="B2124" s="13">
        <f t="shared" si="107"/>
        <v>2121</v>
      </c>
      <c r="C2124" s="8">
        <f t="shared" si="108"/>
        <v>1</v>
      </c>
      <c r="D2124" s="8">
        <f t="shared" si="109"/>
        <v>14</v>
      </c>
      <c r="E2124" s="108">
        <f t="shared" si="110"/>
        <v>559</v>
      </c>
      <c r="F2124" s="109">
        <f t="shared" si="111"/>
        <v>1344</v>
      </c>
    </row>
    <row r="2125" spans="2:6" x14ac:dyDescent="0.2">
      <c r="B2125" s="13">
        <f t="shared" si="107"/>
        <v>2122</v>
      </c>
      <c r="C2125" s="8">
        <f t="shared" si="108"/>
        <v>2</v>
      </c>
      <c r="D2125" s="8">
        <f t="shared" si="109"/>
        <v>14</v>
      </c>
      <c r="E2125" s="108">
        <f t="shared" si="110"/>
        <v>559</v>
      </c>
      <c r="F2125" s="109">
        <f t="shared" si="111"/>
        <v>1048</v>
      </c>
    </row>
    <row r="2126" spans="2:6" x14ac:dyDescent="0.2">
      <c r="B2126" s="13">
        <f t="shared" si="107"/>
        <v>2123</v>
      </c>
      <c r="C2126" s="8">
        <f t="shared" si="108"/>
        <v>3</v>
      </c>
      <c r="D2126" s="8">
        <f t="shared" si="109"/>
        <v>14</v>
      </c>
      <c r="E2126" s="108">
        <f t="shared" si="110"/>
        <v>559</v>
      </c>
      <c r="F2126" s="109">
        <f t="shared" si="111"/>
        <v>1025</v>
      </c>
    </row>
    <row r="2127" spans="2:6" x14ac:dyDescent="0.2">
      <c r="B2127" s="13">
        <f t="shared" si="107"/>
        <v>2124</v>
      </c>
      <c r="C2127" s="8">
        <f t="shared" si="108"/>
        <v>4</v>
      </c>
      <c r="D2127" s="8">
        <f t="shared" si="109"/>
        <v>14</v>
      </c>
      <c r="E2127" s="108">
        <f t="shared" si="110"/>
        <v>559</v>
      </c>
      <c r="F2127" s="109">
        <f t="shared" si="111"/>
        <v>805</v>
      </c>
    </row>
    <row r="2128" spans="2:6" x14ac:dyDescent="0.2">
      <c r="B2128" s="13">
        <f t="shared" si="107"/>
        <v>2125</v>
      </c>
      <c r="C2128" s="8">
        <f t="shared" si="108"/>
        <v>5</v>
      </c>
      <c r="D2128" s="8">
        <f t="shared" si="109"/>
        <v>14</v>
      </c>
      <c r="E2128" s="108">
        <f t="shared" si="110"/>
        <v>559</v>
      </c>
      <c r="F2128" s="109">
        <f t="shared" si="111"/>
        <v>666</v>
      </c>
    </row>
    <row r="2129" spans="2:6" x14ac:dyDescent="0.2">
      <c r="B2129" s="13">
        <f t="shared" si="107"/>
        <v>2126</v>
      </c>
      <c r="C2129" s="8">
        <f t="shared" si="108"/>
        <v>6</v>
      </c>
      <c r="D2129" s="8">
        <f t="shared" si="109"/>
        <v>14</v>
      </c>
      <c r="E2129" s="108">
        <f t="shared" si="110"/>
        <v>559</v>
      </c>
      <c r="F2129" s="109">
        <f t="shared" si="111"/>
        <v>655</v>
      </c>
    </row>
    <row r="2130" spans="2:6" x14ac:dyDescent="0.2">
      <c r="B2130" s="13">
        <f t="shared" si="107"/>
        <v>2127</v>
      </c>
      <c r="C2130" s="8">
        <f t="shared" si="108"/>
        <v>7</v>
      </c>
      <c r="D2130" s="8">
        <f t="shared" si="109"/>
        <v>14</v>
      </c>
      <c r="E2130" s="108">
        <f t="shared" si="110"/>
        <v>559</v>
      </c>
      <c r="F2130" s="109">
        <f t="shared" si="111"/>
        <v>652</v>
      </c>
    </row>
    <row r="2131" spans="2:6" x14ac:dyDescent="0.2">
      <c r="B2131" s="13">
        <f t="shared" si="107"/>
        <v>2128</v>
      </c>
      <c r="C2131" s="8">
        <f t="shared" si="108"/>
        <v>8</v>
      </c>
      <c r="D2131" s="8">
        <f t="shared" si="109"/>
        <v>14</v>
      </c>
      <c r="E2131" s="108">
        <f t="shared" si="110"/>
        <v>559</v>
      </c>
      <c r="F2131" s="109">
        <f t="shared" si="111"/>
        <v>633</v>
      </c>
    </row>
    <row r="2132" spans="2:6" x14ac:dyDescent="0.2">
      <c r="B2132" s="13">
        <f t="shared" si="107"/>
        <v>2129</v>
      </c>
      <c r="C2132" s="8">
        <f t="shared" si="108"/>
        <v>9</v>
      </c>
      <c r="D2132" s="8">
        <f t="shared" si="109"/>
        <v>14</v>
      </c>
      <c r="E2132" s="108">
        <f t="shared" si="110"/>
        <v>559</v>
      </c>
      <c r="F2132" s="109">
        <f t="shared" si="111"/>
        <v>632</v>
      </c>
    </row>
    <row r="2133" spans="2:6" x14ac:dyDescent="0.2">
      <c r="B2133" s="13">
        <f t="shared" si="107"/>
        <v>2130</v>
      </c>
      <c r="C2133" s="8">
        <f t="shared" si="108"/>
        <v>10</v>
      </c>
      <c r="D2133" s="8">
        <f t="shared" si="109"/>
        <v>14</v>
      </c>
      <c r="E2133" s="108">
        <f t="shared" si="110"/>
        <v>559</v>
      </c>
      <c r="F2133" s="109">
        <f t="shared" si="111"/>
        <v>625</v>
      </c>
    </row>
    <row r="2134" spans="2:6" x14ac:dyDescent="0.2">
      <c r="B2134" s="13">
        <f t="shared" si="107"/>
        <v>2131</v>
      </c>
      <c r="C2134" s="8">
        <f t="shared" si="108"/>
        <v>11</v>
      </c>
      <c r="D2134" s="8">
        <f t="shared" si="109"/>
        <v>14</v>
      </c>
      <c r="E2134" s="108">
        <f t="shared" si="110"/>
        <v>559</v>
      </c>
      <c r="F2134" s="109">
        <f t="shared" si="111"/>
        <v>619</v>
      </c>
    </row>
    <row r="2135" spans="2:6" x14ac:dyDescent="0.2">
      <c r="B2135" s="13">
        <f t="shared" si="107"/>
        <v>2132</v>
      </c>
      <c r="C2135" s="8">
        <f t="shared" si="108"/>
        <v>12</v>
      </c>
      <c r="D2135" s="8">
        <f t="shared" si="109"/>
        <v>14</v>
      </c>
      <c r="E2135" s="108">
        <f t="shared" si="110"/>
        <v>559</v>
      </c>
      <c r="F2135" s="109">
        <f t="shared" si="111"/>
        <v>610</v>
      </c>
    </row>
    <row r="2136" spans="2:6" x14ac:dyDescent="0.2">
      <c r="B2136" s="13">
        <f t="shared" si="107"/>
        <v>2133</v>
      </c>
      <c r="C2136" s="8">
        <f t="shared" si="108"/>
        <v>13</v>
      </c>
      <c r="D2136" s="8">
        <f t="shared" si="109"/>
        <v>14</v>
      </c>
      <c r="E2136" s="108">
        <f t="shared" si="110"/>
        <v>559</v>
      </c>
      <c r="F2136" s="109">
        <f t="shared" si="111"/>
        <v>599</v>
      </c>
    </row>
    <row r="2137" spans="2:6" x14ac:dyDescent="0.2">
      <c r="B2137" s="13">
        <f t="shared" si="107"/>
        <v>2134</v>
      </c>
      <c r="C2137" s="8">
        <f t="shared" si="108"/>
        <v>1</v>
      </c>
      <c r="D2137" s="8">
        <f t="shared" si="109"/>
        <v>13</v>
      </c>
      <c r="E2137" s="108">
        <f t="shared" si="110"/>
        <v>599</v>
      </c>
      <c r="F2137" s="109">
        <f t="shared" si="111"/>
        <v>1344</v>
      </c>
    </row>
    <row r="2138" spans="2:6" x14ac:dyDescent="0.2">
      <c r="B2138" s="13">
        <f t="shared" si="107"/>
        <v>2135</v>
      </c>
      <c r="C2138" s="8">
        <f t="shared" si="108"/>
        <v>2</v>
      </c>
      <c r="D2138" s="8">
        <f t="shared" si="109"/>
        <v>13</v>
      </c>
      <c r="E2138" s="108">
        <f t="shared" si="110"/>
        <v>599</v>
      </c>
      <c r="F2138" s="109">
        <f t="shared" si="111"/>
        <v>1048</v>
      </c>
    </row>
    <row r="2139" spans="2:6" x14ac:dyDescent="0.2">
      <c r="B2139" s="13">
        <f t="shared" si="107"/>
        <v>2136</v>
      </c>
      <c r="C2139" s="8">
        <f t="shared" si="108"/>
        <v>3</v>
      </c>
      <c r="D2139" s="8">
        <f t="shared" si="109"/>
        <v>13</v>
      </c>
      <c r="E2139" s="108">
        <f t="shared" si="110"/>
        <v>599</v>
      </c>
      <c r="F2139" s="109">
        <f t="shared" si="111"/>
        <v>1025</v>
      </c>
    </row>
    <row r="2140" spans="2:6" x14ac:dyDescent="0.2">
      <c r="B2140" s="13">
        <f t="shared" si="107"/>
        <v>2137</v>
      </c>
      <c r="C2140" s="8">
        <f t="shared" si="108"/>
        <v>4</v>
      </c>
      <c r="D2140" s="8">
        <f t="shared" si="109"/>
        <v>13</v>
      </c>
      <c r="E2140" s="108">
        <f t="shared" si="110"/>
        <v>599</v>
      </c>
      <c r="F2140" s="109">
        <f t="shared" si="111"/>
        <v>805</v>
      </c>
    </row>
    <row r="2141" spans="2:6" x14ac:dyDescent="0.2">
      <c r="B2141" s="13">
        <f t="shared" si="107"/>
        <v>2138</v>
      </c>
      <c r="C2141" s="8">
        <f t="shared" si="108"/>
        <v>5</v>
      </c>
      <c r="D2141" s="8">
        <f t="shared" si="109"/>
        <v>13</v>
      </c>
      <c r="E2141" s="108">
        <f t="shared" si="110"/>
        <v>599</v>
      </c>
      <c r="F2141" s="109">
        <f t="shared" si="111"/>
        <v>666</v>
      </c>
    </row>
    <row r="2142" spans="2:6" x14ac:dyDescent="0.2">
      <c r="B2142" s="13">
        <f t="shared" si="107"/>
        <v>2139</v>
      </c>
      <c r="C2142" s="8">
        <f t="shared" si="108"/>
        <v>6</v>
      </c>
      <c r="D2142" s="8">
        <f t="shared" si="109"/>
        <v>13</v>
      </c>
      <c r="E2142" s="108">
        <f t="shared" si="110"/>
        <v>599</v>
      </c>
      <c r="F2142" s="109">
        <f t="shared" si="111"/>
        <v>655</v>
      </c>
    </row>
    <row r="2143" spans="2:6" x14ac:dyDescent="0.2">
      <c r="B2143" s="13">
        <f t="shared" si="107"/>
        <v>2140</v>
      </c>
      <c r="C2143" s="8">
        <f t="shared" si="108"/>
        <v>7</v>
      </c>
      <c r="D2143" s="8">
        <f t="shared" si="109"/>
        <v>13</v>
      </c>
      <c r="E2143" s="108">
        <f t="shared" si="110"/>
        <v>599</v>
      </c>
      <c r="F2143" s="109">
        <f t="shared" si="111"/>
        <v>652</v>
      </c>
    </row>
    <row r="2144" spans="2:6" x14ac:dyDescent="0.2">
      <c r="B2144" s="13">
        <f t="shared" si="107"/>
        <v>2141</v>
      </c>
      <c r="C2144" s="8">
        <f t="shared" si="108"/>
        <v>8</v>
      </c>
      <c r="D2144" s="8">
        <f t="shared" si="109"/>
        <v>13</v>
      </c>
      <c r="E2144" s="108">
        <f t="shared" si="110"/>
        <v>599</v>
      </c>
      <c r="F2144" s="109">
        <f t="shared" si="111"/>
        <v>633</v>
      </c>
    </row>
    <row r="2145" spans="2:6" x14ac:dyDescent="0.2">
      <c r="B2145" s="13">
        <f t="shared" si="107"/>
        <v>2142</v>
      </c>
      <c r="C2145" s="8">
        <f t="shared" si="108"/>
        <v>9</v>
      </c>
      <c r="D2145" s="8">
        <f t="shared" si="109"/>
        <v>13</v>
      </c>
      <c r="E2145" s="108">
        <f t="shared" si="110"/>
        <v>599</v>
      </c>
      <c r="F2145" s="109">
        <f t="shared" si="111"/>
        <v>632</v>
      </c>
    </row>
    <row r="2146" spans="2:6" x14ac:dyDescent="0.2">
      <c r="B2146" s="13">
        <f t="shared" si="107"/>
        <v>2143</v>
      </c>
      <c r="C2146" s="8">
        <f t="shared" si="108"/>
        <v>10</v>
      </c>
      <c r="D2146" s="8">
        <f t="shared" si="109"/>
        <v>13</v>
      </c>
      <c r="E2146" s="108">
        <f t="shared" si="110"/>
        <v>599</v>
      </c>
      <c r="F2146" s="109">
        <f t="shared" si="111"/>
        <v>625</v>
      </c>
    </row>
    <row r="2147" spans="2:6" x14ac:dyDescent="0.2">
      <c r="B2147" s="13">
        <f t="shared" si="107"/>
        <v>2144</v>
      </c>
      <c r="C2147" s="8">
        <f t="shared" si="108"/>
        <v>11</v>
      </c>
      <c r="D2147" s="8">
        <f t="shared" si="109"/>
        <v>13</v>
      </c>
      <c r="E2147" s="108">
        <f t="shared" si="110"/>
        <v>599</v>
      </c>
      <c r="F2147" s="109">
        <f t="shared" si="111"/>
        <v>619</v>
      </c>
    </row>
    <row r="2148" spans="2:6" x14ac:dyDescent="0.2">
      <c r="B2148" s="13">
        <f t="shared" si="107"/>
        <v>2145</v>
      </c>
      <c r="C2148" s="8">
        <f t="shared" si="108"/>
        <v>12</v>
      </c>
      <c r="D2148" s="8">
        <f t="shared" si="109"/>
        <v>13</v>
      </c>
      <c r="E2148" s="108">
        <f t="shared" si="110"/>
        <v>599</v>
      </c>
      <c r="F2148" s="109">
        <f t="shared" si="111"/>
        <v>610</v>
      </c>
    </row>
    <row r="2149" spans="2:6" x14ac:dyDescent="0.2">
      <c r="B2149" s="13">
        <f t="shared" si="107"/>
        <v>2146</v>
      </c>
      <c r="C2149" s="8">
        <f t="shared" si="108"/>
        <v>1</v>
      </c>
      <c r="D2149" s="8">
        <f t="shared" si="109"/>
        <v>12</v>
      </c>
      <c r="E2149" s="108">
        <f t="shared" si="110"/>
        <v>610</v>
      </c>
      <c r="F2149" s="109">
        <f t="shared" si="111"/>
        <v>1344</v>
      </c>
    </row>
    <row r="2150" spans="2:6" x14ac:dyDescent="0.2">
      <c r="B2150" s="13">
        <f t="shared" si="107"/>
        <v>2147</v>
      </c>
      <c r="C2150" s="8">
        <f t="shared" si="108"/>
        <v>2</v>
      </c>
      <c r="D2150" s="8">
        <f t="shared" si="109"/>
        <v>12</v>
      </c>
      <c r="E2150" s="108">
        <f t="shared" si="110"/>
        <v>610</v>
      </c>
      <c r="F2150" s="109">
        <f t="shared" si="111"/>
        <v>1048</v>
      </c>
    </row>
    <row r="2151" spans="2:6" x14ac:dyDescent="0.2">
      <c r="B2151" s="13">
        <f t="shared" ref="B2151:B2214" si="112">ROW()-3</f>
        <v>2148</v>
      </c>
      <c r="C2151" s="8">
        <f t="shared" ref="C2151:C2214" si="113">IF((D2150-C2150)=1,1,C2150+1)</f>
        <v>3</v>
      </c>
      <c r="D2151" s="8">
        <f t="shared" ref="D2151:D2214" si="114">IF((D2150-C2150)=1,D2150-1,D2150)</f>
        <v>12</v>
      </c>
      <c r="E2151" s="108">
        <f t="shared" ref="E2151:E2214" si="115">IFERROR(VLOOKUP(D2151,$H$4:$I$70,2,0),"")</f>
        <v>610</v>
      </c>
      <c r="F2151" s="109">
        <f t="shared" ref="F2151:F2214" si="116">IFERROR(VLOOKUP(C2151,$H$4:$I$70,2,0),"")</f>
        <v>1025</v>
      </c>
    </row>
    <row r="2152" spans="2:6" x14ac:dyDescent="0.2">
      <c r="B2152" s="13">
        <f t="shared" si="112"/>
        <v>2149</v>
      </c>
      <c r="C2152" s="8">
        <f t="shared" si="113"/>
        <v>4</v>
      </c>
      <c r="D2152" s="8">
        <f t="shared" si="114"/>
        <v>12</v>
      </c>
      <c r="E2152" s="108">
        <f t="shared" si="115"/>
        <v>610</v>
      </c>
      <c r="F2152" s="109">
        <f t="shared" si="116"/>
        <v>805</v>
      </c>
    </row>
    <row r="2153" spans="2:6" x14ac:dyDescent="0.2">
      <c r="B2153" s="13">
        <f t="shared" si="112"/>
        <v>2150</v>
      </c>
      <c r="C2153" s="8">
        <f t="shared" si="113"/>
        <v>5</v>
      </c>
      <c r="D2153" s="8">
        <f t="shared" si="114"/>
        <v>12</v>
      </c>
      <c r="E2153" s="108">
        <f t="shared" si="115"/>
        <v>610</v>
      </c>
      <c r="F2153" s="109">
        <f t="shared" si="116"/>
        <v>666</v>
      </c>
    </row>
    <row r="2154" spans="2:6" x14ac:dyDescent="0.2">
      <c r="B2154" s="13">
        <f t="shared" si="112"/>
        <v>2151</v>
      </c>
      <c r="C2154" s="8">
        <f t="shared" si="113"/>
        <v>6</v>
      </c>
      <c r="D2154" s="8">
        <f t="shared" si="114"/>
        <v>12</v>
      </c>
      <c r="E2154" s="108">
        <f t="shared" si="115"/>
        <v>610</v>
      </c>
      <c r="F2154" s="109">
        <f t="shared" si="116"/>
        <v>655</v>
      </c>
    </row>
    <row r="2155" spans="2:6" x14ac:dyDescent="0.2">
      <c r="B2155" s="13">
        <f t="shared" si="112"/>
        <v>2152</v>
      </c>
      <c r="C2155" s="8">
        <f t="shared" si="113"/>
        <v>7</v>
      </c>
      <c r="D2155" s="8">
        <f t="shared" si="114"/>
        <v>12</v>
      </c>
      <c r="E2155" s="108">
        <f t="shared" si="115"/>
        <v>610</v>
      </c>
      <c r="F2155" s="109">
        <f t="shared" si="116"/>
        <v>652</v>
      </c>
    </row>
    <row r="2156" spans="2:6" x14ac:dyDescent="0.2">
      <c r="B2156" s="13">
        <f t="shared" si="112"/>
        <v>2153</v>
      </c>
      <c r="C2156" s="8">
        <f t="shared" si="113"/>
        <v>8</v>
      </c>
      <c r="D2156" s="8">
        <f t="shared" si="114"/>
        <v>12</v>
      </c>
      <c r="E2156" s="108">
        <f t="shared" si="115"/>
        <v>610</v>
      </c>
      <c r="F2156" s="109">
        <f t="shared" si="116"/>
        <v>633</v>
      </c>
    </row>
    <row r="2157" spans="2:6" x14ac:dyDescent="0.2">
      <c r="B2157" s="13">
        <f t="shared" si="112"/>
        <v>2154</v>
      </c>
      <c r="C2157" s="8">
        <f t="shared" si="113"/>
        <v>9</v>
      </c>
      <c r="D2157" s="8">
        <f t="shared" si="114"/>
        <v>12</v>
      </c>
      <c r="E2157" s="108">
        <f t="shared" si="115"/>
        <v>610</v>
      </c>
      <c r="F2157" s="109">
        <f t="shared" si="116"/>
        <v>632</v>
      </c>
    </row>
    <row r="2158" spans="2:6" x14ac:dyDescent="0.2">
      <c r="B2158" s="13">
        <f t="shared" si="112"/>
        <v>2155</v>
      </c>
      <c r="C2158" s="8">
        <f t="shared" si="113"/>
        <v>10</v>
      </c>
      <c r="D2158" s="8">
        <f t="shared" si="114"/>
        <v>12</v>
      </c>
      <c r="E2158" s="108">
        <f t="shared" si="115"/>
        <v>610</v>
      </c>
      <c r="F2158" s="109">
        <f t="shared" si="116"/>
        <v>625</v>
      </c>
    </row>
    <row r="2159" spans="2:6" x14ac:dyDescent="0.2">
      <c r="B2159" s="13">
        <f t="shared" si="112"/>
        <v>2156</v>
      </c>
      <c r="C2159" s="8">
        <f t="shared" si="113"/>
        <v>11</v>
      </c>
      <c r="D2159" s="8">
        <f t="shared" si="114"/>
        <v>12</v>
      </c>
      <c r="E2159" s="108">
        <f t="shared" si="115"/>
        <v>610</v>
      </c>
      <c r="F2159" s="109">
        <f t="shared" si="116"/>
        <v>619</v>
      </c>
    </row>
    <row r="2160" spans="2:6" x14ac:dyDescent="0.2">
      <c r="B2160" s="13">
        <f t="shared" si="112"/>
        <v>2157</v>
      </c>
      <c r="C2160" s="8">
        <f t="shared" si="113"/>
        <v>1</v>
      </c>
      <c r="D2160" s="8">
        <f t="shared" si="114"/>
        <v>11</v>
      </c>
      <c r="E2160" s="108">
        <f t="shared" si="115"/>
        <v>619</v>
      </c>
      <c r="F2160" s="109">
        <f t="shared" si="116"/>
        <v>1344</v>
      </c>
    </row>
    <row r="2161" spans="2:6" x14ac:dyDescent="0.2">
      <c r="B2161" s="13">
        <f t="shared" si="112"/>
        <v>2158</v>
      </c>
      <c r="C2161" s="8">
        <f t="shared" si="113"/>
        <v>2</v>
      </c>
      <c r="D2161" s="8">
        <f t="shared" si="114"/>
        <v>11</v>
      </c>
      <c r="E2161" s="108">
        <f t="shared" si="115"/>
        <v>619</v>
      </c>
      <c r="F2161" s="109">
        <f t="shared" si="116"/>
        <v>1048</v>
      </c>
    </row>
    <row r="2162" spans="2:6" x14ac:dyDescent="0.2">
      <c r="B2162" s="13">
        <f t="shared" si="112"/>
        <v>2159</v>
      </c>
      <c r="C2162" s="8">
        <f t="shared" si="113"/>
        <v>3</v>
      </c>
      <c r="D2162" s="8">
        <f t="shared" si="114"/>
        <v>11</v>
      </c>
      <c r="E2162" s="108">
        <f t="shared" si="115"/>
        <v>619</v>
      </c>
      <c r="F2162" s="109">
        <f t="shared" si="116"/>
        <v>1025</v>
      </c>
    </row>
    <row r="2163" spans="2:6" x14ac:dyDescent="0.2">
      <c r="B2163" s="13">
        <f t="shared" si="112"/>
        <v>2160</v>
      </c>
      <c r="C2163" s="8">
        <f t="shared" si="113"/>
        <v>4</v>
      </c>
      <c r="D2163" s="8">
        <f t="shared" si="114"/>
        <v>11</v>
      </c>
      <c r="E2163" s="108">
        <f t="shared" si="115"/>
        <v>619</v>
      </c>
      <c r="F2163" s="109">
        <f t="shared" si="116"/>
        <v>805</v>
      </c>
    </row>
    <row r="2164" spans="2:6" x14ac:dyDescent="0.2">
      <c r="B2164" s="13">
        <f t="shared" si="112"/>
        <v>2161</v>
      </c>
      <c r="C2164" s="8">
        <f t="shared" si="113"/>
        <v>5</v>
      </c>
      <c r="D2164" s="8">
        <f t="shared" si="114"/>
        <v>11</v>
      </c>
      <c r="E2164" s="108">
        <f t="shared" si="115"/>
        <v>619</v>
      </c>
      <c r="F2164" s="109">
        <f t="shared" si="116"/>
        <v>666</v>
      </c>
    </row>
    <row r="2165" spans="2:6" x14ac:dyDescent="0.2">
      <c r="B2165" s="13">
        <f t="shared" si="112"/>
        <v>2162</v>
      </c>
      <c r="C2165" s="8">
        <f t="shared" si="113"/>
        <v>6</v>
      </c>
      <c r="D2165" s="8">
        <f t="shared" si="114"/>
        <v>11</v>
      </c>
      <c r="E2165" s="108">
        <f t="shared" si="115"/>
        <v>619</v>
      </c>
      <c r="F2165" s="109">
        <f t="shared" si="116"/>
        <v>655</v>
      </c>
    </row>
    <row r="2166" spans="2:6" x14ac:dyDescent="0.2">
      <c r="B2166" s="13">
        <f t="shared" si="112"/>
        <v>2163</v>
      </c>
      <c r="C2166" s="8">
        <f t="shared" si="113"/>
        <v>7</v>
      </c>
      <c r="D2166" s="8">
        <f t="shared" si="114"/>
        <v>11</v>
      </c>
      <c r="E2166" s="108">
        <f t="shared" si="115"/>
        <v>619</v>
      </c>
      <c r="F2166" s="109">
        <f t="shared" si="116"/>
        <v>652</v>
      </c>
    </row>
    <row r="2167" spans="2:6" x14ac:dyDescent="0.2">
      <c r="B2167" s="13">
        <f t="shared" si="112"/>
        <v>2164</v>
      </c>
      <c r="C2167" s="8">
        <f t="shared" si="113"/>
        <v>8</v>
      </c>
      <c r="D2167" s="8">
        <f t="shared" si="114"/>
        <v>11</v>
      </c>
      <c r="E2167" s="108">
        <f t="shared" si="115"/>
        <v>619</v>
      </c>
      <c r="F2167" s="109">
        <f t="shared" si="116"/>
        <v>633</v>
      </c>
    </row>
    <row r="2168" spans="2:6" x14ac:dyDescent="0.2">
      <c r="B2168" s="13">
        <f t="shared" si="112"/>
        <v>2165</v>
      </c>
      <c r="C2168" s="8">
        <f t="shared" si="113"/>
        <v>9</v>
      </c>
      <c r="D2168" s="8">
        <f t="shared" si="114"/>
        <v>11</v>
      </c>
      <c r="E2168" s="108">
        <f t="shared" si="115"/>
        <v>619</v>
      </c>
      <c r="F2168" s="109">
        <f t="shared" si="116"/>
        <v>632</v>
      </c>
    </row>
    <row r="2169" spans="2:6" x14ac:dyDescent="0.2">
      <c r="B2169" s="13">
        <f t="shared" si="112"/>
        <v>2166</v>
      </c>
      <c r="C2169" s="8">
        <f t="shared" si="113"/>
        <v>10</v>
      </c>
      <c r="D2169" s="8">
        <f t="shared" si="114"/>
        <v>11</v>
      </c>
      <c r="E2169" s="108">
        <f t="shared" si="115"/>
        <v>619</v>
      </c>
      <c r="F2169" s="109">
        <f t="shared" si="116"/>
        <v>625</v>
      </c>
    </row>
    <row r="2170" spans="2:6" x14ac:dyDescent="0.2">
      <c r="B2170" s="13">
        <f t="shared" si="112"/>
        <v>2167</v>
      </c>
      <c r="C2170" s="8">
        <f t="shared" si="113"/>
        <v>1</v>
      </c>
      <c r="D2170" s="8">
        <f t="shared" si="114"/>
        <v>10</v>
      </c>
      <c r="E2170" s="108">
        <f t="shared" si="115"/>
        <v>625</v>
      </c>
      <c r="F2170" s="109">
        <f t="shared" si="116"/>
        <v>1344</v>
      </c>
    </row>
    <row r="2171" spans="2:6" x14ac:dyDescent="0.2">
      <c r="B2171" s="13">
        <f t="shared" si="112"/>
        <v>2168</v>
      </c>
      <c r="C2171" s="8">
        <f t="shared" si="113"/>
        <v>2</v>
      </c>
      <c r="D2171" s="8">
        <f t="shared" si="114"/>
        <v>10</v>
      </c>
      <c r="E2171" s="108">
        <f t="shared" si="115"/>
        <v>625</v>
      </c>
      <c r="F2171" s="109">
        <f t="shared" si="116"/>
        <v>1048</v>
      </c>
    </row>
    <row r="2172" spans="2:6" x14ac:dyDescent="0.2">
      <c r="B2172" s="13">
        <f t="shared" si="112"/>
        <v>2169</v>
      </c>
      <c r="C2172" s="8">
        <f t="shared" si="113"/>
        <v>3</v>
      </c>
      <c r="D2172" s="8">
        <f t="shared" si="114"/>
        <v>10</v>
      </c>
      <c r="E2172" s="108">
        <f t="shared" si="115"/>
        <v>625</v>
      </c>
      <c r="F2172" s="109">
        <f t="shared" si="116"/>
        <v>1025</v>
      </c>
    </row>
    <row r="2173" spans="2:6" x14ac:dyDescent="0.2">
      <c r="B2173" s="13">
        <f t="shared" si="112"/>
        <v>2170</v>
      </c>
      <c r="C2173" s="8">
        <f t="shared" si="113"/>
        <v>4</v>
      </c>
      <c r="D2173" s="8">
        <f t="shared" si="114"/>
        <v>10</v>
      </c>
      <c r="E2173" s="108">
        <f t="shared" si="115"/>
        <v>625</v>
      </c>
      <c r="F2173" s="109">
        <f t="shared" si="116"/>
        <v>805</v>
      </c>
    </row>
    <row r="2174" spans="2:6" x14ac:dyDescent="0.2">
      <c r="B2174" s="13">
        <f t="shared" si="112"/>
        <v>2171</v>
      </c>
      <c r="C2174" s="8">
        <f t="shared" si="113"/>
        <v>5</v>
      </c>
      <c r="D2174" s="8">
        <f t="shared" si="114"/>
        <v>10</v>
      </c>
      <c r="E2174" s="108">
        <f t="shared" si="115"/>
        <v>625</v>
      </c>
      <c r="F2174" s="109">
        <f t="shared" si="116"/>
        <v>666</v>
      </c>
    </row>
    <row r="2175" spans="2:6" x14ac:dyDescent="0.2">
      <c r="B2175" s="13">
        <f t="shared" si="112"/>
        <v>2172</v>
      </c>
      <c r="C2175" s="8">
        <f t="shared" si="113"/>
        <v>6</v>
      </c>
      <c r="D2175" s="8">
        <f t="shared" si="114"/>
        <v>10</v>
      </c>
      <c r="E2175" s="108">
        <f t="shared" si="115"/>
        <v>625</v>
      </c>
      <c r="F2175" s="109">
        <f t="shared" si="116"/>
        <v>655</v>
      </c>
    </row>
    <row r="2176" spans="2:6" x14ac:dyDescent="0.2">
      <c r="B2176" s="13">
        <f t="shared" si="112"/>
        <v>2173</v>
      </c>
      <c r="C2176" s="8">
        <f t="shared" si="113"/>
        <v>7</v>
      </c>
      <c r="D2176" s="8">
        <f t="shared" si="114"/>
        <v>10</v>
      </c>
      <c r="E2176" s="108">
        <f t="shared" si="115"/>
        <v>625</v>
      </c>
      <c r="F2176" s="109">
        <f t="shared" si="116"/>
        <v>652</v>
      </c>
    </row>
    <row r="2177" spans="2:6" x14ac:dyDescent="0.2">
      <c r="B2177" s="13">
        <f t="shared" si="112"/>
        <v>2174</v>
      </c>
      <c r="C2177" s="8">
        <f t="shared" si="113"/>
        <v>8</v>
      </c>
      <c r="D2177" s="8">
        <f t="shared" si="114"/>
        <v>10</v>
      </c>
      <c r="E2177" s="108">
        <f t="shared" si="115"/>
        <v>625</v>
      </c>
      <c r="F2177" s="109">
        <f t="shared" si="116"/>
        <v>633</v>
      </c>
    </row>
    <row r="2178" spans="2:6" x14ac:dyDescent="0.2">
      <c r="B2178" s="13">
        <f t="shared" si="112"/>
        <v>2175</v>
      </c>
      <c r="C2178" s="8">
        <f t="shared" si="113"/>
        <v>9</v>
      </c>
      <c r="D2178" s="8">
        <f t="shared" si="114"/>
        <v>10</v>
      </c>
      <c r="E2178" s="108">
        <f t="shared" si="115"/>
        <v>625</v>
      </c>
      <c r="F2178" s="109">
        <f t="shared" si="116"/>
        <v>632</v>
      </c>
    </row>
    <row r="2179" spans="2:6" x14ac:dyDescent="0.2">
      <c r="B2179" s="13">
        <f t="shared" si="112"/>
        <v>2176</v>
      </c>
      <c r="C2179" s="8">
        <f t="shared" si="113"/>
        <v>1</v>
      </c>
      <c r="D2179" s="8">
        <f t="shared" si="114"/>
        <v>9</v>
      </c>
      <c r="E2179" s="108">
        <f t="shared" si="115"/>
        <v>632</v>
      </c>
      <c r="F2179" s="109">
        <f t="shared" si="116"/>
        <v>1344</v>
      </c>
    </row>
    <row r="2180" spans="2:6" x14ac:dyDescent="0.2">
      <c r="B2180" s="13">
        <f t="shared" si="112"/>
        <v>2177</v>
      </c>
      <c r="C2180" s="8">
        <f t="shared" si="113"/>
        <v>2</v>
      </c>
      <c r="D2180" s="8">
        <f t="shared" si="114"/>
        <v>9</v>
      </c>
      <c r="E2180" s="108">
        <f t="shared" si="115"/>
        <v>632</v>
      </c>
      <c r="F2180" s="109">
        <f t="shared" si="116"/>
        <v>1048</v>
      </c>
    </row>
    <row r="2181" spans="2:6" x14ac:dyDescent="0.2">
      <c r="B2181" s="13">
        <f t="shared" si="112"/>
        <v>2178</v>
      </c>
      <c r="C2181" s="8">
        <f t="shared" si="113"/>
        <v>3</v>
      </c>
      <c r="D2181" s="8">
        <f t="shared" si="114"/>
        <v>9</v>
      </c>
      <c r="E2181" s="108">
        <f t="shared" si="115"/>
        <v>632</v>
      </c>
      <c r="F2181" s="109">
        <f t="shared" si="116"/>
        <v>1025</v>
      </c>
    </row>
    <row r="2182" spans="2:6" x14ac:dyDescent="0.2">
      <c r="B2182" s="13">
        <f t="shared" si="112"/>
        <v>2179</v>
      </c>
      <c r="C2182" s="8">
        <f t="shared" si="113"/>
        <v>4</v>
      </c>
      <c r="D2182" s="8">
        <f t="shared" si="114"/>
        <v>9</v>
      </c>
      <c r="E2182" s="108">
        <f t="shared" si="115"/>
        <v>632</v>
      </c>
      <c r="F2182" s="109">
        <f t="shared" si="116"/>
        <v>805</v>
      </c>
    </row>
    <row r="2183" spans="2:6" x14ac:dyDescent="0.2">
      <c r="B2183" s="13">
        <f t="shared" si="112"/>
        <v>2180</v>
      </c>
      <c r="C2183" s="8">
        <f t="shared" si="113"/>
        <v>5</v>
      </c>
      <c r="D2183" s="8">
        <f t="shared" si="114"/>
        <v>9</v>
      </c>
      <c r="E2183" s="108">
        <f t="shared" si="115"/>
        <v>632</v>
      </c>
      <c r="F2183" s="109">
        <f t="shared" si="116"/>
        <v>666</v>
      </c>
    </row>
    <row r="2184" spans="2:6" x14ac:dyDescent="0.2">
      <c r="B2184" s="13">
        <f t="shared" si="112"/>
        <v>2181</v>
      </c>
      <c r="C2184" s="8">
        <f t="shared" si="113"/>
        <v>6</v>
      </c>
      <c r="D2184" s="8">
        <f t="shared" si="114"/>
        <v>9</v>
      </c>
      <c r="E2184" s="108">
        <f t="shared" si="115"/>
        <v>632</v>
      </c>
      <c r="F2184" s="109">
        <f t="shared" si="116"/>
        <v>655</v>
      </c>
    </row>
    <row r="2185" spans="2:6" x14ac:dyDescent="0.2">
      <c r="B2185" s="13">
        <f t="shared" si="112"/>
        <v>2182</v>
      </c>
      <c r="C2185" s="8">
        <f t="shared" si="113"/>
        <v>7</v>
      </c>
      <c r="D2185" s="8">
        <f t="shared" si="114"/>
        <v>9</v>
      </c>
      <c r="E2185" s="108">
        <f t="shared" si="115"/>
        <v>632</v>
      </c>
      <c r="F2185" s="109">
        <f t="shared" si="116"/>
        <v>652</v>
      </c>
    </row>
    <row r="2186" spans="2:6" x14ac:dyDescent="0.2">
      <c r="B2186" s="13">
        <f t="shared" si="112"/>
        <v>2183</v>
      </c>
      <c r="C2186" s="8">
        <f t="shared" si="113"/>
        <v>8</v>
      </c>
      <c r="D2186" s="8">
        <f t="shared" si="114"/>
        <v>9</v>
      </c>
      <c r="E2186" s="108">
        <f t="shared" si="115"/>
        <v>632</v>
      </c>
      <c r="F2186" s="109">
        <f t="shared" si="116"/>
        <v>633</v>
      </c>
    </row>
    <row r="2187" spans="2:6" x14ac:dyDescent="0.2">
      <c r="B2187" s="13">
        <f t="shared" si="112"/>
        <v>2184</v>
      </c>
      <c r="C2187" s="8">
        <f t="shared" si="113"/>
        <v>1</v>
      </c>
      <c r="D2187" s="8">
        <f t="shared" si="114"/>
        <v>8</v>
      </c>
      <c r="E2187" s="108">
        <f t="shared" si="115"/>
        <v>633</v>
      </c>
      <c r="F2187" s="109">
        <f t="shared" si="116"/>
        <v>1344</v>
      </c>
    </row>
    <row r="2188" spans="2:6" x14ac:dyDescent="0.2">
      <c r="B2188" s="13">
        <f t="shared" si="112"/>
        <v>2185</v>
      </c>
      <c r="C2188" s="8">
        <f t="shared" si="113"/>
        <v>2</v>
      </c>
      <c r="D2188" s="8">
        <f t="shared" si="114"/>
        <v>8</v>
      </c>
      <c r="E2188" s="108">
        <f t="shared" si="115"/>
        <v>633</v>
      </c>
      <c r="F2188" s="109">
        <f t="shared" si="116"/>
        <v>1048</v>
      </c>
    </row>
    <row r="2189" spans="2:6" x14ac:dyDescent="0.2">
      <c r="B2189" s="13">
        <f t="shared" si="112"/>
        <v>2186</v>
      </c>
      <c r="C2189" s="8">
        <f t="shared" si="113"/>
        <v>3</v>
      </c>
      <c r="D2189" s="8">
        <f t="shared" si="114"/>
        <v>8</v>
      </c>
      <c r="E2189" s="108">
        <f t="shared" si="115"/>
        <v>633</v>
      </c>
      <c r="F2189" s="109">
        <f t="shared" si="116"/>
        <v>1025</v>
      </c>
    </row>
    <row r="2190" spans="2:6" x14ac:dyDescent="0.2">
      <c r="B2190" s="13">
        <f t="shared" si="112"/>
        <v>2187</v>
      </c>
      <c r="C2190" s="8">
        <f t="shared" si="113"/>
        <v>4</v>
      </c>
      <c r="D2190" s="8">
        <f t="shared" si="114"/>
        <v>8</v>
      </c>
      <c r="E2190" s="108">
        <f t="shared" si="115"/>
        <v>633</v>
      </c>
      <c r="F2190" s="109">
        <f t="shared" si="116"/>
        <v>805</v>
      </c>
    </row>
    <row r="2191" spans="2:6" x14ac:dyDescent="0.2">
      <c r="B2191" s="13">
        <f t="shared" si="112"/>
        <v>2188</v>
      </c>
      <c r="C2191" s="8">
        <f t="shared" si="113"/>
        <v>5</v>
      </c>
      <c r="D2191" s="8">
        <f t="shared" si="114"/>
        <v>8</v>
      </c>
      <c r="E2191" s="108">
        <f t="shared" si="115"/>
        <v>633</v>
      </c>
      <c r="F2191" s="109">
        <f t="shared" si="116"/>
        <v>666</v>
      </c>
    </row>
    <row r="2192" spans="2:6" x14ac:dyDescent="0.2">
      <c r="B2192" s="13">
        <f t="shared" si="112"/>
        <v>2189</v>
      </c>
      <c r="C2192" s="8">
        <f t="shared" si="113"/>
        <v>6</v>
      </c>
      <c r="D2192" s="8">
        <f t="shared" si="114"/>
        <v>8</v>
      </c>
      <c r="E2192" s="108">
        <f t="shared" si="115"/>
        <v>633</v>
      </c>
      <c r="F2192" s="109">
        <f t="shared" si="116"/>
        <v>655</v>
      </c>
    </row>
    <row r="2193" spans="2:6" x14ac:dyDescent="0.2">
      <c r="B2193" s="13">
        <f t="shared" si="112"/>
        <v>2190</v>
      </c>
      <c r="C2193" s="8">
        <f t="shared" si="113"/>
        <v>7</v>
      </c>
      <c r="D2193" s="8">
        <f t="shared" si="114"/>
        <v>8</v>
      </c>
      <c r="E2193" s="108">
        <f t="shared" si="115"/>
        <v>633</v>
      </c>
      <c r="F2193" s="109">
        <f t="shared" si="116"/>
        <v>652</v>
      </c>
    </row>
    <row r="2194" spans="2:6" x14ac:dyDescent="0.2">
      <c r="B2194" s="13">
        <f t="shared" si="112"/>
        <v>2191</v>
      </c>
      <c r="C2194" s="8">
        <f t="shared" si="113"/>
        <v>1</v>
      </c>
      <c r="D2194" s="8">
        <f t="shared" si="114"/>
        <v>7</v>
      </c>
      <c r="E2194" s="108">
        <f t="shared" si="115"/>
        <v>652</v>
      </c>
      <c r="F2194" s="109">
        <f t="shared" si="116"/>
        <v>1344</v>
      </c>
    </row>
    <row r="2195" spans="2:6" x14ac:dyDescent="0.2">
      <c r="B2195" s="13">
        <f t="shared" si="112"/>
        <v>2192</v>
      </c>
      <c r="C2195" s="8">
        <f t="shared" si="113"/>
        <v>2</v>
      </c>
      <c r="D2195" s="8">
        <f t="shared" si="114"/>
        <v>7</v>
      </c>
      <c r="E2195" s="108">
        <f t="shared" si="115"/>
        <v>652</v>
      </c>
      <c r="F2195" s="109">
        <f t="shared" si="116"/>
        <v>1048</v>
      </c>
    </row>
    <row r="2196" spans="2:6" x14ac:dyDescent="0.2">
      <c r="B2196" s="13">
        <f t="shared" si="112"/>
        <v>2193</v>
      </c>
      <c r="C2196" s="8">
        <f t="shared" si="113"/>
        <v>3</v>
      </c>
      <c r="D2196" s="8">
        <f t="shared" si="114"/>
        <v>7</v>
      </c>
      <c r="E2196" s="108">
        <f t="shared" si="115"/>
        <v>652</v>
      </c>
      <c r="F2196" s="109">
        <f t="shared" si="116"/>
        <v>1025</v>
      </c>
    </row>
    <row r="2197" spans="2:6" x14ac:dyDescent="0.2">
      <c r="B2197" s="13">
        <f t="shared" si="112"/>
        <v>2194</v>
      </c>
      <c r="C2197" s="8">
        <f t="shared" si="113"/>
        <v>4</v>
      </c>
      <c r="D2197" s="8">
        <f t="shared" si="114"/>
        <v>7</v>
      </c>
      <c r="E2197" s="108">
        <f t="shared" si="115"/>
        <v>652</v>
      </c>
      <c r="F2197" s="109">
        <f t="shared" si="116"/>
        <v>805</v>
      </c>
    </row>
    <row r="2198" spans="2:6" x14ac:dyDescent="0.2">
      <c r="B2198" s="13">
        <f t="shared" si="112"/>
        <v>2195</v>
      </c>
      <c r="C2198" s="8">
        <f t="shared" si="113"/>
        <v>5</v>
      </c>
      <c r="D2198" s="8">
        <f t="shared" si="114"/>
        <v>7</v>
      </c>
      <c r="E2198" s="108">
        <f t="shared" si="115"/>
        <v>652</v>
      </c>
      <c r="F2198" s="109">
        <f t="shared" si="116"/>
        <v>666</v>
      </c>
    </row>
    <row r="2199" spans="2:6" x14ac:dyDescent="0.2">
      <c r="B2199" s="13">
        <f t="shared" si="112"/>
        <v>2196</v>
      </c>
      <c r="C2199" s="8">
        <f t="shared" si="113"/>
        <v>6</v>
      </c>
      <c r="D2199" s="8">
        <f t="shared" si="114"/>
        <v>7</v>
      </c>
      <c r="E2199" s="108">
        <f t="shared" si="115"/>
        <v>652</v>
      </c>
      <c r="F2199" s="109">
        <f t="shared" si="116"/>
        <v>655</v>
      </c>
    </row>
    <row r="2200" spans="2:6" x14ac:dyDescent="0.2">
      <c r="B2200" s="13">
        <f t="shared" si="112"/>
        <v>2197</v>
      </c>
      <c r="C2200" s="8">
        <f t="shared" si="113"/>
        <v>1</v>
      </c>
      <c r="D2200" s="8">
        <f t="shared" si="114"/>
        <v>6</v>
      </c>
      <c r="E2200" s="108">
        <f t="shared" si="115"/>
        <v>655</v>
      </c>
      <c r="F2200" s="109">
        <f t="shared" si="116"/>
        <v>1344</v>
      </c>
    </row>
    <row r="2201" spans="2:6" x14ac:dyDescent="0.2">
      <c r="B2201" s="13">
        <f t="shared" si="112"/>
        <v>2198</v>
      </c>
      <c r="C2201" s="8">
        <f t="shared" si="113"/>
        <v>2</v>
      </c>
      <c r="D2201" s="8">
        <f t="shared" si="114"/>
        <v>6</v>
      </c>
      <c r="E2201" s="108">
        <f t="shared" si="115"/>
        <v>655</v>
      </c>
      <c r="F2201" s="109">
        <f t="shared" si="116"/>
        <v>1048</v>
      </c>
    </row>
    <row r="2202" spans="2:6" x14ac:dyDescent="0.2">
      <c r="B2202" s="13">
        <f t="shared" si="112"/>
        <v>2199</v>
      </c>
      <c r="C2202" s="8">
        <f t="shared" si="113"/>
        <v>3</v>
      </c>
      <c r="D2202" s="8">
        <f t="shared" si="114"/>
        <v>6</v>
      </c>
      <c r="E2202" s="108">
        <f t="shared" si="115"/>
        <v>655</v>
      </c>
      <c r="F2202" s="109">
        <f t="shared" si="116"/>
        <v>1025</v>
      </c>
    </row>
    <row r="2203" spans="2:6" x14ac:dyDescent="0.2">
      <c r="B2203" s="13">
        <f t="shared" si="112"/>
        <v>2200</v>
      </c>
      <c r="C2203" s="8">
        <f t="shared" si="113"/>
        <v>4</v>
      </c>
      <c r="D2203" s="8">
        <f t="shared" si="114"/>
        <v>6</v>
      </c>
      <c r="E2203" s="108">
        <f t="shared" si="115"/>
        <v>655</v>
      </c>
      <c r="F2203" s="109">
        <f t="shared" si="116"/>
        <v>805</v>
      </c>
    </row>
    <row r="2204" spans="2:6" x14ac:dyDescent="0.2">
      <c r="B2204" s="13">
        <f t="shared" si="112"/>
        <v>2201</v>
      </c>
      <c r="C2204" s="8">
        <f t="shared" si="113"/>
        <v>5</v>
      </c>
      <c r="D2204" s="8">
        <f t="shared" si="114"/>
        <v>6</v>
      </c>
      <c r="E2204" s="108">
        <f t="shared" si="115"/>
        <v>655</v>
      </c>
      <c r="F2204" s="109">
        <f t="shared" si="116"/>
        <v>666</v>
      </c>
    </row>
    <row r="2205" spans="2:6" x14ac:dyDescent="0.2">
      <c r="B2205" s="13">
        <f t="shared" si="112"/>
        <v>2202</v>
      </c>
      <c r="C2205" s="8">
        <f t="shared" si="113"/>
        <v>1</v>
      </c>
      <c r="D2205" s="8">
        <f t="shared" si="114"/>
        <v>5</v>
      </c>
      <c r="E2205" s="108">
        <f t="shared" si="115"/>
        <v>666</v>
      </c>
      <c r="F2205" s="109">
        <f t="shared" si="116"/>
        <v>1344</v>
      </c>
    </row>
    <row r="2206" spans="2:6" x14ac:dyDescent="0.2">
      <c r="B2206" s="13">
        <f t="shared" si="112"/>
        <v>2203</v>
      </c>
      <c r="C2206" s="8">
        <f t="shared" si="113"/>
        <v>2</v>
      </c>
      <c r="D2206" s="8">
        <f t="shared" si="114"/>
        <v>5</v>
      </c>
      <c r="E2206" s="108">
        <f t="shared" si="115"/>
        <v>666</v>
      </c>
      <c r="F2206" s="109">
        <f t="shared" si="116"/>
        <v>1048</v>
      </c>
    </row>
    <row r="2207" spans="2:6" x14ac:dyDescent="0.2">
      <c r="B2207" s="13">
        <f t="shared" si="112"/>
        <v>2204</v>
      </c>
      <c r="C2207" s="8">
        <f t="shared" si="113"/>
        <v>3</v>
      </c>
      <c r="D2207" s="8">
        <f t="shared" si="114"/>
        <v>5</v>
      </c>
      <c r="E2207" s="108">
        <f t="shared" si="115"/>
        <v>666</v>
      </c>
      <c r="F2207" s="109">
        <f t="shared" si="116"/>
        <v>1025</v>
      </c>
    </row>
    <row r="2208" spans="2:6" x14ac:dyDescent="0.2">
      <c r="B2208" s="13">
        <f t="shared" si="112"/>
        <v>2205</v>
      </c>
      <c r="C2208" s="8">
        <f t="shared" si="113"/>
        <v>4</v>
      </c>
      <c r="D2208" s="8">
        <f t="shared" si="114"/>
        <v>5</v>
      </c>
      <c r="E2208" s="108">
        <f t="shared" si="115"/>
        <v>666</v>
      </c>
      <c r="F2208" s="109">
        <f t="shared" si="116"/>
        <v>805</v>
      </c>
    </row>
    <row r="2209" spans="1:6" x14ac:dyDescent="0.2">
      <c r="B2209" s="13">
        <f t="shared" si="112"/>
        <v>2206</v>
      </c>
      <c r="C2209" s="8">
        <f t="shared" si="113"/>
        <v>1</v>
      </c>
      <c r="D2209" s="8">
        <f t="shared" si="114"/>
        <v>4</v>
      </c>
      <c r="E2209" s="108">
        <f t="shared" si="115"/>
        <v>805</v>
      </c>
      <c r="F2209" s="109">
        <f t="shared" si="116"/>
        <v>1344</v>
      </c>
    </row>
    <row r="2210" spans="1:6" x14ac:dyDescent="0.2">
      <c r="B2210" s="13">
        <f t="shared" si="112"/>
        <v>2207</v>
      </c>
      <c r="C2210" s="8">
        <f t="shared" si="113"/>
        <v>2</v>
      </c>
      <c r="D2210" s="8">
        <f t="shared" si="114"/>
        <v>4</v>
      </c>
      <c r="E2210" s="108">
        <f t="shared" si="115"/>
        <v>805</v>
      </c>
      <c r="F2210" s="109">
        <f t="shared" si="116"/>
        <v>1048</v>
      </c>
    </row>
    <row r="2211" spans="1:6" x14ac:dyDescent="0.2">
      <c r="B2211" s="13">
        <f t="shared" si="112"/>
        <v>2208</v>
      </c>
      <c r="C2211" s="8">
        <f t="shared" si="113"/>
        <v>3</v>
      </c>
      <c r="D2211" s="8">
        <f t="shared" si="114"/>
        <v>4</v>
      </c>
      <c r="E2211" s="108">
        <f t="shared" si="115"/>
        <v>805</v>
      </c>
      <c r="F2211" s="109">
        <f t="shared" si="116"/>
        <v>1025</v>
      </c>
    </row>
    <row r="2212" spans="1:6" x14ac:dyDescent="0.2">
      <c r="B2212" s="13">
        <f t="shared" si="112"/>
        <v>2209</v>
      </c>
      <c r="C2212" s="8">
        <f t="shared" si="113"/>
        <v>1</v>
      </c>
      <c r="D2212" s="8">
        <f t="shared" si="114"/>
        <v>3</v>
      </c>
      <c r="E2212" s="108">
        <f t="shared" si="115"/>
        <v>1025</v>
      </c>
      <c r="F2212" s="109">
        <f t="shared" si="116"/>
        <v>1344</v>
      </c>
    </row>
    <row r="2213" spans="1:6" x14ac:dyDescent="0.2">
      <c r="B2213" s="13">
        <f t="shared" si="112"/>
        <v>2210</v>
      </c>
      <c r="C2213" s="8">
        <f t="shared" si="113"/>
        <v>2</v>
      </c>
      <c r="D2213" s="8">
        <f t="shared" si="114"/>
        <v>3</v>
      </c>
      <c r="E2213" s="108">
        <f t="shared" si="115"/>
        <v>1025</v>
      </c>
      <c r="F2213" s="109">
        <f t="shared" si="116"/>
        <v>1048</v>
      </c>
    </row>
    <row r="2214" spans="1:6" x14ac:dyDescent="0.2">
      <c r="A2214" s="2" t="s">
        <v>164</v>
      </c>
      <c r="B2214" s="13">
        <f t="shared" si="112"/>
        <v>2211</v>
      </c>
      <c r="C2214" s="8">
        <f t="shared" si="113"/>
        <v>1</v>
      </c>
      <c r="D2214" s="8">
        <f t="shared" si="114"/>
        <v>2</v>
      </c>
      <c r="E2214" s="108">
        <f t="shared" si="115"/>
        <v>1048</v>
      </c>
      <c r="F2214" s="109">
        <f t="shared" si="116"/>
        <v>1344</v>
      </c>
    </row>
  </sheetData>
  <sortState xmlns:xlrd2="http://schemas.microsoft.com/office/spreadsheetml/2017/richdata2" ref="K4:K82">
    <sortCondition descending="1" ref="K4:K82"/>
  </sortState>
  <conditionalFormatting sqref="K4">
    <cfRule type="expression" dxfId="2" priority="2">
      <formula>AND(#REF!=#REF!,#REF!&lt;&gt;"")</formula>
    </cfRule>
  </conditionalFormatting>
  <conditionalFormatting sqref="K5:K85">
    <cfRule type="expression" dxfId="1" priority="1">
      <formula>AND(#REF!=#REF!,#REF!&lt;&gt;"")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AC145"/>
  <sheetViews>
    <sheetView showGridLines="0" zoomScale="80" zoomScaleNormal="80" workbookViewId="0">
      <pane xSplit="2" ySplit="5" topLeftCell="C115" activePane="bottomRight" state="frozen"/>
      <selection pane="topRight" activeCell="C1" sqref="C1"/>
      <selection pane="bottomLeft" activeCell="A8" sqref="A8"/>
      <selection pane="bottomRight" activeCell="G6" sqref="G6:G144"/>
    </sheetView>
  </sheetViews>
  <sheetFormatPr baseColWidth="10" defaultColWidth="11" defaultRowHeight="14.25" x14ac:dyDescent="0.2"/>
  <cols>
    <col min="1" max="1" width="1.625" customWidth="1"/>
    <col min="3" max="5" width="18.125" customWidth="1"/>
    <col min="6" max="6" width="37.125" bestFit="1" customWidth="1"/>
    <col min="8" max="8" width="14.75" customWidth="1"/>
    <col min="10" max="10" width="12.25" customWidth="1"/>
    <col min="11" max="11" width="11.125" customWidth="1"/>
    <col min="12" max="12" width="13.375" style="16" customWidth="1"/>
    <col min="13" max="13" width="16.75" style="16" customWidth="1"/>
    <col min="14" max="14" width="15.125" style="16" customWidth="1"/>
    <col min="15" max="15" width="12.375" style="16" customWidth="1"/>
    <col min="16" max="16" width="15.125" style="16" customWidth="1"/>
    <col min="17" max="17" width="13.5" style="16" customWidth="1"/>
    <col min="18" max="22" width="13.875" style="16" customWidth="1"/>
    <col min="23" max="23" width="14" style="16" customWidth="1"/>
    <col min="24" max="24" width="11.75" style="16" customWidth="1"/>
    <col min="25" max="25" width="14" style="16" customWidth="1"/>
    <col min="26" max="26" width="12.875" style="16" customWidth="1"/>
    <col min="29" max="29" width="12" bestFit="1" customWidth="1"/>
  </cols>
  <sheetData>
    <row r="2" spans="2:27" ht="15" x14ac:dyDescent="0.2">
      <c r="C2" s="25" t="s">
        <v>10</v>
      </c>
      <c r="D2" s="25" t="s">
        <v>11</v>
      </c>
    </row>
    <row r="3" spans="2:27" x14ac:dyDescent="0.2">
      <c r="C3" s="45">
        <f>IFERROR(DatosHoy[[#Totals],[G Actual]]/DatosHoy[[#Totals],[CT Actual]],"")</f>
        <v>0.91604939794220608</v>
      </c>
      <c r="D3" s="45">
        <f>IFERROR(DatosHoy[[#Totals],[G+V Actual]]/DatosHoy[[#Totals],[CT Actual]],"")</f>
        <v>0.99846342354341056</v>
      </c>
    </row>
    <row r="5" spans="2:27" ht="15" x14ac:dyDescent="0.2">
      <c r="B5" s="7" t="s">
        <v>12</v>
      </c>
      <c r="C5" s="7" t="s">
        <v>13</v>
      </c>
      <c r="D5" s="7" t="s">
        <v>14</v>
      </c>
      <c r="E5" s="7" t="s">
        <v>15</v>
      </c>
      <c r="F5" s="7" t="s">
        <v>16</v>
      </c>
      <c r="G5" s="7" t="s">
        <v>17</v>
      </c>
      <c r="H5" s="4" t="s">
        <v>18</v>
      </c>
      <c r="I5" s="4" t="s">
        <v>19</v>
      </c>
      <c r="J5" s="4" t="s">
        <v>20</v>
      </c>
      <c r="K5" s="4" t="s">
        <v>21</v>
      </c>
      <c r="L5" s="17" t="s">
        <v>22</v>
      </c>
      <c r="M5" s="17" t="s">
        <v>23</v>
      </c>
      <c r="N5" s="17" t="s">
        <v>24</v>
      </c>
      <c r="O5" s="18" t="s">
        <v>25</v>
      </c>
      <c r="P5" s="18" t="s">
        <v>26</v>
      </c>
      <c r="Q5" s="18" t="s">
        <v>27</v>
      </c>
      <c r="R5" s="19" t="s">
        <v>28</v>
      </c>
      <c r="S5" s="19" t="s">
        <v>29</v>
      </c>
      <c r="T5" s="19" t="s">
        <v>30</v>
      </c>
      <c r="U5" s="19" t="s">
        <v>31</v>
      </c>
      <c r="V5" s="19" t="s">
        <v>32</v>
      </c>
      <c r="W5" s="20" t="s">
        <v>33</v>
      </c>
      <c r="X5" s="18" t="s">
        <v>34</v>
      </c>
      <c r="Y5" s="18" t="s">
        <v>35</v>
      </c>
      <c r="Z5" s="18" t="s">
        <v>36</v>
      </c>
      <c r="AA5" s="6" t="s">
        <v>37</v>
      </c>
    </row>
    <row r="6" spans="2:27" x14ac:dyDescent="0.2">
      <c r="B6" s="1">
        <v>1</v>
      </c>
      <c r="C6" s="15">
        <v>2295683.1700000004</v>
      </c>
      <c r="D6" s="15">
        <v>2295683.1700000004</v>
      </c>
      <c r="E6" s="15">
        <v>2295683.1700000004</v>
      </c>
      <c r="F6" s="1" t="s">
        <v>83</v>
      </c>
      <c r="G6" s="1">
        <v>138</v>
      </c>
      <c r="H6" s="1" t="str">
        <f t="shared" ref="H6:H11" si="0">"$"&amp;"G"&amp;"$"&amp;ROW()</f>
        <v>$G$6</v>
      </c>
      <c r="I6" s="1" t="str">
        <f t="shared" ref="I6:I11" si="1">"$"&amp;"C"&amp;"$"&amp;ROW()</f>
        <v>$C$6</v>
      </c>
      <c r="J6" s="1" t="str">
        <f t="shared" ref="J6:J11" si="2">"$"&amp;"D"&amp;"$"&amp;ROW()</f>
        <v>$D$6</v>
      </c>
      <c r="K6" s="1" t="str">
        <f t="shared" ref="K6:K11" si="3">"$"&amp;"E"&amp;"$"&amp;ROW()</f>
        <v>$E$6</v>
      </c>
      <c r="L6" s="15">
        <f ca="1">IFERROR(VLOOKUP($G6,Regresiones!$E$6:$I$10,4,1)*$G6+VLOOKUP($G6,Regresiones!$E$6:$I$10,5,1),"")</f>
        <v>1920490.090402096</v>
      </c>
      <c r="M6" s="15">
        <f ca="1">IFERROR(VLOOKUP($G6,Regresiones!$J$6:$N$10,4,1)*$G6+VLOOKUP($G6,Regresiones!$J$6:$N$10,5,1),"")</f>
        <v>1906512.2667571232</v>
      </c>
      <c r="N6" s="15">
        <f ca="1">IFERROR(VLOOKUP($G6,Regresiones!$O$6:$S$10,4,1)*$G6+VLOOKUP($G6,Regresiones!$O$6:$S$10,5,1),"")</f>
        <v>1906512.2667571232</v>
      </c>
      <c r="O6" s="15">
        <f ca="1">IFERROR(VLOOKUP($G6,Regresiones!$T$6:$V$10,2,1)*$G6+VLOOKUP($G6,Regresiones!$T$6:$V$10,3,1),"")</f>
        <v>2102959.1857445557</v>
      </c>
      <c r="P6" s="15">
        <f ca="1">IFERROR(VLOOKUP($G6,Regresiones!$W$6:$Y$10,2,1)*$G6+VLOOKUP($G6,Regresiones!$W$6:$Y$10,3,1),"")</f>
        <v>2292155.6772891902</v>
      </c>
      <c r="Q6" s="15">
        <f ca="1">IFERROR(VLOOKUP($G6,Regresiones!$Z$6:$AB$10,2,1)*$G6+VLOOKUP($G6,Regresiones!$Z$6:$AB$10,3,1),"")</f>
        <v>2295683.1700000009</v>
      </c>
      <c r="R6" s="15">
        <f>IF($W6=$W7,-1,DatosHoy[[#This Row],[G ajus PM]]-X7)</f>
        <v>-1</v>
      </c>
      <c r="S6" s="15">
        <f>IF($W6=$W7,-1,DatosHoy[[#This Row],[G+V ajus PM]]-Y7)</f>
        <v>-1</v>
      </c>
      <c r="T6" s="15">
        <f>IF($W6=$W7,-1,DatosHoy[[#This Row],[CT ajus PM]]-Z7)</f>
        <v>-1</v>
      </c>
      <c r="U6" s="15">
        <f ca="1">IFERROR(IF(DatosHoy[[#This Row],[G ajus PM]]=DatosHoy[[#This Row],[G+V ajus PM]],-1,DatosHoy[[#This Row],[G ajus PM]]-DatosHoy[[#This Row],[G+V ajus PM]]),"")</f>
        <v>-191533.1695659766</v>
      </c>
      <c r="V6" s="15">
        <f ca="1">IFERROR(IF(DatosHoy[[#This Row],[G+V ajus PM]]=DatosHoy[[#This Row],[CT ajus PM]],-1,DatosHoy[[#This Row],[G+V ajus PM]]-DatosHoy[[#This Row],[CT ajus PM]]),"")</f>
        <v>-3461.1864568479359</v>
      </c>
      <c r="W6" s="15">
        <v>143</v>
      </c>
      <c r="X6" s="15">
        <f ca="1">IFERROR(IFERROR(VLOOKUP($W6,Regresiones!$T$6:$V$10,2,1)*$W6+VLOOKUP($W6,Regresiones!$T$6:$V$10,3,1),VLOOKUP(MIN(DatosHoy[Puntos]),Regresiones!$T$6:$V$10,2,1)*$W6+VLOOKUP(MIN(DatosHoy[Puntos]),Regresiones!$T$6:$V$10,3,1)),"NO")</f>
        <v>2156310.991119599</v>
      </c>
      <c r="Y6" s="15">
        <f ca="1">IFERROR(IFERROR(VLOOKUP($W6,Regresiones!$W$6:$Y$10,2,1)*$W6+VLOOKUP($W6,Regresiones!$W$6:$Y$10,3,1),VLOOKUP(MIN(DatosHoy[Puntos]),Regresiones!$W$6:$Y$10,2,1)*$W6+VLOOKUP(MIN(DatosHoy[Puntos]),Regresiones!$W$6:$Y$10,3,1)),"NO")</f>
        <v>2347844.1606855756</v>
      </c>
      <c r="Z6" s="15">
        <f ca="1">IFERROR(IFERROR(VLOOKUP($W6,Regresiones!$Z$6:$AB$10,2,1)*$W6+VLOOKUP($W6,Regresiones!$Z$6:$AB$10,3,1),VLOOKUP(MIN(DatosHoy[Puntos]),Regresiones!$Z$6:$AB$10,2,1)*$W6+VLOOKUP(MIN(DatosHoy[Puntos]),Regresiones!$Z$6:$AB$10,3,1)),"NO")</f>
        <v>2351305.3471424235</v>
      </c>
      <c r="AA6" s="3">
        <f t="shared" ref="AA6:AA37" ca="1" si="4">IFERROR(E6/Z6,"NO")</f>
        <v>0.97634412850290941</v>
      </c>
    </row>
    <row r="7" spans="2:27" x14ac:dyDescent="0.2">
      <c r="B7" s="1">
        <v>2</v>
      </c>
      <c r="C7" s="15">
        <v>2295683.1700000004</v>
      </c>
      <c r="D7" s="15">
        <v>2295683.1700000004</v>
      </c>
      <c r="E7" s="15">
        <v>2295683.1700000004</v>
      </c>
      <c r="F7" s="1" t="s">
        <v>84</v>
      </c>
      <c r="G7" s="1">
        <v>142</v>
      </c>
      <c r="H7" s="1" t="str">
        <f t="shared" si="0"/>
        <v>$G$7</v>
      </c>
      <c r="I7" s="1" t="str">
        <f t="shared" si="1"/>
        <v>$C$7</v>
      </c>
      <c r="J7" s="1" t="str">
        <f t="shared" si="2"/>
        <v>$D$7</v>
      </c>
      <c r="K7" s="1" t="str">
        <f t="shared" si="3"/>
        <v>$E$7</v>
      </c>
      <c r="L7" s="15">
        <f ca="1">IFERROR(VLOOKUP($G7,Regresiones!$E$6:$I$10,4,1)*$G7+VLOOKUP($G7,Regresiones!$E$6:$I$10,5,1),"")</f>
        <v>1971446.0910323521</v>
      </c>
      <c r="M7" s="15">
        <f ca="1">IFERROR(VLOOKUP($G7,Regresiones!$J$6:$N$10,4,1)*$G7+VLOOKUP($G7,Regresiones!$J$6:$N$10,5,1),"")</f>
        <v>1958339.009269767</v>
      </c>
      <c r="N7" s="15">
        <f ca="1">IFERROR(VLOOKUP($G7,Regresiones!$O$6:$S$10,4,1)*$G7+VLOOKUP($G7,Regresiones!$O$6:$S$10,5,1),"")</f>
        <v>1958339.009269767</v>
      </c>
      <c r="O7" s="15">
        <f ca="1">IFERROR(VLOOKUP($G7,Regresiones!$T$6:$V$10,2,1)*$G7+VLOOKUP($G7,Regresiones!$T$6:$V$10,3,1),"")</f>
        <v>2145640.6300445907</v>
      </c>
      <c r="P7" s="15">
        <f ca="1">IFERROR(VLOOKUP($G7,Regresiones!$W$6:$Y$10,2,1)*$G7+VLOOKUP($G7,Regresiones!$W$6:$Y$10,3,1),"")</f>
        <v>2336706.4640062987</v>
      </c>
      <c r="Q7" s="15">
        <f ca="1">IFERROR(VLOOKUP($G7,Regresiones!$Z$6:$AB$10,2,1)*$G7+VLOOKUP($G7,Regresiones!$Z$6:$AB$10,3,1),"")</f>
        <v>2340180.9117139392</v>
      </c>
      <c r="R7" s="15">
        <f ca="1">IF($W7=$W8,-1,DatosHoy[[#This Row],[G ajus PM]]-X8)</f>
        <v>-224077.58257518336</v>
      </c>
      <c r="S7" s="15">
        <f ca="1">IF($W7=$W8,-1,DatosHoy[[#This Row],[G+V ajus PM]]-Y8)</f>
        <v>-233891.63026481913</v>
      </c>
      <c r="T7" s="15">
        <f ca="1">IF($W7=$W8,-1,DatosHoy[[#This Row],[CT ajus PM]]-Z8)</f>
        <v>-233613.14399817586</v>
      </c>
      <c r="U7" s="15">
        <f ca="1">IFERROR(IF(DatosHoy[[#This Row],[G ajus PM]]=DatosHoy[[#This Row],[G+V ajus PM]],-1,DatosHoy[[#This Row],[G ajus PM]]-DatosHoy[[#This Row],[G+V ajus PM]]),"")</f>
        <v>-191533.1695659766</v>
      </c>
      <c r="V7" s="15">
        <f ca="1">IFERROR(IF(DatosHoy[[#This Row],[G+V ajus PM]]=DatosHoy[[#This Row],[CT ajus PM]],-1,DatosHoy[[#This Row],[G+V ajus PM]]-DatosHoy[[#This Row],[CT ajus PM]]),"")</f>
        <v>-3461.1864568479359</v>
      </c>
      <c r="W7" s="15">
        <v>143</v>
      </c>
      <c r="X7" s="15">
        <f ca="1">IFERROR(IFERROR(VLOOKUP($W7,Regresiones!$T$6:$V$10,2,1)*$W7+VLOOKUP($W7,Regresiones!$T$6:$V$10,3,1),VLOOKUP(MIN(DatosHoy[Puntos]),Regresiones!$T$6:$V$10,2,1)*$W7+VLOOKUP(MIN(DatosHoy[Puntos]),Regresiones!$T$6:$V$10,3,1)),"NO")</f>
        <v>2156310.991119599</v>
      </c>
      <c r="Y7" s="15">
        <f ca="1">IFERROR(IFERROR(VLOOKUP($W7,Regresiones!$W$6:$Y$10,2,1)*$W7+VLOOKUP($W7,Regresiones!$W$6:$Y$10,3,1),VLOOKUP(MIN(DatosHoy[Puntos]),Regresiones!$W$6:$Y$10,2,1)*$W7+VLOOKUP(MIN(DatosHoy[Puntos]),Regresiones!$W$6:$Y$10,3,1)),"NO")</f>
        <v>2347844.1606855756</v>
      </c>
      <c r="Z7" s="15">
        <f ca="1">IFERROR(IFERROR(VLOOKUP($W7,Regresiones!$Z$6:$AB$10,2,1)*$W7+VLOOKUP($W7,Regresiones!$Z$6:$AB$10,3,1),VLOOKUP(MIN(DatosHoy[Puntos]),Regresiones!$Z$6:$AB$10,2,1)*$W7+VLOOKUP(MIN(DatosHoy[Puntos]),Regresiones!$Z$6:$AB$10,3,1)),"NO")</f>
        <v>2351305.3471424235</v>
      </c>
      <c r="AA7" s="3">
        <f t="shared" ca="1" si="4"/>
        <v>0.97634412850290941</v>
      </c>
    </row>
    <row r="8" spans="2:27" x14ac:dyDescent="0.2">
      <c r="B8" s="1">
        <v>3</v>
      </c>
      <c r="C8" s="15">
        <v>2412173.5</v>
      </c>
      <c r="D8" s="15">
        <v>2412173.5</v>
      </c>
      <c r="E8" s="15">
        <v>2412173.5</v>
      </c>
      <c r="F8" s="1" t="s">
        <v>85</v>
      </c>
      <c r="G8" s="1">
        <v>168</v>
      </c>
      <c r="H8" s="1" t="str">
        <f t="shared" si="0"/>
        <v>$G$8</v>
      </c>
      <c r="I8" s="1" t="str">
        <f t="shared" si="1"/>
        <v>$C$8</v>
      </c>
      <c r="J8" s="1" t="str">
        <f t="shared" si="2"/>
        <v>$D$8</v>
      </c>
      <c r="K8" s="1" t="str">
        <f t="shared" si="3"/>
        <v>$E$8</v>
      </c>
      <c r="L8" s="15">
        <f ca="1">IFERROR(VLOOKUP($G8,Regresiones!$E$6:$I$10,4,1)*$G8+VLOOKUP($G8,Regresiones!$E$6:$I$10,5,1),"")</f>
        <v>2302660.0951290154</v>
      </c>
      <c r="M8" s="15">
        <f ca="1">IFERROR(VLOOKUP($G8,Regresiones!$J$6:$N$10,4,1)*$G8+VLOOKUP($G8,Regresiones!$J$6:$N$10,5,1),"")</f>
        <v>2295212.8356019533</v>
      </c>
      <c r="N8" s="15">
        <f ca="1">IFERROR(VLOOKUP($G8,Regresiones!$O$6:$S$10,4,1)*$G8+VLOOKUP($G8,Regresiones!$O$6:$S$10,5,1),"")</f>
        <v>2295212.8356019533</v>
      </c>
      <c r="O8" s="15">
        <f ca="1">IFERROR(VLOOKUP($G8,Regresiones!$T$6:$V$10,2,1)*$G8+VLOOKUP($G8,Regresiones!$T$6:$V$10,3,1),"")</f>
        <v>2423070.0179948173</v>
      </c>
      <c r="P8" s="15">
        <f ca="1">IFERROR(VLOOKUP($G8,Regresiones!$W$6:$Y$10,2,1)*$G8+VLOOKUP($G8,Regresiones!$W$6:$Y$10,3,1),"")</f>
        <v>2626286.5776675032</v>
      </c>
      <c r="Q8" s="15">
        <f ca="1">IFERROR(VLOOKUP($G8,Regresiones!$Z$6:$AB$10,2,1)*$G8+VLOOKUP($G8,Regresiones!$Z$6:$AB$10,3,1),"")</f>
        <v>2629416.2328545377</v>
      </c>
      <c r="R8" s="15">
        <f>IF($W8=$W9,-1,DatosHoy[[#This Row],[G ajus PM]]-X9)</f>
        <v>-1</v>
      </c>
      <c r="S8" s="15">
        <f>IF($W8=$W9,-1,DatosHoy[[#This Row],[G+V ajus PM]]-Y9)</f>
        <v>-1</v>
      </c>
      <c r="T8" s="15">
        <f>IF($W8=$W9,-1,DatosHoy[[#This Row],[CT ajus PM]]-Z9)</f>
        <v>-1</v>
      </c>
      <c r="U8" s="15">
        <f ca="1">IFERROR(IF(DatosHoy[[#This Row],[G ajus PM]]=DatosHoy[[#This Row],[G+V ajus PM]],-1,DatosHoy[[#This Row],[G ajus PM]]-DatosHoy[[#This Row],[G+V ajus PM]]),"")</f>
        <v>-201347.21725561237</v>
      </c>
      <c r="V8" s="15">
        <f ca="1">IFERROR(IF(DatosHoy[[#This Row],[G+V ajus PM]]=DatosHoy[[#This Row],[CT ajus PM]],-1,DatosHoy[[#This Row],[G+V ajus PM]]-DatosHoy[[#This Row],[CT ajus PM]]),"")</f>
        <v>-3182.7001902046613</v>
      </c>
      <c r="W8" s="15">
        <v>164</v>
      </c>
      <c r="X8" s="15">
        <f ca="1">IFERROR(IFERROR(VLOOKUP($W8,Regresiones!$T$6:$V$10,2,1)*$W8+VLOOKUP($W8,Regresiones!$T$6:$V$10,3,1),VLOOKUP(MIN(DatosHoy[Puntos]),Regresiones!$T$6:$V$10,2,1)*$W8+VLOOKUP(MIN(DatosHoy[Puntos]),Regresiones!$T$6:$V$10,3,1)),"NO")</f>
        <v>2380388.5736947823</v>
      </c>
      <c r="Y8" s="15">
        <f ca="1">IFERROR(IFERROR(VLOOKUP($W8,Regresiones!$W$6:$Y$10,2,1)*$W8+VLOOKUP($W8,Regresiones!$W$6:$Y$10,3,1),VLOOKUP(MIN(DatosHoy[Puntos]),Regresiones!$W$6:$Y$10,2,1)*$W8+VLOOKUP(MIN(DatosHoy[Puntos]),Regresiones!$W$6:$Y$10,3,1)),"NO")</f>
        <v>2581735.7909503947</v>
      </c>
      <c r="Z8" s="15">
        <f ca="1">IFERROR(IFERROR(VLOOKUP($W8,Regresiones!$Z$6:$AB$10,2,1)*$W8+VLOOKUP($W8,Regresiones!$Z$6:$AB$10,3,1),VLOOKUP(MIN(DatosHoy[Puntos]),Regresiones!$Z$6:$AB$10,2,1)*$W8+VLOOKUP(MIN(DatosHoy[Puntos]),Regresiones!$Z$6:$AB$10,3,1)),"NO")</f>
        <v>2584918.4911405994</v>
      </c>
      <c r="AA8" s="3">
        <f t="shared" ca="1" si="4"/>
        <v>0.93317197747911373</v>
      </c>
    </row>
    <row r="9" spans="2:27" x14ac:dyDescent="0.2">
      <c r="B9" s="1">
        <v>4</v>
      </c>
      <c r="C9" s="15">
        <v>2412173.5</v>
      </c>
      <c r="D9" s="15">
        <v>2412173.5</v>
      </c>
      <c r="E9" s="15">
        <v>2412173.5</v>
      </c>
      <c r="F9" s="1" t="s">
        <v>85</v>
      </c>
      <c r="G9" s="1">
        <v>168</v>
      </c>
      <c r="H9" s="1" t="str">
        <f t="shared" si="0"/>
        <v>$G$9</v>
      </c>
      <c r="I9" s="1" t="str">
        <f t="shared" si="1"/>
        <v>$C$9</v>
      </c>
      <c r="J9" s="1" t="str">
        <f t="shared" si="2"/>
        <v>$D$9</v>
      </c>
      <c r="K9" s="1" t="str">
        <f t="shared" si="3"/>
        <v>$E$9</v>
      </c>
      <c r="L9" s="15">
        <f ca="1">IFERROR(VLOOKUP($G9,Regresiones!$E$6:$I$10,4,1)*$G9+VLOOKUP($G9,Regresiones!$E$6:$I$10,5,1),"")</f>
        <v>2302660.0951290154</v>
      </c>
      <c r="M9" s="15">
        <f ca="1">IFERROR(VLOOKUP($G9,Regresiones!$J$6:$N$10,4,1)*$G9+VLOOKUP($G9,Regresiones!$J$6:$N$10,5,1),"")</f>
        <v>2295212.8356019533</v>
      </c>
      <c r="N9" s="15">
        <f ca="1">IFERROR(VLOOKUP($G9,Regresiones!$O$6:$S$10,4,1)*$G9+VLOOKUP($G9,Regresiones!$O$6:$S$10,5,1),"")</f>
        <v>2295212.8356019533</v>
      </c>
      <c r="O9" s="15">
        <f ca="1">IFERROR(VLOOKUP($G9,Regresiones!$T$6:$V$10,2,1)*$G9+VLOOKUP($G9,Regresiones!$T$6:$V$10,3,1),"")</f>
        <v>2423070.0179948173</v>
      </c>
      <c r="P9" s="15">
        <f ca="1">IFERROR(VLOOKUP($G9,Regresiones!$W$6:$Y$10,2,1)*$G9+VLOOKUP($G9,Regresiones!$W$6:$Y$10,3,1),"")</f>
        <v>2626286.5776675032</v>
      </c>
      <c r="Q9" s="15">
        <f ca="1">IFERROR(VLOOKUP($G9,Regresiones!$Z$6:$AB$10,2,1)*$G9+VLOOKUP($G9,Regresiones!$Z$6:$AB$10,3,1),"")</f>
        <v>2629416.2328545377</v>
      </c>
      <c r="R9" s="15">
        <f>IF($W9=$W10,-1,DatosHoy[[#This Row],[G ajus PM]]-X10)</f>
        <v>-1</v>
      </c>
      <c r="S9" s="15">
        <f>IF($W9=$W10,-1,DatosHoy[[#This Row],[G+V ajus PM]]-Y10)</f>
        <v>-1</v>
      </c>
      <c r="T9" s="15">
        <f>IF($W9=$W10,-1,DatosHoy[[#This Row],[CT ajus PM]]-Z10)</f>
        <v>-1</v>
      </c>
      <c r="U9" s="15">
        <f ca="1">IFERROR(IF(DatosHoy[[#This Row],[G ajus PM]]=DatosHoy[[#This Row],[G+V ajus PM]],-1,DatosHoy[[#This Row],[G ajus PM]]-DatosHoy[[#This Row],[G+V ajus PM]]),"")</f>
        <v>-201347.21725561237</v>
      </c>
      <c r="V9" s="15">
        <f ca="1">IFERROR(IF(DatosHoy[[#This Row],[G+V ajus PM]]=DatosHoy[[#This Row],[CT ajus PM]],-1,DatosHoy[[#This Row],[G+V ajus PM]]-DatosHoy[[#This Row],[CT ajus PM]]),"")</f>
        <v>-3182.7001902046613</v>
      </c>
      <c r="W9" s="15">
        <v>164</v>
      </c>
      <c r="X9" s="15">
        <f ca="1">IFERROR(IFERROR(VLOOKUP($W9,Regresiones!$T$6:$V$10,2,1)*$W9+VLOOKUP($W9,Regresiones!$T$6:$V$10,3,1),VLOOKUP(MIN(DatosHoy[Puntos]),Regresiones!$T$6:$V$10,2,1)*$W9+VLOOKUP(MIN(DatosHoy[Puntos]),Regresiones!$T$6:$V$10,3,1)),"NO")</f>
        <v>2380388.5736947823</v>
      </c>
      <c r="Y9" s="15">
        <f ca="1">IFERROR(IFERROR(VLOOKUP($W9,Regresiones!$W$6:$Y$10,2,1)*$W9+VLOOKUP($W9,Regresiones!$W$6:$Y$10,3,1),VLOOKUP(MIN(DatosHoy[Puntos]),Regresiones!$W$6:$Y$10,2,1)*$W9+VLOOKUP(MIN(DatosHoy[Puntos]),Regresiones!$W$6:$Y$10,3,1)),"NO")</f>
        <v>2581735.7909503947</v>
      </c>
      <c r="Z9" s="15">
        <f ca="1">IFERROR(IFERROR(VLOOKUP($W9,Regresiones!$Z$6:$AB$10,2,1)*$W9+VLOOKUP($W9,Regresiones!$Z$6:$AB$10,3,1),VLOOKUP(MIN(DatosHoy[Puntos]),Regresiones!$Z$6:$AB$10,2,1)*$W9+VLOOKUP(MIN(DatosHoy[Puntos]),Regresiones!$Z$6:$AB$10,3,1)),"NO")</f>
        <v>2584918.4911405994</v>
      </c>
      <c r="AA9" s="3">
        <f t="shared" ca="1" si="4"/>
        <v>0.93317197747911373</v>
      </c>
    </row>
    <row r="10" spans="2:27" x14ac:dyDescent="0.2">
      <c r="B10" s="1">
        <v>5</v>
      </c>
      <c r="C10" s="15">
        <v>2412173.5</v>
      </c>
      <c r="D10" s="15">
        <v>2412173.5</v>
      </c>
      <c r="E10" s="15">
        <v>2412173.5</v>
      </c>
      <c r="F10" s="1" t="s">
        <v>85</v>
      </c>
      <c r="G10" s="1">
        <v>168</v>
      </c>
      <c r="H10" s="1" t="str">
        <f t="shared" si="0"/>
        <v>$G$10</v>
      </c>
      <c r="I10" s="1" t="str">
        <f t="shared" si="1"/>
        <v>$C$10</v>
      </c>
      <c r="J10" s="1" t="str">
        <f t="shared" si="2"/>
        <v>$D$10</v>
      </c>
      <c r="K10" s="1" t="str">
        <f t="shared" si="3"/>
        <v>$E$10</v>
      </c>
      <c r="L10" s="15">
        <f ca="1">IFERROR(VLOOKUP($G10,Regresiones!$E$6:$I$10,4,1)*$G10+VLOOKUP($G10,Regresiones!$E$6:$I$10,5,1),"")</f>
        <v>2302660.0951290154</v>
      </c>
      <c r="M10" s="15">
        <f ca="1">IFERROR(VLOOKUP($G10,Regresiones!$J$6:$N$10,4,1)*$G10+VLOOKUP($G10,Regresiones!$J$6:$N$10,5,1),"")</f>
        <v>2295212.8356019533</v>
      </c>
      <c r="N10" s="15">
        <f ca="1">IFERROR(VLOOKUP($G10,Regresiones!$O$6:$S$10,4,1)*$G10+VLOOKUP($G10,Regresiones!$O$6:$S$10,5,1),"")</f>
        <v>2295212.8356019533</v>
      </c>
      <c r="O10" s="15">
        <f ca="1">IFERROR(VLOOKUP($G10,Regresiones!$T$6:$V$10,2,1)*$G10+VLOOKUP($G10,Regresiones!$T$6:$V$10,3,1),"")</f>
        <v>2423070.0179948173</v>
      </c>
      <c r="P10" s="15">
        <f ca="1">IFERROR(VLOOKUP($G10,Regresiones!$W$6:$Y$10,2,1)*$G10+VLOOKUP($G10,Regresiones!$W$6:$Y$10,3,1),"")</f>
        <v>2626286.5776675032</v>
      </c>
      <c r="Q10" s="15">
        <f ca="1">IFERROR(VLOOKUP($G10,Regresiones!$Z$6:$AB$10,2,1)*$G10+VLOOKUP($G10,Regresiones!$Z$6:$AB$10,3,1),"")</f>
        <v>2629416.2328545377</v>
      </c>
      <c r="R10" s="15">
        <f>IF($W10=$W11,-1,DatosHoy[[#This Row],[G ajus PM]]-X11)</f>
        <v>-1</v>
      </c>
      <c r="S10" s="15">
        <f>IF($W10=$W11,-1,DatosHoy[[#This Row],[G+V ajus PM]]-Y11)</f>
        <v>-1</v>
      </c>
      <c r="T10" s="15">
        <f>IF($W10=$W11,-1,DatosHoy[[#This Row],[CT ajus PM]]-Z11)</f>
        <v>-1</v>
      </c>
      <c r="U10" s="15">
        <f ca="1">IFERROR(IF(DatosHoy[[#This Row],[G ajus PM]]=DatosHoy[[#This Row],[G+V ajus PM]],-1,DatosHoy[[#This Row],[G ajus PM]]-DatosHoy[[#This Row],[G+V ajus PM]]),"")</f>
        <v>-201347.21725561237</v>
      </c>
      <c r="V10" s="15">
        <f ca="1">IFERROR(IF(DatosHoy[[#This Row],[G+V ajus PM]]=DatosHoy[[#This Row],[CT ajus PM]],-1,DatosHoy[[#This Row],[G+V ajus PM]]-DatosHoy[[#This Row],[CT ajus PM]]),"")</f>
        <v>-3182.7001902046613</v>
      </c>
      <c r="W10" s="15">
        <v>164</v>
      </c>
      <c r="X10" s="15">
        <f ca="1">IFERROR(IFERROR(VLOOKUP($W10,Regresiones!$T$6:$V$10,2,1)*$W10+VLOOKUP($W10,Regresiones!$T$6:$V$10,3,1),VLOOKUP(MIN(DatosHoy[Puntos]),Regresiones!$T$6:$V$10,2,1)*$W10+VLOOKUP(MIN(DatosHoy[Puntos]),Regresiones!$T$6:$V$10,3,1)),"NO")</f>
        <v>2380388.5736947823</v>
      </c>
      <c r="Y10" s="15">
        <f ca="1">IFERROR(IFERROR(VLOOKUP($W10,Regresiones!$W$6:$Y$10,2,1)*$W10+VLOOKUP($W10,Regresiones!$W$6:$Y$10,3,1),VLOOKUP(MIN(DatosHoy[Puntos]),Regresiones!$W$6:$Y$10,2,1)*$W10+VLOOKUP(MIN(DatosHoy[Puntos]),Regresiones!$W$6:$Y$10,3,1)),"NO")</f>
        <v>2581735.7909503947</v>
      </c>
      <c r="Z10" s="15">
        <f ca="1">IFERROR(IFERROR(VLOOKUP($W10,Regresiones!$Z$6:$AB$10,2,1)*$W10+VLOOKUP($W10,Regresiones!$Z$6:$AB$10,3,1),VLOOKUP(MIN(DatosHoy[Puntos]),Regresiones!$Z$6:$AB$10,2,1)*$W10+VLOOKUP(MIN(DatosHoy[Puntos]),Regresiones!$Z$6:$AB$10,3,1)),"NO")</f>
        <v>2584918.4911405994</v>
      </c>
      <c r="AA10" s="3">
        <f t="shared" ca="1" si="4"/>
        <v>0.93317197747911373</v>
      </c>
    </row>
    <row r="11" spans="2:27" x14ac:dyDescent="0.2">
      <c r="B11" s="1">
        <v>6</v>
      </c>
      <c r="C11" s="15">
        <v>2412173.5</v>
      </c>
      <c r="D11" s="15">
        <v>2412173.5</v>
      </c>
      <c r="E11" s="15">
        <v>2412173.5</v>
      </c>
      <c r="F11" s="1" t="s">
        <v>85</v>
      </c>
      <c r="G11" s="1">
        <v>168</v>
      </c>
      <c r="H11" s="1" t="str">
        <f t="shared" si="0"/>
        <v>$G$11</v>
      </c>
      <c r="I11" s="1" t="str">
        <f t="shared" si="1"/>
        <v>$C$11</v>
      </c>
      <c r="J11" s="1" t="str">
        <f t="shared" si="2"/>
        <v>$D$11</v>
      </c>
      <c r="K11" s="1" t="str">
        <f t="shared" si="3"/>
        <v>$E$11</v>
      </c>
      <c r="L11" s="15">
        <f ca="1">IFERROR(VLOOKUP($G11,Regresiones!$E$6:$I$10,4,1)*$G11+VLOOKUP($G11,Regresiones!$E$6:$I$10,5,1),"")</f>
        <v>2302660.0951290154</v>
      </c>
      <c r="M11" s="15">
        <f ca="1">IFERROR(VLOOKUP($G11,Regresiones!$J$6:$N$10,4,1)*$G11+VLOOKUP($G11,Regresiones!$J$6:$N$10,5,1),"")</f>
        <v>2295212.8356019533</v>
      </c>
      <c r="N11" s="15">
        <f ca="1">IFERROR(VLOOKUP($G11,Regresiones!$O$6:$S$10,4,1)*$G11+VLOOKUP($G11,Regresiones!$O$6:$S$10,5,1),"")</f>
        <v>2295212.8356019533</v>
      </c>
      <c r="O11" s="15">
        <f ca="1">IFERROR(VLOOKUP($G11,Regresiones!$T$6:$V$10,2,1)*$G11+VLOOKUP($G11,Regresiones!$T$6:$V$10,3,1),"")</f>
        <v>2423070.0179948173</v>
      </c>
      <c r="P11" s="15">
        <f ca="1">IFERROR(VLOOKUP($G11,Regresiones!$W$6:$Y$10,2,1)*$G11+VLOOKUP($G11,Regresiones!$W$6:$Y$10,3,1),"")</f>
        <v>2626286.5776675032</v>
      </c>
      <c r="Q11" s="15">
        <f ca="1">IFERROR(VLOOKUP($G11,Regresiones!$Z$6:$AB$10,2,1)*$G11+VLOOKUP($G11,Regresiones!$Z$6:$AB$10,3,1),"")</f>
        <v>2629416.2328545377</v>
      </c>
      <c r="R11" s="15">
        <f>IF($W11=$W12,-1,DatosHoy[[#This Row],[G ajus PM]]-X12)</f>
        <v>-1</v>
      </c>
      <c r="S11" s="15">
        <f>IF($W11=$W12,-1,DatosHoy[[#This Row],[G+V ajus PM]]-Y12)</f>
        <v>-1</v>
      </c>
      <c r="T11" s="15">
        <f>IF($W11=$W12,-1,DatosHoy[[#This Row],[CT ajus PM]]-Z12)</f>
        <v>-1</v>
      </c>
      <c r="U11" s="15">
        <f ca="1">IFERROR(IF(DatosHoy[[#This Row],[G ajus PM]]=DatosHoy[[#This Row],[G+V ajus PM]],-1,DatosHoy[[#This Row],[G ajus PM]]-DatosHoy[[#This Row],[G+V ajus PM]]),"")</f>
        <v>-201347.21725561237</v>
      </c>
      <c r="V11" s="15">
        <f ca="1">IFERROR(IF(DatosHoy[[#This Row],[G+V ajus PM]]=DatosHoy[[#This Row],[CT ajus PM]],-1,DatosHoy[[#This Row],[G+V ajus PM]]-DatosHoy[[#This Row],[CT ajus PM]]),"")</f>
        <v>-3182.7001902046613</v>
      </c>
      <c r="W11" s="15">
        <v>164</v>
      </c>
      <c r="X11" s="15">
        <f ca="1">IFERROR(IFERROR(VLOOKUP($W11,Regresiones!$T$6:$V$10,2,1)*$W11+VLOOKUP($W11,Regresiones!$T$6:$V$10,3,1),VLOOKUP(MIN(DatosHoy[Puntos]),Regresiones!$T$6:$V$10,2,1)*$W11+VLOOKUP(MIN(DatosHoy[Puntos]),Regresiones!$T$6:$V$10,3,1)),"NO")</f>
        <v>2380388.5736947823</v>
      </c>
      <c r="Y11" s="15">
        <f ca="1">IFERROR(IFERROR(VLOOKUP($W11,Regresiones!$W$6:$Y$10,2,1)*$W11+VLOOKUP($W11,Regresiones!$W$6:$Y$10,3,1),VLOOKUP(MIN(DatosHoy[Puntos]),Regresiones!$W$6:$Y$10,2,1)*$W11+VLOOKUP(MIN(DatosHoy[Puntos]),Regresiones!$W$6:$Y$10,3,1)),"NO")</f>
        <v>2581735.7909503947</v>
      </c>
      <c r="Z11" s="15">
        <f ca="1">IFERROR(IFERROR(VLOOKUP($W11,Regresiones!$Z$6:$AB$10,2,1)*$W11+VLOOKUP($W11,Regresiones!$Z$6:$AB$10,3,1),VLOOKUP(MIN(DatosHoy[Puntos]),Regresiones!$Z$6:$AB$10,2,1)*$W11+VLOOKUP(MIN(DatosHoy[Puntos]),Regresiones!$Z$6:$AB$10,3,1)),"NO")</f>
        <v>2584918.4911405994</v>
      </c>
      <c r="AA11" s="3">
        <f t="shared" ca="1" si="4"/>
        <v>0.93317197747911373</v>
      </c>
    </row>
    <row r="12" spans="2:27" x14ac:dyDescent="0.2">
      <c r="B12" s="1">
        <v>7</v>
      </c>
      <c r="C12" s="15">
        <v>2412173.5</v>
      </c>
      <c r="D12" s="15">
        <v>2412173.5</v>
      </c>
      <c r="E12" s="15">
        <v>2412173.5</v>
      </c>
      <c r="F12" s="1" t="s">
        <v>85</v>
      </c>
      <c r="G12" s="1">
        <v>168</v>
      </c>
      <c r="H12" s="1" t="str">
        <f t="shared" ref="H12:H43" si="5">"$"&amp;"G"&amp;"$"&amp;ROW()</f>
        <v>$G$12</v>
      </c>
      <c r="I12" s="1" t="str">
        <f t="shared" ref="I12:I43" si="6">"$"&amp;"C"&amp;"$"&amp;ROW()</f>
        <v>$C$12</v>
      </c>
      <c r="J12" s="1" t="str">
        <f t="shared" ref="J12:J43" si="7">"$"&amp;"D"&amp;"$"&amp;ROW()</f>
        <v>$D$12</v>
      </c>
      <c r="K12" s="1" t="str">
        <f t="shared" ref="K12:K43" si="8">"$"&amp;"E"&amp;"$"&amp;ROW()</f>
        <v>$E$12</v>
      </c>
      <c r="L12" s="15">
        <f ca="1">IFERROR(VLOOKUP($G12,Regresiones!$E$6:$I$10,4,1)*$G12+VLOOKUP($G12,Regresiones!$E$6:$I$10,5,1),"")</f>
        <v>2302660.0951290154</v>
      </c>
      <c r="M12" s="15">
        <f ca="1">IFERROR(VLOOKUP($G12,Regresiones!$J$6:$N$10,4,1)*$G12+VLOOKUP($G12,Regresiones!$J$6:$N$10,5,1),"")</f>
        <v>2295212.8356019533</v>
      </c>
      <c r="N12" s="15">
        <f ca="1">IFERROR(VLOOKUP($G12,Regresiones!$O$6:$S$10,4,1)*$G12+VLOOKUP($G12,Regresiones!$O$6:$S$10,5,1),"")</f>
        <v>2295212.8356019533</v>
      </c>
      <c r="O12" s="15">
        <f ca="1">IFERROR(VLOOKUP($G12,Regresiones!$T$6:$V$10,2,1)*$G12+VLOOKUP($G12,Regresiones!$T$6:$V$10,3,1),"")</f>
        <v>2423070.0179948173</v>
      </c>
      <c r="P12" s="15">
        <f ca="1">IFERROR(VLOOKUP($G12,Regresiones!$W$6:$Y$10,2,1)*$G12+VLOOKUP($G12,Regresiones!$W$6:$Y$10,3,1),"")</f>
        <v>2626286.5776675032</v>
      </c>
      <c r="Q12" s="15">
        <f ca="1">IFERROR(VLOOKUP($G12,Regresiones!$Z$6:$AB$10,2,1)*$G12+VLOOKUP($G12,Regresiones!$Z$6:$AB$10,3,1),"")</f>
        <v>2629416.2328545377</v>
      </c>
      <c r="R12" s="15">
        <f>IF($W12=$W13,-1,DatosHoy[[#This Row],[G ajus PM]]-X13)</f>
        <v>-1</v>
      </c>
      <c r="S12" s="15">
        <f>IF($W12=$W13,-1,DatosHoy[[#This Row],[G+V ajus PM]]-Y13)</f>
        <v>-1</v>
      </c>
      <c r="T12" s="15">
        <f>IF($W12=$W13,-1,DatosHoy[[#This Row],[CT ajus PM]]-Z13)</f>
        <v>-1</v>
      </c>
      <c r="U12" s="15">
        <f ca="1">IFERROR(IF(DatosHoy[[#This Row],[G ajus PM]]=DatosHoy[[#This Row],[G+V ajus PM]],-1,DatosHoy[[#This Row],[G ajus PM]]-DatosHoy[[#This Row],[G+V ajus PM]]),"")</f>
        <v>-201347.21725561237</v>
      </c>
      <c r="V12" s="15">
        <f ca="1">IFERROR(IF(DatosHoy[[#This Row],[G+V ajus PM]]=DatosHoy[[#This Row],[CT ajus PM]],-1,DatosHoy[[#This Row],[G+V ajus PM]]-DatosHoy[[#This Row],[CT ajus PM]]),"")</f>
        <v>-3182.7001902046613</v>
      </c>
      <c r="W12" s="15">
        <v>164</v>
      </c>
      <c r="X12" s="15">
        <f ca="1">IFERROR(IFERROR(VLOOKUP($W12,Regresiones!$T$6:$V$10,2,1)*$W12+VLOOKUP($W12,Regresiones!$T$6:$V$10,3,1),VLOOKUP(MIN(DatosHoy[Puntos]),Regresiones!$T$6:$V$10,2,1)*$W12+VLOOKUP(MIN(DatosHoy[Puntos]),Regresiones!$T$6:$V$10,3,1)),"NO")</f>
        <v>2380388.5736947823</v>
      </c>
      <c r="Y12" s="15">
        <f ca="1">IFERROR(IFERROR(VLOOKUP($W12,Regresiones!$W$6:$Y$10,2,1)*$W12+VLOOKUP($W12,Regresiones!$W$6:$Y$10,3,1),VLOOKUP(MIN(DatosHoy[Puntos]),Regresiones!$W$6:$Y$10,2,1)*$W12+VLOOKUP(MIN(DatosHoy[Puntos]),Regresiones!$W$6:$Y$10,3,1)),"NO")</f>
        <v>2581735.7909503947</v>
      </c>
      <c r="Z12" s="15">
        <f ca="1">IFERROR(IFERROR(VLOOKUP($W12,Regresiones!$Z$6:$AB$10,2,1)*$W12+VLOOKUP($W12,Regresiones!$Z$6:$AB$10,3,1),VLOOKUP(MIN(DatosHoy[Puntos]),Regresiones!$Z$6:$AB$10,2,1)*$W12+VLOOKUP(MIN(DatosHoy[Puntos]),Regresiones!$Z$6:$AB$10,3,1)),"NO")</f>
        <v>2584918.4911405994</v>
      </c>
      <c r="AA12" s="3">
        <f t="shared" ca="1" si="4"/>
        <v>0.93317197747911373</v>
      </c>
    </row>
    <row r="13" spans="2:27" x14ac:dyDescent="0.2">
      <c r="B13" s="1">
        <v>8</v>
      </c>
      <c r="C13" s="15">
        <v>2412173.5</v>
      </c>
      <c r="D13" s="15">
        <v>2412173.5</v>
      </c>
      <c r="E13" s="15">
        <v>2412173.5</v>
      </c>
      <c r="F13" s="1" t="s">
        <v>85</v>
      </c>
      <c r="G13" s="1">
        <v>168</v>
      </c>
      <c r="H13" s="1" t="str">
        <f t="shared" si="5"/>
        <v>$G$13</v>
      </c>
      <c r="I13" s="1" t="str">
        <f t="shared" si="6"/>
        <v>$C$13</v>
      </c>
      <c r="J13" s="1" t="str">
        <f t="shared" si="7"/>
        <v>$D$13</v>
      </c>
      <c r="K13" s="1" t="str">
        <f t="shared" si="8"/>
        <v>$E$13</v>
      </c>
      <c r="L13" s="15">
        <f ca="1">IFERROR(VLOOKUP($G13,Regresiones!$E$6:$I$10,4,1)*$G13+VLOOKUP($G13,Regresiones!$E$6:$I$10,5,1),"")</f>
        <v>2302660.0951290154</v>
      </c>
      <c r="M13" s="15">
        <f ca="1">IFERROR(VLOOKUP($G13,Regresiones!$J$6:$N$10,4,1)*$G13+VLOOKUP($G13,Regresiones!$J$6:$N$10,5,1),"")</f>
        <v>2295212.8356019533</v>
      </c>
      <c r="N13" s="15">
        <f ca="1">IFERROR(VLOOKUP($G13,Regresiones!$O$6:$S$10,4,1)*$G13+VLOOKUP($G13,Regresiones!$O$6:$S$10,5,1),"")</f>
        <v>2295212.8356019533</v>
      </c>
      <c r="O13" s="15">
        <f ca="1">IFERROR(VLOOKUP($G13,Regresiones!$T$6:$V$10,2,1)*$G13+VLOOKUP($G13,Regresiones!$T$6:$V$10,3,1),"")</f>
        <v>2423070.0179948173</v>
      </c>
      <c r="P13" s="15">
        <f ca="1">IFERROR(VLOOKUP($G13,Regresiones!$W$6:$Y$10,2,1)*$G13+VLOOKUP($G13,Regresiones!$W$6:$Y$10,3,1),"")</f>
        <v>2626286.5776675032</v>
      </c>
      <c r="Q13" s="15">
        <f ca="1">IFERROR(VLOOKUP($G13,Regresiones!$Z$6:$AB$10,2,1)*$G13+VLOOKUP($G13,Regresiones!$Z$6:$AB$10,3,1),"")</f>
        <v>2629416.2328545377</v>
      </c>
      <c r="R13" s="15">
        <f>IF($W13=$W14,-1,DatosHoy[[#This Row],[G ajus PM]]-X14)</f>
        <v>-1</v>
      </c>
      <c r="S13" s="15">
        <f>IF($W13=$W14,-1,DatosHoy[[#This Row],[G+V ajus PM]]-Y14)</f>
        <v>-1</v>
      </c>
      <c r="T13" s="15">
        <f>IF($W13=$W14,-1,DatosHoy[[#This Row],[CT ajus PM]]-Z14)</f>
        <v>-1</v>
      </c>
      <c r="U13" s="15">
        <f ca="1">IFERROR(IF(DatosHoy[[#This Row],[G ajus PM]]=DatosHoy[[#This Row],[G+V ajus PM]],-1,DatosHoy[[#This Row],[G ajus PM]]-DatosHoy[[#This Row],[G+V ajus PM]]),"")</f>
        <v>-201347.21725561237</v>
      </c>
      <c r="V13" s="15">
        <f ca="1">IFERROR(IF(DatosHoy[[#This Row],[G+V ajus PM]]=DatosHoy[[#This Row],[CT ajus PM]],-1,DatosHoy[[#This Row],[G+V ajus PM]]-DatosHoy[[#This Row],[CT ajus PM]]),"")</f>
        <v>-3182.7001902046613</v>
      </c>
      <c r="W13" s="15">
        <v>164</v>
      </c>
      <c r="X13" s="15">
        <f ca="1">IFERROR(IFERROR(VLOOKUP($W13,Regresiones!$T$6:$V$10,2,1)*$W13+VLOOKUP($W13,Regresiones!$T$6:$V$10,3,1),VLOOKUP(MIN(DatosHoy[Puntos]),Regresiones!$T$6:$V$10,2,1)*$W13+VLOOKUP(MIN(DatosHoy[Puntos]),Regresiones!$T$6:$V$10,3,1)),"NO")</f>
        <v>2380388.5736947823</v>
      </c>
      <c r="Y13" s="15">
        <f ca="1">IFERROR(IFERROR(VLOOKUP($W13,Regresiones!$W$6:$Y$10,2,1)*$W13+VLOOKUP($W13,Regresiones!$W$6:$Y$10,3,1),VLOOKUP(MIN(DatosHoy[Puntos]),Regresiones!$W$6:$Y$10,2,1)*$W13+VLOOKUP(MIN(DatosHoy[Puntos]),Regresiones!$W$6:$Y$10,3,1)),"NO")</f>
        <v>2581735.7909503947</v>
      </c>
      <c r="Z13" s="15">
        <f ca="1">IFERROR(IFERROR(VLOOKUP($W13,Regresiones!$Z$6:$AB$10,2,1)*$W13+VLOOKUP($W13,Regresiones!$Z$6:$AB$10,3,1),VLOOKUP(MIN(DatosHoy[Puntos]),Regresiones!$Z$6:$AB$10,2,1)*$W13+VLOOKUP(MIN(DatosHoy[Puntos]),Regresiones!$Z$6:$AB$10,3,1)),"NO")</f>
        <v>2584918.4911405994</v>
      </c>
      <c r="AA13" s="3">
        <f t="shared" ca="1" si="4"/>
        <v>0.93317197747911373</v>
      </c>
    </row>
    <row r="14" spans="2:27" x14ac:dyDescent="0.2">
      <c r="B14" s="1">
        <v>9</v>
      </c>
      <c r="C14" s="15">
        <v>2412173.5</v>
      </c>
      <c r="D14" s="15">
        <v>2412173.5</v>
      </c>
      <c r="E14" s="15">
        <v>2412173.5</v>
      </c>
      <c r="F14" s="1" t="s">
        <v>85</v>
      </c>
      <c r="G14" s="1">
        <v>168</v>
      </c>
      <c r="H14" s="1" t="str">
        <f t="shared" si="5"/>
        <v>$G$14</v>
      </c>
      <c r="I14" s="1" t="str">
        <f t="shared" si="6"/>
        <v>$C$14</v>
      </c>
      <c r="J14" s="1" t="str">
        <f t="shared" si="7"/>
        <v>$D$14</v>
      </c>
      <c r="K14" s="1" t="str">
        <f t="shared" si="8"/>
        <v>$E$14</v>
      </c>
      <c r="L14" s="15">
        <f ca="1">IFERROR(VLOOKUP($G14,Regresiones!$E$6:$I$10,4,1)*$G14+VLOOKUP($G14,Regresiones!$E$6:$I$10,5,1),"")</f>
        <v>2302660.0951290154</v>
      </c>
      <c r="M14" s="15">
        <f ca="1">IFERROR(VLOOKUP($G14,Regresiones!$J$6:$N$10,4,1)*$G14+VLOOKUP($G14,Regresiones!$J$6:$N$10,5,1),"")</f>
        <v>2295212.8356019533</v>
      </c>
      <c r="N14" s="15">
        <f ca="1">IFERROR(VLOOKUP($G14,Regresiones!$O$6:$S$10,4,1)*$G14+VLOOKUP($G14,Regresiones!$O$6:$S$10,5,1),"")</f>
        <v>2295212.8356019533</v>
      </c>
      <c r="O14" s="15">
        <f ca="1">IFERROR(VLOOKUP($G14,Regresiones!$T$6:$V$10,2,1)*$G14+VLOOKUP($G14,Regresiones!$T$6:$V$10,3,1),"")</f>
        <v>2423070.0179948173</v>
      </c>
      <c r="P14" s="15">
        <f ca="1">IFERROR(VLOOKUP($G14,Regresiones!$W$6:$Y$10,2,1)*$G14+VLOOKUP($G14,Regresiones!$W$6:$Y$10,3,1),"")</f>
        <v>2626286.5776675032</v>
      </c>
      <c r="Q14" s="15">
        <f ca="1">IFERROR(VLOOKUP($G14,Regresiones!$Z$6:$AB$10,2,1)*$G14+VLOOKUP($G14,Regresiones!$Z$6:$AB$10,3,1),"")</f>
        <v>2629416.2328545377</v>
      </c>
      <c r="R14" s="15">
        <f ca="1">IF($W14=$W15,-1,DatosHoy[[#This Row],[G ajus PM]]-X15)</f>
        <v>-266759.02687521791</v>
      </c>
      <c r="S14" s="15">
        <f ca="1">IF($W14=$W15,-1,DatosHoy[[#This Row],[G+V ajus PM]]-Y15)</f>
        <v>-278442.41698192712</v>
      </c>
      <c r="T14" s="15">
        <f ca="1">IF($W14=$W15,-1,DatosHoy[[#This Row],[CT ajus PM]]-Z15)</f>
        <v>-278110.88571211463</v>
      </c>
      <c r="U14" s="15">
        <f ca="1">IFERROR(IF(DatosHoy[[#This Row],[G ajus PM]]=DatosHoy[[#This Row],[G+V ajus PM]],-1,DatosHoy[[#This Row],[G ajus PM]]-DatosHoy[[#This Row],[G+V ajus PM]]),"")</f>
        <v>-201347.21725561237</v>
      </c>
      <c r="V14" s="15">
        <f ca="1">IFERROR(IF(DatosHoy[[#This Row],[G+V ajus PM]]=DatosHoy[[#This Row],[CT ajus PM]],-1,DatosHoy[[#This Row],[G+V ajus PM]]-DatosHoy[[#This Row],[CT ajus PM]]),"")</f>
        <v>-3182.7001902046613</v>
      </c>
      <c r="W14" s="15">
        <v>164</v>
      </c>
      <c r="X14" s="15">
        <f ca="1">IFERROR(IFERROR(VLOOKUP($W14,Regresiones!$T$6:$V$10,2,1)*$W14+VLOOKUP($W14,Regresiones!$T$6:$V$10,3,1),VLOOKUP(MIN(DatosHoy[Puntos]),Regresiones!$T$6:$V$10,2,1)*$W14+VLOOKUP(MIN(DatosHoy[Puntos]),Regresiones!$T$6:$V$10,3,1)),"NO")</f>
        <v>2380388.5736947823</v>
      </c>
      <c r="Y14" s="15">
        <f ca="1">IFERROR(IFERROR(VLOOKUP($W14,Regresiones!$W$6:$Y$10,2,1)*$W14+VLOOKUP($W14,Regresiones!$W$6:$Y$10,3,1),VLOOKUP(MIN(DatosHoy[Puntos]),Regresiones!$W$6:$Y$10,2,1)*$W14+VLOOKUP(MIN(DatosHoy[Puntos]),Regresiones!$W$6:$Y$10,3,1)),"NO")</f>
        <v>2581735.7909503947</v>
      </c>
      <c r="Z14" s="15">
        <f ca="1">IFERROR(IFERROR(VLOOKUP($W14,Regresiones!$Z$6:$AB$10,2,1)*$W14+VLOOKUP($W14,Regresiones!$Z$6:$AB$10,3,1),VLOOKUP(MIN(DatosHoy[Puntos]),Regresiones!$Z$6:$AB$10,2,1)*$W14+VLOOKUP(MIN(DatosHoy[Puntos]),Regresiones!$Z$6:$AB$10,3,1)),"NO")</f>
        <v>2584918.4911405994</v>
      </c>
      <c r="AA14" s="3">
        <f t="shared" ca="1" si="4"/>
        <v>0.93317197747911373</v>
      </c>
    </row>
    <row r="15" spans="2:27" x14ac:dyDescent="0.2">
      <c r="B15" s="1">
        <v>10</v>
      </c>
      <c r="C15" s="15">
        <v>2706341.0000000005</v>
      </c>
      <c r="D15" s="15">
        <v>2706341.0000000005</v>
      </c>
      <c r="E15" s="15">
        <v>2706341.0000000005</v>
      </c>
      <c r="F15" s="1" t="s">
        <v>86</v>
      </c>
      <c r="G15" s="1">
        <v>192</v>
      </c>
      <c r="H15" s="1" t="str">
        <f t="shared" si="5"/>
        <v>$G$15</v>
      </c>
      <c r="I15" s="1" t="str">
        <f t="shared" si="6"/>
        <v>$C$15</v>
      </c>
      <c r="J15" s="1" t="str">
        <f t="shared" si="7"/>
        <v>$D$15</v>
      </c>
      <c r="K15" s="1" t="str">
        <f t="shared" si="8"/>
        <v>$E$15</v>
      </c>
      <c r="L15" s="15">
        <f ca="1">IFERROR(VLOOKUP($G15,Regresiones!$E$6:$I$10,4,1)*$G15+VLOOKUP($G15,Regresiones!$E$6:$I$10,5,1),"")</f>
        <v>2608396.0989105506</v>
      </c>
      <c r="M15" s="15">
        <f ca="1">IFERROR(VLOOKUP($G15,Regresiones!$J$6:$N$10,4,1)*$G15+VLOOKUP($G15,Regresiones!$J$6:$N$10,5,1),"")</f>
        <v>2606173.2906778175</v>
      </c>
      <c r="N15" s="15">
        <f ca="1">IFERROR(VLOOKUP($G15,Regresiones!$O$6:$S$10,4,1)*$G15+VLOOKUP($G15,Regresiones!$O$6:$S$10,5,1),"")</f>
        <v>2606173.2906778175</v>
      </c>
      <c r="O15" s="15">
        <f ca="1">IFERROR(VLOOKUP($G15,Regresiones!$T$6:$V$10,2,1)*$G15+VLOOKUP($G15,Regresiones!$T$6:$V$10,3,1),"")</f>
        <v>2679158.6837950265</v>
      </c>
      <c r="P15" s="15">
        <f ca="1">IFERROR(VLOOKUP($G15,Regresiones!$W$6:$Y$10,2,1)*$G15+VLOOKUP($G15,Regresiones!$W$6:$Y$10,3,1),"")</f>
        <v>2893591.2979701534</v>
      </c>
      <c r="Q15" s="15">
        <f ca="1">IFERROR(VLOOKUP($G15,Regresiones!$Z$6:$AB$10,2,1)*$G15+VLOOKUP($G15,Regresiones!$Z$6:$AB$10,3,1),"")</f>
        <v>2896402.6831381675</v>
      </c>
      <c r="R15" s="15">
        <f>IF($W15=$W16,-1,DatosHoy[[#This Row],[G ajus PM]]-X16)</f>
        <v>-1</v>
      </c>
      <c r="S15" s="15">
        <f>IF($W15=$W16,-1,DatosHoy[[#This Row],[G+V ajus PM]]-Y16)</f>
        <v>-1</v>
      </c>
      <c r="T15" s="15">
        <f>IF($W15=$W16,-1,DatosHoy[[#This Row],[CT ajus PM]]-Z16)</f>
        <v>-1</v>
      </c>
      <c r="U15" s="15">
        <f ca="1">IFERROR(IF(DatosHoy[[#This Row],[G ajus PM]]=DatosHoy[[#This Row],[G+V ajus PM]],-1,DatosHoy[[#This Row],[G ajus PM]]-DatosHoy[[#This Row],[G+V ajus PM]]),"")</f>
        <v>-213030.60736232158</v>
      </c>
      <c r="V15" s="15">
        <f ca="1">IFERROR(IF(DatosHoy[[#This Row],[G+V ajus PM]]=DatosHoy[[#This Row],[CT ajus PM]],-1,DatosHoy[[#This Row],[G+V ajus PM]]-DatosHoy[[#This Row],[CT ajus PM]]),"")</f>
        <v>-2851.1689203921705</v>
      </c>
      <c r="W15" s="15">
        <v>189</v>
      </c>
      <c r="X15" s="15">
        <f ca="1">IFERROR(IFERROR(VLOOKUP($W15,Regresiones!$T$6:$V$10,2,1)*$W15+VLOOKUP($W15,Regresiones!$T$6:$V$10,3,1),VLOOKUP(MIN(DatosHoy[Puntos]),Regresiones!$T$6:$V$10,2,1)*$W15+VLOOKUP(MIN(DatosHoy[Puntos]),Regresiones!$T$6:$V$10,3,1)),"NO")</f>
        <v>2647147.6005700002</v>
      </c>
      <c r="Y15" s="15">
        <f ca="1">IFERROR(IFERROR(VLOOKUP($W15,Regresiones!$W$6:$Y$10,2,1)*$W15+VLOOKUP($W15,Regresiones!$W$6:$Y$10,3,1),VLOOKUP(MIN(DatosHoy[Puntos]),Regresiones!$W$6:$Y$10,2,1)*$W15+VLOOKUP(MIN(DatosHoy[Puntos]),Regresiones!$W$6:$Y$10,3,1)),"NO")</f>
        <v>2860178.2079323218</v>
      </c>
      <c r="Z15" s="15">
        <f ca="1">IFERROR(IFERROR(VLOOKUP($W15,Regresiones!$Z$6:$AB$10,2,1)*$W15+VLOOKUP($W15,Regresiones!$Z$6:$AB$10,3,1),VLOOKUP(MIN(DatosHoy[Puntos]),Regresiones!$Z$6:$AB$10,2,1)*$W15+VLOOKUP(MIN(DatosHoy[Puntos]),Regresiones!$Z$6:$AB$10,3,1)),"NO")</f>
        <v>2863029.376852714</v>
      </c>
      <c r="AA15" s="3">
        <f t="shared" ca="1" si="4"/>
        <v>0.94527182357277839</v>
      </c>
    </row>
    <row r="16" spans="2:27" x14ac:dyDescent="0.2">
      <c r="B16" s="1">
        <v>11</v>
      </c>
      <c r="C16" s="15">
        <v>2706341.0000000005</v>
      </c>
      <c r="D16" s="15">
        <v>2706341.0000000005</v>
      </c>
      <c r="E16" s="15">
        <v>2706341.0000000005</v>
      </c>
      <c r="F16" s="1" t="s">
        <v>86</v>
      </c>
      <c r="G16" s="1">
        <v>192</v>
      </c>
      <c r="H16" s="1" t="str">
        <f t="shared" si="5"/>
        <v>$G$16</v>
      </c>
      <c r="I16" s="1" t="str">
        <f t="shared" si="6"/>
        <v>$C$16</v>
      </c>
      <c r="J16" s="1" t="str">
        <f t="shared" si="7"/>
        <v>$D$16</v>
      </c>
      <c r="K16" s="1" t="str">
        <f t="shared" si="8"/>
        <v>$E$16</v>
      </c>
      <c r="L16" s="15">
        <f ca="1">IFERROR(VLOOKUP($G16,Regresiones!$E$6:$I$10,4,1)*$G16+VLOOKUP($G16,Regresiones!$E$6:$I$10,5,1),"")</f>
        <v>2608396.0989105506</v>
      </c>
      <c r="M16" s="15">
        <f ca="1">IFERROR(VLOOKUP($G16,Regresiones!$J$6:$N$10,4,1)*$G16+VLOOKUP($G16,Regresiones!$J$6:$N$10,5,1),"")</f>
        <v>2606173.2906778175</v>
      </c>
      <c r="N16" s="15">
        <f ca="1">IFERROR(VLOOKUP($G16,Regresiones!$O$6:$S$10,4,1)*$G16+VLOOKUP($G16,Regresiones!$O$6:$S$10,5,1),"")</f>
        <v>2606173.2906778175</v>
      </c>
      <c r="O16" s="15">
        <f ca="1">IFERROR(VLOOKUP($G16,Regresiones!$T$6:$V$10,2,1)*$G16+VLOOKUP($G16,Regresiones!$T$6:$V$10,3,1),"")</f>
        <v>2679158.6837950265</v>
      </c>
      <c r="P16" s="15">
        <f ca="1">IFERROR(VLOOKUP($G16,Regresiones!$W$6:$Y$10,2,1)*$G16+VLOOKUP($G16,Regresiones!$W$6:$Y$10,3,1),"")</f>
        <v>2893591.2979701534</v>
      </c>
      <c r="Q16" s="15">
        <f ca="1">IFERROR(VLOOKUP($G16,Regresiones!$Z$6:$AB$10,2,1)*$G16+VLOOKUP($G16,Regresiones!$Z$6:$AB$10,3,1),"")</f>
        <v>2896402.6831381675</v>
      </c>
      <c r="R16" s="15">
        <f>IF($W16=$W17,-1,DatosHoy[[#This Row],[G ajus PM]]-X17)</f>
        <v>-1</v>
      </c>
      <c r="S16" s="15">
        <f>IF($W16=$W17,-1,DatosHoy[[#This Row],[G+V ajus PM]]-Y17)</f>
        <v>-1</v>
      </c>
      <c r="T16" s="15">
        <f>IF($W16=$W17,-1,DatosHoy[[#This Row],[CT ajus PM]]-Z17)</f>
        <v>-1</v>
      </c>
      <c r="U16" s="15">
        <f ca="1">IFERROR(IF(DatosHoy[[#This Row],[G ajus PM]]=DatosHoy[[#This Row],[G+V ajus PM]],-1,DatosHoy[[#This Row],[G ajus PM]]-DatosHoy[[#This Row],[G+V ajus PM]]),"")</f>
        <v>-213030.60736232158</v>
      </c>
      <c r="V16" s="15">
        <f ca="1">IFERROR(IF(DatosHoy[[#This Row],[G+V ajus PM]]=DatosHoy[[#This Row],[CT ajus PM]],-1,DatosHoy[[#This Row],[G+V ajus PM]]-DatosHoy[[#This Row],[CT ajus PM]]),"")</f>
        <v>-2851.1689203921705</v>
      </c>
      <c r="W16" s="15">
        <v>189</v>
      </c>
      <c r="X16" s="15">
        <f ca="1">IFERROR(IFERROR(VLOOKUP($W16,Regresiones!$T$6:$V$10,2,1)*$W16+VLOOKUP($W16,Regresiones!$T$6:$V$10,3,1),VLOOKUP(MIN(DatosHoy[Puntos]),Regresiones!$T$6:$V$10,2,1)*$W16+VLOOKUP(MIN(DatosHoy[Puntos]),Regresiones!$T$6:$V$10,3,1)),"NO")</f>
        <v>2647147.6005700002</v>
      </c>
      <c r="Y16" s="15">
        <f ca="1">IFERROR(IFERROR(VLOOKUP($W16,Regresiones!$W$6:$Y$10,2,1)*$W16+VLOOKUP($W16,Regresiones!$W$6:$Y$10,3,1),VLOOKUP(MIN(DatosHoy[Puntos]),Regresiones!$W$6:$Y$10,2,1)*$W16+VLOOKUP(MIN(DatosHoy[Puntos]),Regresiones!$W$6:$Y$10,3,1)),"NO")</f>
        <v>2860178.2079323218</v>
      </c>
      <c r="Z16" s="15">
        <f ca="1">IFERROR(IFERROR(VLOOKUP($W16,Regresiones!$Z$6:$AB$10,2,1)*$W16+VLOOKUP($W16,Regresiones!$Z$6:$AB$10,3,1),VLOOKUP(MIN(DatosHoy[Puntos]),Regresiones!$Z$6:$AB$10,2,1)*$W16+VLOOKUP(MIN(DatosHoy[Puntos]),Regresiones!$Z$6:$AB$10,3,1)),"NO")</f>
        <v>2863029.376852714</v>
      </c>
      <c r="AA16" s="3">
        <f t="shared" ca="1" si="4"/>
        <v>0.94527182357277839</v>
      </c>
    </row>
    <row r="17" spans="2:27" x14ac:dyDescent="0.2">
      <c r="B17" s="1">
        <v>12</v>
      </c>
      <c r="C17" s="15">
        <v>2706341.0000000005</v>
      </c>
      <c r="D17" s="15">
        <v>2706341.0000000005</v>
      </c>
      <c r="E17" s="15">
        <v>2706341.0000000005</v>
      </c>
      <c r="F17" s="1" t="s">
        <v>86</v>
      </c>
      <c r="G17" s="1">
        <v>192</v>
      </c>
      <c r="H17" s="1" t="str">
        <f t="shared" si="5"/>
        <v>$G$17</v>
      </c>
      <c r="I17" s="1" t="str">
        <f t="shared" si="6"/>
        <v>$C$17</v>
      </c>
      <c r="J17" s="1" t="str">
        <f t="shared" si="7"/>
        <v>$D$17</v>
      </c>
      <c r="K17" s="1" t="str">
        <f t="shared" si="8"/>
        <v>$E$17</v>
      </c>
      <c r="L17" s="15">
        <f ca="1">IFERROR(VLOOKUP($G17,Regresiones!$E$6:$I$10,4,1)*$G17+VLOOKUP($G17,Regresiones!$E$6:$I$10,5,1),"")</f>
        <v>2608396.0989105506</v>
      </c>
      <c r="M17" s="15">
        <f ca="1">IFERROR(VLOOKUP($G17,Regresiones!$J$6:$N$10,4,1)*$G17+VLOOKUP($G17,Regresiones!$J$6:$N$10,5,1),"")</f>
        <v>2606173.2906778175</v>
      </c>
      <c r="N17" s="15">
        <f ca="1">IFERROR(VLOOKUP($G17,Regresiones!$O$6:$S$10,4,1)*$G17+VLOOKUP($G17,Regresiones!$O$6:$S$10,5,1),"")</f>
        <v>2606173.2906778175</v>
      </c>
      <c r="O17" s="15">
        <f ca="1">IFERROR(VLOOKUP($G17,Regresiones!$T$6:$V$10,2,1)*$G17+VLOOKUP($G17,Regresiones!$T$6:$V$10,3,1),"")</f>
        <v>2679158.6837950265</v>
      </c>
      <c r="P17" s="15">
        <f ca="1">IFERROR(VLOOKUP($G17,Regresiones!$W$6:$Y$10,2,1)*$G17+VLOOKUP($G17,Regresiones!$W$6:$Y$10,3,1),"")</f>
        <v>2893591.2979701534</v>
      </c>
      <c r="Q17" s="15">
        <f ca="1">IFERROR(VLOOKUP($G17,Regresiones!$Z$6:$AB$10,2,1)*$G17+VLOOKUP($G17,Regresiones!$Z$6:$AB$10,3,1),"")</f>
        <v>2896402.6831381675</v>
      </c>
      <c r="R17" s="15">
        <f>IF($W17=$W18,-1,DatosHoy[[#This Row],[G ajus PM]]-X18)</f>
        <v>-1</v>
      </c>
      <c r="S17" s="15">
        <f>IF($W17=$W18,-1,DatosHoy[[#This Row],[G+V ajus PM]]-Y18)</f>
        <v>-1</v>
      </c>
      <c r="T17" s="15">
        <f>IF($W17=$W18,-1,DatosHoy[[#This Row],[CT ajus PM]]-Z18)</f>
        <v>-1</v>
      </c>
      <c r="U17" s="15">
        <f ca="1">IFERROR(IF(DatosHoy[[#This Row],[G ajus PM]]=DatosHoy[[#This Row],[G+V ajus PM]],-1,DatosHoy[[#This Row],[G ajus PM]]-DatosHoy[[#This Row],[G+V ajus PM]]),"")</f>
        <v>-213030.60736232158</v>
      </c>
      <c r="V17" s="15">
        <f ca="1">IFERROR(IF(DatosHoy[[#This Row],[G+V ajus PM]]=DatosHoy[[#This Row],[CT ajus PM]],-1,DatosHoy[[#This Row],[G+V ajus PM]]-DatosHoy[[#This Row],[CT ajus PM]]),"")</f>
        <v>-2851.1689203921705</v>
      </c>
      <c r="W17" s="15">
        <v>189</v>
      </c>
      <c r="X17" s="15">
        <f ca="1">IFERROR(IFERROR(VLOOKUP($W17,Regresiones!$T$6:$V$10,2,1)*$W17+VLOOKUP($W17,Regresiones!$T$6:$V$10,3,1),VLOOKUP(MIN(DatosHoy[Puntos]),Regresiones!$T$6:$V$10,2,1)*$W17+VLOOKUP(MIN(DatosHoy[Puntos]),Regresiones!$T$6:$V$10,3,1)),"NO")</f>
        <v>2647147.6005700002</v>
      </c>
      <c r="Y17" s="15">
        <f ca="1">IFERROR(IFERROR(VLOOKUP($W17,Regresiones!$W$6:$Y$10,2,1)*$W17+VLOOKUP($W17,Regresiones!$W$6:$Y$10,3,1),VLOOKUP(MIN(DatosHoy[Puntos]),Regresiones!$W$6:$Y$10,2,1)*$W17+VLOOKUP(MIN(DatosHoy[Puntos]),Regresiones!$W$6:$Y$10,3,1)),"NO")</f>
        <v>2860178.2079323218</v>
      </c>
      <c r="Z17" s="15">
        <f ca="1">IFERROR(IFERROR(VLOOKUP($W17,Regresiones!$Z$6:$AB$10,2,1)*$W17+VLOOKUP($W17,Regresiones!$Z$6:$AB$10,3,1),VLOOKUP(MIN(DatosHoy[Puntos]),Regresiones!$Z$6:$AB$10,2,1)*$W17+VLOOKUP(MIN(DatosHoy[Puntos]),Regresiones!$Z$6:$AB$10,3,1)),"NO")</f>
        <v>2863029.376852714</v>
      </c>
      <c r="AA17" s="3">
        <f t="shared" ca="1" si="4"/>
        <v>0.94527182357277839</v>
      </c>
    </row>
    <row r="18" spans="2:27" x14ac:dyDescent="0.2">
      <c r="B18" s="1">
        <v>13</v>
      </c>
      <c r="C18" s="15">
        <v>2295683.1700000004</v>
      </c>
      <c r="D18" s="15">
        <v>2295683.1700000004</v>
      </c>
      <c r="E18" s="15">
        <v>2295683.1700000004</v>
      </c>
      <c r="F18" s="1" t="s">
        <v>87</v>
      </c>
      <c r="G18" s="1">
        <v>193</v>
      </c>
      <c r="H18" s="1" t="str">
        <f t="shared" si="5"/>
        <v>$G$18</v>
      </c>
      <c r="I18" s="1" t="str">
        <f t="shared" si="6"/>
        <v>$C$18</v>
      </c>
      <c r="J18" s="1" t="str">
        <f t="shared" si="7"/>
        <v>$D$18</v>
      </c>
      <c r="K18" s="1" t="str">
        <f t="shared" si="8"/>
        <v>$E$18</v>
      </c>
      <c r="L18" s="15">
        <f ca="1">IFERROR(VLOOKUP($G18,Regresiones!$E$6:$I$10,4,1)*$G18+VLOOKUP($G18,Regresiones!$E$6:$I$10,5,1),"")</f>
        <v>2621135.0990681145</v>
      </c>
      <c r="M18" s="15">
        <f ca="1">IFERROR(VLOOKUP($G18,Regresiones!$J$6:$N$10,4,1)*$G18+VLOOKUP($G18,Regresiones!$J$6:$N$10,5,1),"")</f>
        <v>2619129.9763059784</v>
      </c>
      <c r="N18" s="15">
        <f ca="1">IFERROR(VLOOKUP($G18,Regresiones!$O$6:$S$10,4,1)*$G18+VLOOKUP($G18,Regresiones!$O$6:$S$10,5,1),"")</f>
        <v>2619129.9763059784</v>
      </c>
      <c r="O18" s="15">
        <f ca="1">IFERROR(VLOOKUP($G18,Regresiones!$T$6:$V$10,2,1)*$G18+VLOOKUP($G18,Regresiones!$T$6:$V$10,3,1),"")</f>
        <v>2689829.0448700348</v>
      </c>
      <c r="P18" s="15">
        <f ca="1">IFERROR(VLOOKUP($G18,Regresiones!$W$6:$Y$10,2,1)*$G18+VLOOKUP($G18,Regresiones!$W$6:$Y$10,3,1),"")</f>
        <v>2904728.9946494303</v>
      </c>
      <c r="Q18" s="15">
        <f ca="1">IFERROR(VLOOKUP($G18,Regresiones!$Z$6:$AB$10,2,1)*$G18+VLOOKUP($G18,Regresiones!$Z$6:$AB$10,3,1),"")</f>
        <v>2907527.1185666523</v>
      </c>
      <c r="R18" s="15">
        <f>IF($W18=$W19,-1,DatosHoy[[#This Row],[G ajus PM]]-X19)</f>
        <v>-1</v>
      </c>
      <c r="S18" s="15">
        <f>IF($W18=$W19,-1,DatosHoy[[#This Row],[G+V ajus PM]]-Y19)</f>
        <v>-1</v>
      </c>
      <c r="T18" s="15">
        <f>IF($W18=$W19,-1,DatosHoy[[#This Row],[CT ajus PM]]-Z19)</f>
        <v>-1</v>
      </c>
      <c r="U18" s="15">
        <f ca="1">IFERROR(IF(DatosHoy[[#This Row],[G ajus PM]]=DatosHoy[[#This Row],[G+V ajus PM]],-1,DatosHoy[[#This Row],[G ajus PM]]-DatosHoy[[#This Row],[G+V ajus PM]]),"")</f>
        <v>-213030.60736232158</v>
      </c>
      <c r="V18" s="15">
        <f ca="1">IFERROR(IF(DatosHoy[[#This Row],[G+V ajus PM]]=DatosHoy[[#This Row],[CT ajus PM]],-1,DatosHoy[[#This Row],[G+V ajus PM]]-DatosHoy[[#This Row],[CT ajus PM]]),"")</f>
        <v>-2851.1689203921705</v>
      </c>
      <c r="W18" s="15">
        <v>189</v>
      </c>
      <c r="X18" s="15">
        <f ca="1">IFERROR(IFERROR(VLOOKUP($W18,Regresiones!$T$6:$V$10,2,1)*$W18+VLOOKUP($W18,Regresiones!$T$6:$V$10,3,1),VLOOKUP(MIN(DatosHoy[Puntos]),Regresiones!$T$6:$V$10,2,1)*$W18+VLOOKUP(MIN(DatosHoy[Puntos]),Regresiones!$T$6:$V$10,3,1)),"NO")</f>
        <v>2647147.6005700002</v>
      </c>
      <c r="Y18" s="15">
        <f ca="1">IFERROR(IFERROR(VLOOKUP($W18,Regresiones!$W$6:$Y$10,2,1)*$W18+VLOOKUP($W18,Regresiones!$W$6:$Y$10,3,1),VLOOKUP(MIN(DatosHoy[Puntos]),Regresiones!$W$6:$Y$10,2,1)*$W18+VLOOKUP(MIN(DatosHoy[Puntos]),Regresiones!$W$6:$Y$10,3,1)),"NO")</f>
        <v>2860178.2079323218</v>
      </c>
      <c r="Z18" s="15">
        <f ca="1">IFERROR(IFERROR(VLOOKUP($W18,Regresiones!$Z$6:$AB$10,2,1)*$W18+VLOOKUP($W18,Regresiones!$Z$6:$AB$10,3,1),VLOOKUP(MIN(DatosHoy[Puntos]),Regresiones!$Z$6:$AB$10,2,1)*$W18+VLOOKUP(MIN(DatosHoy[Puntos]),Regresiones!$Z$6:$AB$10,3,1)),"NO")</f>
        <v>2863029.376852714</v>
      </c>
      <c r="AA18" s="3">
        <f t="shared" ca="1" si="4"/>
        <v>0.80183709903934375</v>
      </c>
    </row>
    <row r="19" spans="2:27" x14ac:dyDescent="0.2">
      <c r="B19" s="1">
        <v>14</v>
      </c>
      <c r="C19" s="15">
        <v>3177009.0000000005</v>
      </c>
      <c r="D19" s="15">
        <v>3177009.0000000005</v>
      </c>
      <c r="E19" s="15">
        <v>3177009.0000000005</v>
      </c>
      <c r="F19" s="1" t="s">
        <v>88</v>
      </c>
      <c r="G19" s="1">
        <v>199</v>
      </c>
      <c r="H19" s="1" t="str">
        <f t="shared" si="5"/>
        <v>$G$19</v>
      </c>
      <c r="I19" s="1" t="str">
        <f t="shared" si="6"/>
        <v>$C$19</v>
      </c>
      <c r="J19" s="1" t="str">
        <f t="shared" si="7"/>
        <v>$D$19</v>
      </c>
      <c r="K19" s="1" t="str">
        <f t="shared" si="8"/>
        <v>$E$19</v>
      </c>
      <c r="L19" s="15">
        <f ca="1">IFERROR(VLOOKUP($G19,Regresiones!$E$6:$I$10,4,1)*$G19+VLOOKUP($G19,Regresiones!$E$6:$I$10,5,1),"")</f>
        <v>2697569.1000134987</v>
      </c>
      <c r="M19" s="15">
        <f ca="1">IFERROR(VLOOKUP($G19,Regresiones!$J$6:$N$10,4,1)*$G19+VLOOKUP($G19,Regresiones!$J$6:$N$10,5,1),"")</f>
        <v>2696870.0900749448</v>
      </c>
      <c r="N19" s="15">
        <f ca="1">IFERROR(VLOOKUP($G19,Regresiones!$O$6:$S$10,4,1)*$G19+VLOOKUP($G19,Regresiones!$O$6:$S$10,5,1),"")</f>
        <v>2696870.0900749448</v>
      </c>
      <c r="O19" s="15">
        <f ca="1">IFERROR(VLOOKUP($G19,Regresiones!$T$6:$V$10,2,1)*$G19+VLOOKUP($G19,Regresiones!$T$6:$V$10,3,1),"")</f>
        <v>2753851.2113200873</v>
      </c>
      <c r="P19" s="15">
        <f ca="1">IFERROR(VLOOKUP($G19,Regresiones!$W$6:$Y$10,2,1)*$G19+VLOOKUP($G19,Regresiones!$W$6:$Y$10,3,1),"")</f>
        <v>2971555.1747250929</v>
      </c>
      <c r="Q19" s="15">
        <f ca="1">IFERROR(VLOOKUP($G19,Regresiones!$Z$6:$AB$10,2,1)*$G19+VLOOKUP($G19,Regresiones!$Z$6:$AB$10,3,1),"")</f>
        <v>2974273.7311375597</v>
      </c>
      <c r="R19" s="15">
        <f>IF($W19=$W20,-1,DatosHoy[[#This Row],[G ajus PM]]-X20)</f>
        <v>-1</v>
      </c>
      <c r="S19" s="15">
        <f>IF($W19=$W20,-1,DatosHoy[[#This Row],[G+V ajus PM]]-Y20)</f>
        <v>-1</v>
      </c>
      <c r="T19" s="15">
        <f>IF($W19=$W20,-1,DatosHoy[[#This Row],[CT ajus PM]]-Z20)</f>
        <v>-1</v>
      </c>
      <c r="U19" s="15">
        <f ca="1">IFERROR(IF(DatosHoy[[#This Row],[G ajus PM]]=DatosHoy[[#This Row],[G+V ajus PM]],-1,DatosHoy[[#This Row],[G ajus PM]]-DatosHoy[[#This Row],[G+V ajus PM]]),"")</f>
        <v>-213030.60736232158</v>
      </c>
      <c r="V19" s="15">
        <f ca="1">IFERROR(IF(DatosHoy[[#This Row],[G+V ajus PM]]=DatosHoy[[#This Row],[CT ajus PM]],-1,DatosHoy[[#This Row],[G+V ajus PM]]-DatosHoy[[#This Row],[CT ajus PM]]),"")</f>
        <v>-2851.1689203921705</v>
      </c>
      <c r="W19" s="15">
        <v>189</v>
      </c>
      <c r="X19" s="15">
        <f ca="1">IFERROR(IFERROR(VLOOKUP($W19,Regresiones!$T$6:$V$10,2,1)*$W19+VLOOKUP($W19,Regresiones!$T$6:$V$10,3,1),VLOOKUP(MIN(DatosHoy[Puntos]),Regresiones!$T$6:$V$10,2,1)*$W19+VLOOKUP(MIN(DatosHoy[Puntos]),Regresiones!$T$6:$V$10,3,1)),"NO")</f>
        <v>2647147.6005700002</v>
      </c>
      <c r="Y19" s="15">
        <f ca="1">IFERROR(IFERROR(VLOOKUP($W19,Regresiones!$W$6:$Y$10,2,1)*$W19+VLOOKUP($W19,Regresiones!$W$6:$Y$10,3,1),VLOOKUP(MIN(DatosHoy[Puntos]),Regresiones!$W$6:$Y$10,2,1)*$W19+VLOOKUP(MIN(DatosHoy[Puntos]),Regresiones!$W$6:$Y$10,3,1)),"NO")</f>
        <v>2860178.2079323218</v>
      </c>
      <c r="Z19" s="15">
        <f ca="1">IFERROR(IFERROR(VLOOKUP($W19,Regresiones!$Z$6:$AB$10,2,1)*$W19+VLOOKUP($W19,Regresiones!$Z$6:$AB$10,3,1),VLOOKUP(MIN(DatosHoy[Puntos]),Regresiones!$Z$6:$AB$10,2,1)*$W19+VLOOKUP(MIN(DatosHoy[Puntos]),Regresiones!$Z$6:$AB$10,3,1)),"NO")</f>
        <v>2863029.376852714</v>
      </c>
      <c r="AA19" s="3">
        <f t="shared" ca="1" si="4"/>
        <v>1.109666923324566</v>
      </c>
    </row>
    <row r="20" spans="2:27" x14ac:dyDescent="0.2">
      <c r="B20" s="1">
        <v>15</v>
      </c>
      <c r="C20" s="15">
        <v>3177009.0000000005</v>
      </c>
      <c r="D20" s="15">
        <v>3177009.0000000005</v>
      </c>
      <c r="E20" s="15">
        <v>3177009.0000000005</v>
      </c>
      <c r="F20" s="1" t="s">
        <v>88</v>
      </c>
      <c r="G20" s="1">
        <v>199</v>
      </c>
      <c r="H20" s="1" t="str">
        <f t="shared" si="5"/>
        <v>$G$20</v>
      </c>
      <c r="I20" s="1" t="str">
        <f t="shared" si="6"/>
        <v>$C$20</v>
      </c>
      <c r="J20" s="1" t="str">
        <f t="shared" si="7"/>
        <v>$D$20</v>
      </c>
      <c r="K20" s="1" t="str">
        <f t="shared" si="8"/>
        <v>$E$20</v>
      </c>
      <c r="L20" s="15">
        <f ca="1">IFERROR(VLOOKUP($G20,Regresiones!$E$6:$I$10,4,1)*$G20+VLOOKUP($G20,Regresiones!$E$6:$I$10,5,1),"")</f>
        <v>2697569.1000134987</v>
      </c>
      <c r="M20" s="15">
        <f ca="1">IFERROR(VLOOKUP($G20,Regresiones!$J$6:$N$10,4,1)*$G20+VLOOKUP($G20,Regresiones!$J$6:$N$10,5,1),"")</f>
        <v>2696870.0900749448</v>
      </c>
      <c r="N20" s="15">
        <f ca="1">IFERROR(VLOOKUP($G20,Regresiones!$O$6:$S$10,4,1)*$G20+VLOOKUP($G20,Regresiones!$O$6:$S$10,5,1),"")</f>
        <v>2696870.0900749448</v>
      </c>
      <c r="O20" s="15">
        <f ca="1">IFERROR(VLOOKUP($G20,Regresiones!$T$6:$V$10,2,1)*$G20+VLOOKUP($G20,Regresiones!$T$6:$V$10,3,1),"")</f>
        <v>2753851.2113200873</v>
      </c>
      <c r="P20" s="15">
        <f ca="1">IFERROR(VLOOKUP($G20,Regresiones!$W$6:$Y$10,2,1)*$G20+VLOOKUP($G20,Regresiones!$W$6:$Y$10,3,1),"")</f>
        <v>2971555.1747250929</v>
      </c>
      <c r="Q20" s="15">
        <f ca="1">IFERROR(VLOOKUP($G20,Regresiones!$Z$6:$AB$10,2,1)*$G20+VLOOKUP($G20,Regresiones!$Z$6:$AB$10,3,1),"")</f>
        <v>2974273.7311375597</v>
      </c>
      <c r="R20" s="15">
        <f>IF($W20=$W21,-1,DatosHoy[[#This Row],[G ajus PM]]-X21)</f>
        <v>-1</v>
      </c>
      <c r="S20" s="15">
        <f>IF($W20=$W21,-1,DatosHoy[[#This Row],[G+V ajus PM]]-Y21)</f>
        <v>-1</v>
      </c>
      <c r="T20" s="15">
        <f>IF($W20=$W21,-1,DatosHoy[[#This Row],[CT ajus PM]]-Z21)</f>
        <v>-1</v>
      </c>
      <c r="U20" s="15">
        <f ca="1">IFERROR(IF(DatosHoy[[#This Row],[G ajus PM]]=DatosHoy[[#This Row],[G+V ajus PM]],-1,DatosHoy[[#This Row],[G ajus PM]]-DatosHoy[[#This Row],[G+V ajus PM]]),"")</f>
        <v>-213030.60736232158</v>
      </c>
      <c r="V20" s="15">
        <f ca="1">IFERROR(IF(DatosHoy[[#This Row],[G+V ajus PM]]=DatosHoy[[#This Row],[CT ajus PM]],-1,DatosHoy[[#This Row],[G+V ajus PM]]-DatosHoy[[#This Row],[CT ajus PM]]),"")</f>
        <v>-2851.1689203921705</v>
      </c>
      <c r="W20" s="15">
        <v>189</v>
      </c>
      <c r="X20" s="15">
        <f ca="1">IFERROR(IFERROR(VLOOKUP($W20,Regresiones!$T$6:$V$10,2,1)*$W20+VLOOKUP($W20,Regresiones!$T$6:$V$10,3,1),VLOOKUP(MIN(DatosHoy[Puntos]),Regresiones!$T$6:$V$10,2,1)*$W20+VLOOKUP(MIN(DatosHoy[Puntos]),Regresiones!$T$6:$V$10,3,1)),"NO")</f>
        <v>2647147.6005700002</v>
      </c>
      <c r="Y20" s="15">
        <f ca="1">IFERROR(IFERROR(VLOOKUP($W20,Regresiones!$W$6:$Y$10,2,1)*$W20+VLOOKUP($W20,Regresiones!$W$6:$Y$10,3,1),VLOOKUP(MIN(DatosHoy[Puntos]),Regresiones!$W$6:$Y$10,2,1)*$W20+VLOOKUP(MIN(DatosHoy[Puntos]),Regresiones!$W$6:$Y$10,3,1)),"NO")</f>
        <v>2860178.2079323218</v>
      </c>
      <c r="Z20" s="15">
        <f ca="1">IFERROR(IFERROR(VLOOKUP($W20,Regresiones!$Z$6:$AB$10,2,1)*$W20+VLOOKUP($W20,Regresiones!$Z$6:$AB$10,3,1),VLOOKUP(MIN(DatosHoy[Puntos]),Regresiones!$Z$6:$AB$10,2,1)*$W20+VLOOKUP(MIN(DatosHoy[Puntos]),Regresiones!$Z$6:$AB$10,3,1)),"NO")</f>
        <v>2863029.376852714</v>
      </c>
      <c r="AA20" s="3">
        <f t="shared" ca="1" si="4"/>
        <v>1.109666923324566</v>
      </c>
    </row>
    <row r="21" spans="2:27" x14ac:dyDescent="0.2">
      <c r="B21" s="1">
        <v>16</v>
      </c>
      <c r="C21" s="15">
        <v>3177009.0000000005</v>
      </c>
      <c r="D21" s="15">
        <v>3177009.0000000005</v>
      </c>
      <c r="E21" s="15">
        <v>3177009.0000000005</v>
      </c>
      <c r="F21" s="1" t="s">
        <v>88</v>
      </c>
      <c r="G21" s="1">
        <v>199</v>
      </c>
      <c r="H21" s="1" t="str">
        <f t="shared" si="5"/>
        <v>$G$21</v>
      </c>
      <c r="I21" s="1" t="str">
        <f t="shared" si="6"/>
        <v>$C$21</v>
      </c>
      <c r="J21" s="1" t="str">
        <f t="shared" si="7"/>
        <v>$D$21</v>
      </c>
      <c r="K21" s="1" t="str">
        <f t="shared" si="8"/>
        <v>$E$21</v>
      </c>
      <c r="L21" s="15">
        <f ca="1">IFERROR(VLOOKUP($G21,Regresiones!$E$6:$I$10,4,1)*$G21+VLOOKUP($G21,Regresiones!$E$6:$I$10,5,1),"")</f>
        <v>2697569.1000134987</v>
      </c>
      <c r="M21" s="15">
        <f ca="1">IFERROR(VLOOKUP($G21,Regresiones!$J$6:$N$10,4,1)*$G21+VLOOKUP($G21,Regresiones!$J$6:$N$10,5,1),"")</f>
        <v>2696870.0900749448</v>
      </c>
      <c r="N21" s="15">
        <f ca="1">IFERROR(VLOOKUP($G21,Regresiones!$O$6:$S$10,4,1)*$G21+VLOOKUP($G21,Regresiones!$O$6:$S$10,5,1),"")</f>
        <v>2696870.0900749448</v>
      </c>
      <c r="O21" s="15">
        <f ca="1">IFERROR(VLOOKUP($G21,Regresiones!$T$6:$V$10,2,1)*$G21+VLOOKUP($G21,Regresiones!$T$6:$V$10,3,1),"")</f>
        <v>2753851.2113200873</v>
      </c>
      <c r="P21" s="15">
        <f ca="1">IFERROR(VLOOKUP($G21,Regresiones!$W$6:$Y$10,2,1)*$G21+VLOOKUP($G21,Regresiones!$W$6:$Y$10,3,1),"")</f>
        <v>2971555.1747250929</v>
      </c>
      <c r="Q21" s="15">
        <f ca="1">IFERROR(VLOOKUP($G21,Regresiones!$Z$6:$AB$10,2,1)*$G21+VLOOKUP($G21,Regresiones!$Z$6:$AB$10,3,1),"")</f>
        <v>2974273.7311375597</v>
      </c>
      <c r="R21" s="15">
        <f>IF($W21=$W22,-1,DatosHoy[[#This Row],[G ajus PM]]-X22)</f>
        <v>-1</v>
      </c>
      <c r="S21" s="15">
        <f>IF($W21=$W22,-1,DatosHoy[[#This Row],[G+V ajus PM]]-Y22)</f>
        <v>-1</v>
      </c>
      <c r="T21" s="15">
        <f>IF($W21=$W22,-1,DatosHoy[[#This Row],[CT ajus PM]]-Z22)</f>
        <v>-1</v>
      </c>
      <c r="U21" s="15">
        <f ca="1">IFERROR(IF(DatosHoy[[#This Row],[G ajus PM]]=DatosHoy[[#This Row],[G+V ajus PM]],-1,DatosHoy[[#This Row],[G ajus PM]]-DatosHoy[[#This Row],[G+V ajus PM]]),"")</f>
        <v>-213030.60736232158</v>
      </c>
      <c r="V21" s="15">
        <f ca="1">IFERROR(IF(DatosHoy[[#This Row],[G+V ajus PM]]=DatosHoy[[#This Row],[CT ajus PM]],-1,DatosHoy[[#This Row],[G+V ajus PM]]-DatosHoy[[#This Row],[CT ajus PM]]),"")</f>
        <v>-2851.1689203921705</v>
      </c>
      <c r="W21" s="15">
        <v>189</v>
      </c>
      <c r="X21" s="15">
        <f ca="1">IFERROR(IFERROR(VLOOKUP($W21,Regresiones!$T$6:$V$10,2,1)*$W21+VLOOKUP($W21,Regresiones!$T$6:$V$10,3,1),VLOOKUP(MIN(DatosHoy[Puntos]),Regresiones!$T$6:$V$10,2,1)*$W21+VLOOKUP(MIN(DatosHoy[Puntos]),Regresiones!$T$6:$V$10,3,1)),"NO")</f>
        <v>2647147.6005700002</v>
      </c>
      <c r="Y21" s="15">
        <f ca="1">IFERROR(IFERROR(VLOOKUP($W21,Regresiones!$W$6:$Y$10,2,1)*$W21+VLOOKUP($W21,Regresiones!$W$6:$Y$10,3,1),VLOOKUP(MIN(DatosHoy[Puntos]),Regresiones!$W$6:$Y$10,2,1)*$W21+VLOOKUP(MIN(DatosHoy[Puntos]),Regresiones!$W$6:$Y$10,3,1)),"NO")</f>
        <v>2860178.2079323218</v>
      </c>
      <c r="Z21" s="15">
        <f ca="1">IFERROR(IFERROR(VLOOKUP($W21,Regresiones!$Z$6:$AB$10,2,1)*$W21+VLOOKUP($W21,Regresiones!$Z$6:$AB$10,3,1),VLOOKUP(MIN(DatosHoy[Puntos]),Regresiones!$Z$6:$AB$10,2,1)*$W21+VLOOKUP(MIN(DatosHoy[Puntos]),Regresiones!$Z$6:$AB$10,3,1)),"NO")</f>
        <v>2863029.376852714</v>
      </c>
      <c r="AA21" s="3">
        <f t="shared" ca="1" si="4"/>
        <v>1.109666923324566</v>
      </c>
    </row>
    <row r="22" spans="2:27" x14ac:dyDescent="0.2">
      <c r="B22" s="1">
        <v>17</v>
      </c>
      <c r="C22" s="15">
        <v>3177009.0000000005</v>
      </c>
      <c r="D22" s="15">
        <v>3177009.0000000005</v>
      </c>
      <c r="E22" s="15">
        <v>3177009.0000000005</v>
      </c>
      <c r="F22" s="1" t="s">
        <v>88</v>
      </c>
      <c r="G22" s="1">
        <v>199</v>
      </c>
      <c r="H22" s="1" t="str">
        <f t="shared" si="5"/>
        <v>$G$22</v>
      </c>
      <c r="I22" s="1" t="str">
        <f t="shared" si="6"/>
        <v>$C$22</v>
      </c>
      <c r="J22" s="1" t="str">
        <f t="shared" si="7"/>
        <v>$D$22</v>
      </c>
      <c r="K22" s="1" t="str">
        <f t="shared" si="8"/>
        <v>$E$22</v>
      </c>
      <c r="L22" s="15">
        <f ca="1">IFERROR(VLOOKUP($G22,Regresiones!$E$6:$I$10,4,1)*$G22+VLOOKUP($G22,Regresiones!$E$6:$I$10,5,1),"")</f>
        <v>2697569.1000134987</v>
      </c>
      <c r="M22" s="15">
        <f ca="1">IFERROR(VLOOKUP($G22,Regresiones!$J$6:$N$10,4,1)*$G22+VLOOKUP($G22,Regresiones!$J$6:$N$10,5,1),"")</f>
        <v>2696870.0900749448</v>
      </c>
      <c r="N22" s="15">
        <f ca="1">IFERROR(VLOOKUP($G22,Regresiones!$O$6:$S$10,4,1)*$G22+VLOOKUP($G22,Regresiones!$O$6:$S$10,5,1),"")</f>
        <v>2696870.0900749448</v>
      </c>
      <c r="O22" s="15">
        <f ca="1">IFERROR(VLOOKUP($G22,Regresiones!$T$6:$V$10,2,1)*$G22+VLOOKUP($G22,Regresiones!$T$6:$V$10,3,1),"")</f>
        <v>2753851.2113200873</v>
      </c>
      <c r="P22" s="15">
        <f ca="1">IFERROR(VLOOKUP($G22,Regresiones!$W$6:$Y$10,2,1)*$G22+VLOOKUP($G22,Regresiones!$W$6:$Y$10,3,1),"")</f>
        <v>2971555.1747250929</v>
      </c>
      <c r="Q22" s="15">
        <f ca="1">IFERROR(VLOOKUP($G22,Regresiones!$Z$6:$AB$10,2,1)*$G22+VLOOKUP($G22,Regresiones!$Z$6:$AB$10,3,1),"")</f>
        <v>2974273.7311375597</v>
      </c>
      <c r="R22" s="15">
        <f>IF($W22=$W23,-1,DatosHoy[[#This Row],[G ajus PM]]-X23)</f>
        <v>-1</v>
      </c>
      <c r="S22" s="15">
        <f>IF($W22=$W23,-1,DatosHoy[[#This Row],[G+V ajus PM]]-Y23)</f>
        <v>-1</v>
      </c>
      <c r="T22" s="15">
        <f>IF($W22=$W23,-1,DatosHoy[[#This Row],[CT ajus PM]]-Z23)</f>
        <v>-1</v>
      </c>
      <c r="U22" s="15">
        <f ca="1">IFERROR(IF(DatosHoy[[#This Row],[G ajus PM]]=DatosHoy[[#This Row],[G+V ajus PM]],-1,DatosHoy[[#This Row],[G ajus PM]]-DatosHoy[[#This Row],[G+V ajus PM]]),"")</f>
        <v>-213030.60736232158</v>
      </c>
      <c r="V22" s="15">
        <f ca="1">IFERROR(IF(DatosHoy[[#This Row],[G+V ajus PM]]=DatosHoy[[#This Row],[CT ajus PM]],-1,DatosHoy[[#This Row],[G+V ajus PM]]-DatosHoy[[#This Row],[CT ajus PM]]),"")</f>
        <v>-2851.1689203921705</v>
      </c>
      <c r="W22" s="15">
        <v>189</v>
      </c>
      <c r="X22" s="15">
        <f ca="1">IFERROR(IFERROR(VLOOKUP($W22,Regresiones!$T$6:$V$10,2,1)*$W22+VLOOKUP($W22,Regresiones!$T$6:$V$10,3,1),VLOOKUP(MIN(DatosHoy[Puntos]),Regresiones!$T$6:$V$10,2,1)*$W22+VLOOKUP(MIN(DatosHoy[Puntos]),Regresiones!$T$6:$V$10,3,1)),"NO")</f>
        <v>2647147.6005700002</v>
      </c>
      <c r="Y22" s="15">
        <f ca="1">IFERROR(IFERROR(VLOOKUP($W22,Regresiones!$W$6:$Y$10,2,1)*$W22+VLOOKUP($W22,Regresiones!$W$6:$Y$10,3,1),VLOOKUP(MIN(DatosHoy[Puntos]),Regresiones!$W$6:$Y$10,2,1)*$W22+VLOOKUP(MIN(DatosHoy[Puntos]),Regresiones!$W$6:$Y$10,3,1)),"NO")</f>
        <v>2860178.2079323218</v>
      </c>
      <c r="Z22" s="15">
        <f ca="1">IFERROR(IFERROR(VLOOKUP($W22,Regresiones!$Z$6:$AB$10,2,1)*$W22+VLOOKUP($W22,Regresiones!$Z$6:$AB$10,3,1),VLOOKUP(MIN(DatosHoy[Puntos]),Regresiones!$Z$6:$AB$10,2,1)*$W22+VLOOKUP(MIN(DatosHoy[Puntos]),Regresiones!$Z$6:$AB$10,3,1)),"NO")</f>
        <v>2863029.376852714</v>
      </c>
      <c r="AA22" s="3">
        <f t="shared" ca="1" si="4"/>
        <v>1.109666923324566</v>
      </c>
    </row>
    <row r="23" spans="2:27" x14ac:dyDescent="0.2">
      <c r="B23" s="1">
        <v>18</v>
      </c>
      <c r="C23" s="15">
        <v>3177009.0000000005</v>
      </c>
      <c r="D23" s="15">
        <v>3177009.0000000005</v>
      </c>
      <c r="E23" s="15">
        <v>3177009.0000000005</v>
      </c>
      <c r="F23" s="1" t="s">
        <v>88</v>
      </c>
      <c r="G23" s="1">
        <v>199</v>
      </c>
      <c r="H23" s="1" t="str">
        <f t="shared" si="5"/>
        <v>$G$23</v>
      </c>
      <c r="I23" s="1" t="str">
        <f t="shared" si="6"/>
        <v>$C$23</v>
      </c>
      <c r="J23" s="1" t="str">
        <f t="shared" si="7"/>
        <v>$D$23</v>
      </c>
      <c r="K23" s="1" t="str">
        <f t="shared" si="8"/>
        <v>$E$23</v>
      </c>
      <c r="L23" s="15">
        <f ca="1">IFERROR(VLOOKUP($G23,Regresiones!$E$6:$I$10,4,1)*$G23+VLOOKUP($G23,Regresiones!$E$6:$I$10,5,1),"")</f>
        <v>2697569.1000134987</v>
      </c>
      <c r="M23" s="15">
        <f ca="1">IFERROR(VLOOKUP($G23,Regresiones!$J$6:$N$10,4,1)*$G23+VLOOKUP($G23,Regresiones!$J$6:$N$10,5,1),"")</f>
        <v>2696870.0900749448</v>
      </c>
      <c r="N23" s="15">
        <f ca="1">IFERROR(VLOOKUP($G23,Regresiones!$O$6:$S$10,4,1)*$G23+VLOOKUP($G23,Regresiones!$O$6:$S$10,5,1),"")</f>
        <v>2696870.0900749448</v>
      </c>
      <c r="O23" s="15">
        <f ca="1">IFERROR(VLOOKUP($G23,Regresiones!$T$6:$V$10,2,1)*$G23+VLOOKUP($G23,Regresiones!$T$6:$V$10,3,1),"")</f>
        <v>2753851.2113200873</v>
      </c>
      <c r="P23" s="15">
        <f ca="1">IFERROR(VLOOKUP($G23,Regresiones!$W$6:$Y$10,2,1)*$G23+VLOOKUP($G23,Regresiones!$W$6:$Y$10,3,1),"")</f>
        <v>2971555.1747250929</v>
      </c>
      <c r="Q23" s="15">
        <f ca="1">IFERROR(VLOOKUP($G23,Regresiones!$Z$6:$AB$10,2,1)*$G23+VLOOKUP($G23,Regresiones!$Z$6:$AB$10,3,1),"")</f>
        <v>2974273.7311375597</v>
      </c>
      <c r="R23" s="15">
        <f>IF($W23=$W24,-1,DatosHoy[[#This Row],[G ajus PM]]-X24)</f>
        <v>-1</v>
      </c>
      <c r="S23" s="15">
        <f>IF($W23=$W24,-1,DatosHoy[[#This Row],[G+V ajus PM]]-Y24)</f>
        <v>-1</v>
      </c>
      <c r="T23" s="15">
        <f>IF($W23=$W24,-1,DatosHoy[[#This Row],[CT ajus PM]]-Z24)</f>
        <v>-1</v>
      </c>
      <c r="U23" s="15">
        <f ca="1">IFERROR(IF(DatosHoy[[#This Row],[G ajus PM]]=DatosHoy[[#This Row],[G+V ajus PM]],-1,DatosHoy[[#This Row],[G ajus PM]]-DatosHoy[[#This Row],[G+V ajus PM]]),"")</f>
        <v>-213030.60736232158</v>
      </c>
      <c r="V23" s="15">
        <f ca="1">IFERROR(IF(DatosHoy[[#This Row],[G+V ajus PM]]=DatosHoy[[#This Row],[CT ajus PM]],-1,DatosHoy[[#This Row],[G+V ajus PM]]-DatosHoy[[#This Row],[CT ajus PM]]),"")</f>
        <v>-2851.1689203921705</v>
      </c>
      <c r="W23" s="15">
        <v>189</v>
      </c>
      <c r="X23" s="15">
        <f ca="1">IFERROR(IFERROR(VLOOKUP($W23,Regresiones!$T$6:$V$10,2,1)*$W23+VLOOKUP($W23,Regresiones!$T$6:$V$10,3,1),VLOOKUP(MIN(DatosHoy[Puntos]),Regresiones!$T$6:$V$10,2,1)*$W23+VLOOKUP(MIN(DatosHoy[Puntos]),Regresiones!$T$6:$V$10,3,1)),"NO")</f>
        <v>2647147.6005700002</v>
      </c>
      <c r="Y23" s="15">
        <f ca="1">IFERROR(IFERROR(VLOOKUP($W23,Regresiones!$W$6:$Y$10,2,1)*$W23+VLOOKUP($W23,Regresiones!$W$6:$Y$10,3,1),VLOOKUP(MIN(DatosHoy[Puntos]),Regresiones!$W$6:$Y$10,2,1)*$W23+VLOOKUP(MIN(DatosHoy[Puntos]),Regresiones!$W$6:$Y$10,3,1)),"NO")</f>
        <v>2860178.2079323218</v>
      </c>
      <c r="Z23" s="15">
        <f ca="1">IFERROR(IFERROR(VLOOKUP($W23,Regresiones!$Z$6:$AB$10,2,1)*$W23+VLOOKUP($W23,Regresiones!$Z$6:$AB$10,3,1),VLOOKUP(MIN(DatosHoy[Puntos]),Regresiones!$Z$6:$AB$10,2,1)*$W23+VLOOKUP(MIN(DatosHoy[Puntos]),Regresiones!$Z$6:$AB$10,3,1)),"NO")</f>
        <v>2863029.376852714</v>
      </c>
      <c r="AA23" s="3">
        <f t="shared" ca="1" si="4"/>
        <v>1.109666923324566</v>
      </c>
    </row>
    <row r="24" spans="2:27" x14ac:dyDescent="0.2">
      <c r="B24" s="1">
        <v>19</v>
      </c>
      <c r="C24" s="15">
        <v>3177009.0000000005</v>
      </c>
      <c r="D24" s="15">
        <v>3177009.0000000005</v>
      </c>
      <c r="E24" s="15">
        <v>3177009.0000000005</v>
      </c>
      <c r="F24" s="1" t="s">
        <v>88</v>
      </c>
      <c r="G24" s="1">
        <v>199</v>
      </c>
      <c r="H24" s="1" t="str">
        <f t="shared" si="5"/>
        <v>$G$24</v>
      </c>
      <c r="I24" s="1" t="str">
        <f t="shared" si="6"/>
        <v>$C$24</v>
      </c>
      <c r="J24" s="1" t="str">
        <f t="shared" si="7"/>
        <v>$D$24</v>
      </c>
      <c r="K24" s="1" t="str">
        <f t="shared" si="8"/>
        <v>$E$24</v>
      </c>
      <c r="L24" s="15">
        <f ca="1">IFERROR(VLOOKUP($G24,Regresiones!$E$6:$I$10,4,1)*$G24+VLOOKUP($G24,Regresiones!$E$6:$I$10,5,1),"")</f>
        <v>2697569.1000134987</v>
      </c>
      <c r="M24" s="15">
        <f ca="1">IFERROR(VLOOKUP($G24,Regresiones!$J$6:$N$10,4,1)*$G24+VLOOKUP($G24,Regresiones!$J$6:$N$10,5,1),"")</f>
        <v>2696870.0900749448</v>
      </c>
      <c r="N24" s="15">
        <f ca="1">IFERROR(VLOOKUP($G24,Regresiones!$O$6:$S$10,4,1)*$G24+VLOOKUP($G24,Regresiones!$O$6:$S$10,5,1),"")</f>
        <v>2696870.0900749448</v>
      </c>
      <c r="O24" s="15">
        <f ca="1">IFERROR(VLOOKUP($G24,Regresiones!$T$6:$V$10,2,1)*$G24+VLOOKUP($G24,Regresiones!$T$6:$V$10,3,1),"")</f>
        <v>2753851.2113200873</v>
      </c>
      <c r="P24" s="15">
        <f ca="1">IFERROR(VLOOKUP($G24,Regresiones!$W$6:$Y$10,2,1)*$G24+VLOOKUP($G24,Regresiones!$W$6:$Y$10,3,1),"")</f>
        <v>2971555.1747250929</v>
      </c>
      <c r="Q24" s="15">
        <f ca="1">IFERROR(VLOOKUP($G24,Regresiones!$Z$6:$AB$10,2,1)*$G24+VLOOKUP($G24,Regresiones!$Z$6:$AB$10,3,1),"")</f>
        <v>2974273.7311375597</v>
      </c>
      <c r="R24" s="15">
        <f>IF($W24=$W25,-1,DatosHoy[[#This Row],[G ajus PM]]-X25)</f>
        <v>-1</v>
      </c>
      <c r="S24" s="15">
        <f>IF($W24=$W25,-1,DatosHoy[[#This Row],[G+V ajus PM]]-Y25)</f>
        <v>-1</v>
      </c>
      <c r="T24" s="15">
        <f>IF($W24=$W25,-1,DatosHoy[[#This Row],[CT ajus PM]]-Z25)</f>
        <v>-1</v>
      </c>
      <c r="U24" s="15">
        <f ca="1">IFERROR(IF(DatosHoy[[#This Row],[G ajus PM]]=DatosHoy[[#This Row],[G+V ajus PM]],-1,DatosHoy[[#This Row],[G ajus PM]]-DatosHoy[[#This Row],[G+V ajus PM]]),"")</f>
        <v>-213030.60736232158</v>
      </c>
      <c r="V24" s="15">
        <f ca="1">IFERROR(IF(DatosHoy[[#This Row],[G+V ajus PM]]=DatosHoy[[#This Row],[CT ajus PM]],-1,DatosHoy[[#This Row],[G+V ajus PM]]-DatosHoy[[#This Row],[CT ajus PM]]),"")</f>
        <v>-2851.1689203921705</v>
      </c>
      <c r="W24" s="15">
        <v>189</v>
      </c>
      <c r="X24" s="15">
        <f ca="1">IFERROR(IFERROR(VLOOKUP($W24,Regresiones!$T$6:$V$10,2,1)*$W24+VLOOKUP($W24,Regresiones!$T$6:$V$10,3,1),VLOOKUP(MIN(DatosHoy[Puntos]),Regresiones!$T$6:$V$10,2,1)*$W24+VLOOKUP(MIN(DatosHoy[Puntos]),Regresiones!$T$6:$V$10,3,1)),"NO")</f>
        <v>2647147.6005700002</v>
      </c>
      <c r="Y24" s="15">
        <f ca="1">IFERROR(IFERROR(VLOOKUP($W24,Regresiones!$W$6:$Y$10,2,1)*$W24+VLOOKUP($W24,Regresiones!$W$6:$Y$10,3,1),VLOOKUP(MIN(DatosHoy[Puntos]),Regresiones!$W$6:$Y$10,2,1)*$W24+VLOOKUP(MIN(DatosHoy[Puntos]),Regresiones!$W$6:$Y$10,3,1)),"NO")</f>
        <v>2860178.2079323218</v>
      </c>
      <c r="Z24" s="15">
        <f ca="1">IFERROR(IFERROR(VLOOKUP($W24,Regresiones!$Z$6:$AB$10,2,1)*$W24+VLOOKUP($W24,Regresiones!$Z$6:$AB$10,3,1),VLOOKUP(MIN(DatosHoy[Puntos]),Regresiones!$Z$6:$AB$10,2,1)*$W24+VLOOKUP(MIN(DatosHoy[Puntos]),Regresiones!$Z$6:$AB$10,3,1)),"NO")</f>
        <v>2863029.376852714</v>
      </c>
      <c r="AA24" s="3">
        <f t="shared" ca="1" si="4"/>
        <v>1.109666923324566</v>
      </c>
    </row>
    <row r="25" spans="2:27" x14ac:dyDescent="0.2">
      <c r="B25" s="1">
        <v>20</v>
      </c>
      <c r="C25" s="15">
        <v>2828714.68</v>
      </c>
      <c r="D25" s="15">
        <v>2828714.68</v>
      </c>
      <c r="E25" s="15">
        <v>2828714.68</v>
      </c>
      <c r="F25" s="1" t="s">
        <v>89</v>
      </c>
      <c r="G25" s="1">
        <v>200</v>
      </c>
      <c r="H25" s="1" t="str">
        <f t="shared" si="5"/>
        <v>$G$25</v>
      </c>
      <c r="I25" s="1" t="str">
        <f t="shared" si="6"/>
        <v>$C$25</v>
      </c>
      <c r="J25" s="1" t="str">
        <f t="shared" si="7"/>
        <v>$D$25</v>
      </c>
      <c r="K25" s="1" t="str">
        <f t="shared" si="8"/>
        <v>$E$25</v>
      </c>
      <c r="L25" s="15">
        <f ca="1">IFERROR(VLOOKUP($G25,Regresiones!$E$6:$I$10,4,1)*$G25+VLOOKUP($G25,Regresiones!$E$6:$I$10,5,1),"")</f>
        <v>2710308.1001710626</v>
      </c>
      <c r="M25" s="15">
        <f ca="1">IFERROR(VLOOKUP($G25,Regresiones!$J$6:$N$10,4,1)*$G25+VLOOKUP($G25,Regresiones!$J$6:$N$10,5,1),"")</f>
        <v>2709826.7757031056</v>
      </c>
      <c r="N25" s="15">
        <f ca="1">IFERROR(VLOOKUP($G25,Regresiones!$O$6:$S$10,4,1)*$G25+VLOOKUP($G25,Regresiones!$O$6:$S$10,5,1),"")</f>
        <v>2709826.7757031056</v>
      </c>
      <c r="O25" s="15">
        <f ca="1">IFERROR(VLOOKUP($G25,Regresiones!$T$6:$V$10,2,1)*$G25+VLOOKUP($G25,Regresiones!$T$6:$V$10,3,1),"")</f>
        <v>2764521.5723950961</v>
      </c>
      <c r="P25" s="15">
        <f ca="1">IFERROR(VLOOKUP($G25,Regresiones!$W$6:$Y$10,2,1)*$G25+VLOOKUP($G25,Regresiones!$W$6:$Y$10,3,1),"")</f>
        <v>2982692.8714043698</v>
      </c>
      <c r="Q25" s="15">
        <f ca="1">IFERROR(VLOOKUP($G25,Regresiones!$Z$6:$AB$10,2,1)*$G25+VLOOKUP($G25,Regresiones!$Z$6:$AB$10,3,1),"")</f>
        <v>2985398.1665660441</v>
      </c>
      <c r="R25" s="15">
        <f ca="1">IF($W25=$W26,-1,DatosHoy[[#This Row],[G ajus PM]]-X26)</f>
        <v>-298770.11010024417</v>
      </c>
      <c r="S25" s="15">
        <f ca="1">IF($W25=$W26,-1,DatosHoy[[#This Row],[G+V ajus PM]]-Y26)</f>
        <v>-311855.50701975869</v>
      </c>
      <c r="T25" s="15">
        <f ca="1">IF($W25=$W26,-1,DatosHoy[[#This Row],[CT ajus PM]]-Z26)</f>
        <v>-311484.19199756812</v>
      </c>
      <c r="U25" s="15">
        <f ca="1">IFERROR(IF(DatosHoy[[#This Row],[G ajus PM]]=DatosHoy[[#This Row],[G+V ajus PM]],-1,DatosHoy[[#This Row],[G ajus PM]]-DatosHoy[[#This Row],[G+V ajus PM]]),"")</f>
        <v>-213030.60736232158</v>
      </c>
      <c r="V25" s="15">
        <f ca="1">IFERROR(IF(DatosHoy[[#This Row],[G+V ajus PM]]=DatosHoy[[#This Row],[CT ajus PM]],-1,DatosHoy[[#This Row],[G+V ajus PM]]-DatosHoy[[#This Row],[CT ajus PM]]),"")</f>
        <v>-2851.1689203921705</v>
      </c>
      <c r="W25" s="15">
        <v>189</v>
      </c>
      <c r="X25" s="15">
        <f ca="1">IFERROR(IFERROR(VLOOKUP($W25,Regresiones!$T$6:$V$10,2,1)*$W25+VLOOKUP($W25,Regresiones!$T$6:$V$10,3,1),VLOOKUP(MIN(DatosHoy[Puntos]),Regresiones!$T$6:$V$10,2,1)*$W25+VLOOKUP(MIN(DatosHoy[Puntos]),Regresiones!$T$6:$V$10,3,1)),"NO")</f>
        <v>2647147.6005700002</v>
      </c>
      <c r="Y25" s="15">
        <f ca="1">IFERROR(IFERROR(VLOOKUP($W25,Regresiones!$W$6:$Y$10,2,1)*$W25+VLOOKUP($W25,Regresiones!$W$6:$Y$10,3,1),VLOOKUP(MIN(DatosHoy[Puntos]),Regresiones!$W$6:$Y$10,2,1)*$W25+VLOOKUP(MIN(DatosHoy[Puntos]),Regresiones!$W$6:$Y$10,3,1)),"NO")</f>
        <v>2860178.2079323218</v>
      </c>
      <c r="Z25" s="15">
        <f ca="1">IFERROR(IFERROR(VLOOKUP($W25,Regresiones!$Z$6:$AB$10,2,1)*$W25+VLOOKUP($W25,Regresiones!$Z$6:$AB$10,3,1),VLOOKUP(MIN(DatosHoy[Puntos]),Regresiones!$Z$6:$AB$10,2,1)*$W25+VLOOKUP(MIN(DatosHoy[Puntos]),Regresiones!$Z$6:$AB$10,3,1)),"NO")</f>
        <v>2863029.376852714</v>
      </c>
      <c r="AA25" s="3">
        <f t="shared" ca="1" si="4"/>
        <v>0.98801454950824308</v>
      </c>
    </row>
    <row r="26" spans="2:27" x14ac:dyDescent="0.2">
      <c r="B26" s="1">
        <v>21</v>
      </c>
      <c r="C26" s="15">
        <v>2828714.68</v>
      </c>
      <c r="D26" s="15">
        <v>2828714.68</v>
      </c>
      <c r="E26" s="15">
        <v>2828714.68</v>
      </c>
      <c r="F26" s="1" t="s">
        <v>90</v>
      </c>
      <c r="G26" s="1">
        <v>204</v>
      </c>
      <c r="H26" s="1" t="str">
        <f t="shared" si="5"/>
        <v>$G$26</v>
      </c>
      <c r="I26" s="1" t="str">
        <f t="shared" si="6"/>
        <v>$C$26</v>
      </c>
      <c r="J26" s="1" t="str">
        <f t="shared" si="7"/>
        <v>$D$26</v>
      </c>
      <c r="K26" s="1" t="str">
        <f t="shared" si="8"/>
        <v>$E$26</v>
      </c>
      <c r="L26" s="15">
        <f ca="1">IFERROR(VLOOKUP($G26,Regresiones!$E$6:$I$10,4,1)*$G26+VLOOKUP($G26,Regresiones!$E$6:$I$10,5,1),"")</f>
        <v>2761264.1008013184</v>
      </c>
      <c r="M26" s="15">
        <f ca="1">IFERROR(VLOOKUP($G26,Regresiones!$J$6:$N$10,4,1)*$G26+VLOOKUP($G26,Regresiones!$J$6:$N$10,5,1),"")</f>
        <v>2761653.5182157494</v>
      </c>
      <c r="N26" s="15">
        <f ca="1">IFERROR(VLOOKUP($G26,Regresiones!$O$6:$S$10,4,1)*$G26+VLOOKUP($G26,Regresiones!$O$6:$S$10,5,1),"")</f>
        <v>2761653.5182157494</v>
      </c>
      <c r="O26" s="15">
        <f ca="1">IFERROR(VLOOKUP($G26,Regresiones!$T$6:$V$10,2,1)*$G26+VLOOKUP($G26,Regresiones!$T$6:$V$10,3,1),"")</f>
        <v>2807203.0166951311</v>
      </c>
      <c r="P26" s="15">
        <f ca="1">IFERROR(VLOOKUP($G26,Regresiones!$W$6:$Y$10,2,1)*$G26+VLOOKUP($G26,Regresiones!$W$6:$Y$10,3,1),"")</f>
        <v>3027243.6581214783</v>
      </c>
      <c r="Q26" s="15">
        <f ca="1">IFERROR(VLOOKUP($G26,Regresiones!$Z$6:$AB$10,2,1)*$G26+VLOOKUP($G26,Regresiones!$Z$6:$AB$10,3,1),"")</f>
        <v>3029895.9082799824</v>
      </c>
      <c r="R26" s="15">
        <f>IF($W26=$W27,-1,DatosHoy[[#This Row],[G ajus PM]]-X27)</f>
        <v>-1</v>
      </c>
      <c r="S26" s="15">
        <f>IF($W26=$W27,-1,DatosHoy[[#This Row],[G+V ajus PM]]-Y27)</f>
        <v>-1</v>
      </c>
      <c r="T26" s="15">
        <f>IF($W26=$W27,-1,DatosHoy[[#This Row],[CT ajus PM]]-Z27)</f>
        <v>-1</v>
      </c>
      <c r="U26" s="15">
        <f ca="1">IFERROR(IF(DatosHoy[[#This Row],[G ajus PM]]=DatosHoy[[#This Row],[G+V ajus PM]],-1,DatosHoy[[#This Row],[G ajus PM]]-DatosHoy[[#This Row],[G+V ajus PM]]),"")</f>
        <v>-226116.0042818361</v>
      </c>
      <c r="V26" s="15">
        <f ca="1">IFERROR(IF(DatosHoy[[#This Row],[G+V ajus PM]]=DatosHoy[[#This Row],[CT ajus PM]],-1,DatosHoy[[#This Row],[G+V ajus PM]]-DatosHoy[[#This Row],[CT ajus PM]]),"")</f>
        <v>-2479.8538982016034</v>
      </c>
      <c r="W26" s="15">
        <v>217</v>
      </c>
      <c r="X26" s="15">
        <f ca="1">IFERROR(IFERROR(VLOOKUP($W26,Regresiones!$T$6:$V$10,2,1)*$W26+VLOOKUP($W26,Regresiones!$T$6:$V$10,3,1),VLOOKUP(MIN(DatosHoy[Puntos]),Regresiones!$T$6:$V$10,2,1)*$W26+VLOOKUP(MIN(DatosHoy[Puntos]),Regresiones!$T$6:$V$10,3,1)),"NO")</f>
        <v>2945917.7106702444</v>
      </c>
      <c r="Y26" s="15">
        <f ca="1">IFERROR(IFERROR(VLOOKUP($W26,Regresiones!$W$6:$Y$10,2,1)*$W26+VLOOKUP($W26,Regresiones!$W$6:$Y$10,3,1),VLOOKUP(MIN(DatosHoy[Puntos]),Regresiones!$W$6:$Y$10,2,1)*$W26+VLOOKUP(MIN(DatosHoy[Puntos]),Regresiones!$W$6:$Y$10,3,1)),"NO")</f>
        <v>3172033.7149520805</v>
      </c>
      <c r="Z26" s="15">
        <f ca="1">IFERROR(IFERROR(VLOOKUP($W26,Regresiones!$Z$6:$AB$10,2,1)*$W26+VLOOKUP($W26,Regresiones!$Z$6:$AB$10,3,1),VLOOKUP(MIN(DatosHoy[Puntos]),Regresiones!$Z$6:$AB$10,2,1)*$W26+VLOOKUP(MIN(DatosHoy[Puntos]),Regresiones!$Z$6:$AB$10,3,1)),"NO")</f>
        <v>3174513.5688502821</v>
      </c>
      <c r="AA26" s="3">
        <f t="shared" ca="1" si="4"/>
        <v>0.89107027538221539</v>
      </c>
    </row>
    <row r="27" spans="2:27" x14ac:dyDescent="0.2">
      <c r="B27" s="1">
        <v>22</v>
      </c>
      <c r="C27" s="15">
        <v>2828714.68</v>
      </c>
      <c r="D27" s="15">
        <v>2828714.68</v>
      </c>
      <c r="E27" s="15">
        <v>2828714.68</v>
      </c>
      <c r="F27" s="1" t="s">
        <v>90</v>
      </c>
      <c r="G27" s="1">
        <v>204</v>
      </c>
      <c r="H27" s="1" t="str">
        <f t="shared" si="5"/>
        <v>$G$27</v>
      </c>
      <c r="I27" s="1" t="str">
        <f t="shared" si="6"/>
        <v>$C$27</v>
      </c>
      <c r="J27" s="1" t="str">
        <f t="shared" si="7"/>
        <v>$D$27</v>
      </c>
      <c r="K27" s="1" t="str">
        <f t="shared" si="8"/>
        <v>$E$27</v>
      </c>
      <c r="L27" s="15">
        <f ca="1">IFERROR(VLOOKUP($G27,Regresiones!$E$6:$I$10,4,1)*$G27+VLOOKUP($G27,Regresiones!$E$6:$I$10,5,1),"")</f>
        <v>2761264.1008013184</v>
      </c>
      <c r="M27" s="15">
        <f ca="1">IFERROR(VLOOKUP($G27,Regresiones!$J$6:$N$10,4,1)*$G27+VLOOKUP($G27,Regresiones!$J$6:$N$10,5,1),"")</f>
        <v>2761653.5182157494</v>
      </c>
      <c r="N27" s="15">
        <f ca="1">IFERROR(VLOOKUP($G27,Regresiones!$O$6:$S$10,4,1)*$G27+VLOOKUP($G27,Regresiones!$O$6:$S$10,5,1),"")</f>
        <v>2761653.5182157494</v>
      </c>
      <c r="O27" s="15">
        <f ca="1">IFERROR(VLOOKUP($G27,Regresiones!$T$6:$V$10,2,1)*$G27+VLOOKUP($G27,Regresiones!$T$6:$V$10,3,1),"")</f>
        <v>2807203.0166951311</v>
      </c>
      <c r="P27" s="15">
        <f ca="1">IFERROR(VLOOKUP($G27,Regresiones!$W$6:$Y$10,2,1)*$G27+VLOOKUP($G27,Regresiones!$W$6:$Y$10,3,1),"")</f>
        <v>3027243.6581214783</v>
      </c>
      <c r="Q27" s="15">
        <f ca="1">IFERROR(VLOOKUP($G27,Regresiones!$Z$6:$AB$10,2,1)*$G27+VLOOKUP($G27,Regresiones!$Z$6:$AB$10,3,1),"")</f>
        <v>3029895.9082799824</v>
      </c>
      <c r="R27" s="15">
        <f>IF($W27=$W28,-1,DatosHoy[[#This Row],[G ajus PM]]-X28)</f>
        <v>-1</v>
      </c>
      <c r="S27" s="15">
        <f>IF($W27=$W28,-1,DatosHoy[[#This Row],[G+V ajus PM]]-Y28)</f>
        <v>-1</v>
      </c>
      <c r="T27" s="15">
        <f>IF($W27=$W28,-1,DatosHoy[[#This Row],[CT ajus PM]]-Z28)</f>
        <v>-1</v>
      </c>
      <c r="U27" s="15">
        <f ca="1">IFERROR(IF(DatosHoy[[#This Row],[G ajus PM]]=DatosHoy[[#This Row],[G+V ajus PM]],-1,DatosHoy[[#This Row],[G ajus PM]]-DatosHoy[[#This Row],[G+V ajus PM]]),"")</f>
        <v>-226116.0042818361</v>
      </c>
      <c r="V27" s="15">
        <f ca="1">IFERROR(IF(DatosHoy[[#This Row],[G+V ajus PM]]=DatosHoy[[#This Row],[CT ajus PM]],-1,DatosHoy[[#This Row],[G+V ajus PM]]-DatosHoy[[#This Row],[CT ajus PM]]),"")</f>
        <v>-2479.8538982016034</v>
      </c>
      <c r="W27" s="15">
        <v>217</v>
      </c>
      <c r="X27" s="15">
        <f ca="1">IFERROR(IFERROR(VLOOKUP($W27,Regresiones!$T$6:$V$10,2,1)*$W27+VLOOKUP($W27,Regresiones!$T$6:$V$10,3,1),VLOOKUP(MIN(DatosHoy[Puntos]),Regresiones!$T$6:$V$10,2,1)*$W27+VLOOKUP(MIN(DatosHoy[Puntos]),Regresiones!$T$6:$V$10,3,1)),"NO")</f>
        <v>2945917.7106702444</v>
      </c>
      <c r="Y27" s="15">
        <f ca="1">IFERROR(IFERROR(VLOOKUP($W27,Regresiones!$W$6:$Y$10,2,1)*$W27+VLOOKUP($W27,Regresiones!$W$6:$Y$10,3,1),VLOOKUP(MIN(DatosHoy[Puntos]),Regresiones!$W$6:$Y$10,2,1)*$W27+VLOOKUP(MIN(DatosHoy[Puntos]),Regresiones!$W$6:$Y$10,3,1)),"NO")</f>
        <v>3172033.7149520805</v>
      </c>
      <c r="Z27" s="15">
        <f ca="1">IFERROR(IFERROR(VLOOKUP($W27,Regresiones!$Z$6:$AB$10,2,1)*$W27+VLOOKUP($W27,Regresiones!$Z$6:$AB$10,3,1),VLOOKUP(MIN(DatosHoy[Puntos]),Regresiones!$Z$6:$AB$10,2,1)*$W27+VLOOKUP(MIN(DatosHoy[Puntos]),Regresiones!$Z$6:$AB$10,3,1)),"NO")</f>
        <v>3174513.5688502821</v>
      </c>
      <c r="AA27" s="3">
        <f t="shared" ca="1" si="4"/>
        <v>0.89107027538221539</v>
      </c>
    </row>
    <row r="28" spans="2:27" x14ac:dyDescent="0.2">
      <c r="B28" s="1">
        <v>23</v>
      </c>
      <c r="C28" s="15">
        <v>2828714.68</v>
      </c>
      <c r="D28" s="15">
        <v>2828714.68</v>
      </c>
      <c r="E28" s="15">
        <v>2828714.68</v>
      </c>
      <c r="F28" s="1" t="s">
        <v>90</v>
      </c>
      <c r="G28" s="1">
        <v>204</v>
      </c>
      <c r="H28" s="1" t="str">
        <f t="shared" si="5"/>
        <v>$G$28</v>
      </c>
      <c r="I28" s="1" t="str">
        <f t="shared" si="6"/>
        <v>$C$28</v>
      </c>
      <c r="J28" s="1" t="str">
        <f t="shared" si="7"/>
        <v>$D$28</v>
      </c>
      <c r="K28" s="1" t="str">
        <f t="shared" si="8"/>
        <v>$E$28</v>
      </c>
      <c r="L28" s="15">
        <f ca="1">IFERROR(VLOOKUP($G28,Regresiones!$E$6:$I$10,4,1)*$G28+VLOOKUP($G28,Regresiones!$E$6:$I$10,5,1),"")</f>
        <v>2761264.1008013184</v>
      </c>
      <c r="M28" s="15">
        <f ca="1">IFERROR(VLOOKUP($G28,Regresiones!$J$6:$N$10,4,1)*$G28+VLOOKUP($G28,Regresiones!$J$6:$N$10,5,1),"")</f>
        <v>2761653.5182157494</v>
      </c>
      <c r="N28" s="15">
        <f ca="1">IFERROR(VLOOKUP($G28,Regresiones!$O$6:$S$10,4,1)*$G28+VLOOKUP($G28,Regresiones!$O$6:$S$10,5,1),"")</f>
        <v>2761653.5182157494</v>
      </c>
      <c r="O28" s="15">
        <f ca="1">IFERROR(VLOOKUP($G28,Regresiones!$T$6:$V$10,2,1)*$G28+VLOOKUP($G28,Regresiones!$T$6:$V$10,3,1),"")</f>
        <v>2807203.0166951311</v>
      </c>
      <c r="P28" s="15">
        <f ca="1">IFERROR(VLOOKUP($G28,Regresiones!$W$6:$Y$10,2,1)*$G28+VLOOKUP($G28,Regresiones!$W$6:$Y$10,3,1),"")</f>
        <v>3027243.6581214783</v>
      </c>
      <c r="Q28" s="15">
        <f ca="1">IFERROR(VLOOKUP($G28,Regresiones!$Z$6:$AB$10,2,1)*$G28+VLOOKUP($G28,Regresiones!$Z$6:$AB$10,3,1),"")</f>
        <v>3029895.9082799824</v>
      </c>
      <c r="R28" s="15">
        <f>IF($W28=$W29,-1,DatosHoy[[#This Row],[G ajus PM]]-X29)</f>
        <v>-1</v>
      </c>
      <c r="S28" s="15">
        <f>IF($W28=$W29,-1,DatosHoy[[#This Row],[G+V ajus PM]]-Y29)</f>
        <v>-1</v>
      </c>
      <c r="T28" s="15">
        <f>IF($W28=$W29,-1,DatosHoy[[#This Row],[CT ajus PM]]-Z29)</f>
        <v>-1</v>
      </c>
      <c r="U28" s="15">
        <f ca="1">IFERROR(IF(DatosHoy[[#This Row],[G ajus PM]]=DatosHoy[[#This Row],[G+V ajus PM]],-1,DatosHoy[[#This Row],[G ajus PM]]-DatosHoy[[#This Row],[G+V ajus PM]]),"")</f>
        <v>-226116.0042818361</v>
      </c>
      <c r="V28" s="15">
        <f ca="1">IFERROR(IF(DatosHoy[[#This Row],[G+V ajus PM]]=DatosHoy[[#This Row],[CT ajus PM]],-1,DatosHoy[[#This Row],[G+V ajus PM]]-DatosHoy[[#This Row],[CT ajus PM]]),"")</f>
        <v>-2479.8538982016034</v>
      </c>
      <c r="W28" s="15">
        <v>217</v>
      </c>
      <c r="X28" s="15">
        <f ca="1">IFERROR(IFERROR(VLOOKUP($W28,Regresiones!$T$6:$V$10,2,1)*$W28+VLOOKUP($W28,Regresiones!$T$6:$V$10,3,1),VLOOKUP(MIN(DatosHoy[Puntos]),Regresiones!$T$6:$V$10,2,1)*$W28+VLOOKUP(MIN(DatosHoy[Puntos]),Regresiones!$T$6:$V$10,3,1)),"NO")</f>
        <v>2945917.7106702444</v>
      </c>
      <c r="Y28" s="15">
        <f ca="1">IFERROR(IFERROR(VLOOKUP($W28,Regresiones!$W$6:$Y$10,2,1)*$W28+VLOOKUP($W28,Regresiones!$W$6:$Y$10,3,1),VLOOKUP(MIN(DatosHoy[Puntos]),Regresiones!$W$6:$Y$10,2,1)*$W28+VLOOKUP(MIN(DatosHoy[Puntos]),Regresiones!$W$6:$Y$10,3,1)),"NO")</f>
        <v>3172033.7149520805</v>
      </c>
      <c r="Z28" s="15">
        <f ca="1">IFERROR(IFERROR(VLOOKUP($W28,Regresiones!$Z$6:$AB$10,2,1)*$W28+VLOOKUP($W28,Regresiones!$Z$6:$AB$10,3,1),VLOOKUP(MIN(DatosHoy[Puntos]),Regresiones!$Z$6:$AB$10,2,1)*$W28+VLOOKUP(MIN(DatosHoy[Puntos]),Regresiones!$Z$6:$AB$10,3,1)),"NO")</f>
        <v>3174513.5688502821</v>
      </c>
      <c r="AA28" s="3">
        <f t="shared" ca="1" si="4"/>
        <v>0.89107027538221539</v>
      </c>
    </row>
    <row r="29" spans="2:27" x14ac:dyDescent="0.2">
      <c r="B29" s="1">
        <v>24</v>
      </c>
      <c r="C29" s="15">
        <v>2295683.1700000004</v>
      </c>
      <c r="D29" s="15">
        <v>2295683.1700000004</v>
      </c>
      <c r="E29" s="15">
        <v>2295683.1700000004</v>
      </c>
      <c r="F29" s="1" t="s">
        <v>91</v>
      </c>
      <c r="G29" s="1">
        <v>204</v>
      </c>
      <c r="H29" s="1" t="str">
        <f t="shared" si="5"/>
        <v>$G$29</v>
      </c>
      <c r="I29" s="1" t="str">
        <f t="shared" si="6"/>
        <v>$C$29</v>
      </c>
      <c r="J29" s="1" t="str">
        <f t="shared" si="7"/>
        <v>$D$29</v>
      </c>
      <c r="K29" s="1" t="str">
        <f t="shared" si="8"/>
        <v>$E$29</v>
      </c>
      <c r="L29" s="15">
        <f ca="1">IFERROR(VLOOKUP($G29,Regresiones!$E$6:$I$10,4,1)*$G29+VLOOKUP($G29,Regresiones!$E$6:$I$10,5,1),"")</f>
        <v>2761264.1008013184</v>
      </c>
      <c r="M29" s="15">
        <f ca="1">IFERROR(VLOOKUP($G29,Regresiones!$J$6:$N$10,4,1)*$G29+VLOOKUP($G29,Regresiones!$J$6:$N$10,5,1),"")</f>
        <v>2761653.5182157494</v>
      </c>
      <c r="N29" s="15">
        <f ca="1">IFERROR(VLOOKUP($G29,Regresiones!$O$6:$S$10,4,1)*$G29+VLOOKUP($G29,Regresiones!$O$6:$S$10,5,1),"")</f>
        <v>2761653.5182157494</v>
      </c>
      <c r="O29" s="15">
        <f ca="1">IFERROR(VLOOKUP($G29,Regresiones!$T$6:$V$10,2,1)*$G29+VLOOKUP($G29,Regresiones!$T$6:$V$10,3,1),"")</f>
        <v>2807203.0166951311</v>
      </c>
      <c r="P29" s="15">
        <f ca="1">IFERROR(VLOOKUP($G29,Regresiones!$W$6:$Y$10,2,1)*$G29+VLOOKUP($G29,Regresiones!$W$6:$Y$10,3,1),"")</f>
        <v>3027243.6581214783</v>
      </c>
      <c r="Q29" s="15">
        <f ca="1">IFERROR(VLOOKUP($G29,Regresiones!$Z$6:$AB$10,2,1)*$G29+VLOOKUP($G29,Regresiones!$Z$6:$AB$10,3,1),"")</f>
        <v>3029895.9082799824</v>
      </c>
      <c r="R29" s="15">
        <f>IF($W29=$W30,-1,DatosHoy[[#This Row],[G ajus PM]]-X30)</f>
        <v>-1</v>
      </c>
      <c r="S29" s="15">
        <f>IF($W29=$W30,-1,DatosHoy[[#This Row],[G+V ajus PM]]-Y30)</f>
        <v>-1</v>
      </c>
      <c r="T29" s="15">
        <f>IF($W29=$W30,-1,DatosHoy[[#This Row],[CT ajus PM]]-Z30)</f>
        <v>-1</v>
      </c>
      <c r="U29" s="15">
        <f ca="1">IFERROR(IF(DatosHoy[[#This Row],[G ajus PM]]=DatosHoy[[#This Row],[G+V ajus PM]],-1,DatosHoy[[#This Row],[G ajus PM]]-DatosHoy[[#This Row],[G+V ajus PM]]),"")</f>
        <v>-226116.0042818361</v>
      </c>
      <c r="V29" s="15">
        <f ca="1">IFERROR(IF(DatosHoy[[#This Row],[G+V ajus PM]]=DatosHoy[[#This Row],[CT ajus PM]],-1,DatosHoy[[#This Row],[G+V ajus PM]]-DatosHoy[[#This Row],[CT ajus PM]]),"")</f>
        <v>-2479.8538982016034</v>
      </c>
      <c r="W29" s="15">
        <v>217</v>
      </c>
      <c r="X29" s="15">
        <f ca="1">IFERROR(IFERROR(VLOOKUP($W29,Regresiones!$T$6:$V$10,2,1)*$W29+VLOOKUP($W29,Regresiones!$T$6:$V$10,3,1),VLOOKUP(MIN(DatosHoy[Puntos]),Regresiones!$T$6:$V$10,2,1)*$W29+VLOOKUP(MIN(DatosHoy[Puntos]),Regresiones!$T$6:$V$10,3,1)),"NO")</f>
        <v>2945917.7106702444</v>
      </c>
      <c r="Y29" s="15">
        <f ca="1">IFERROR(IFERROR(VLOOKUP($W29,Regresiones!$W$6:$Y$10,2,1)*$W29+VLOOKUP($W29,Regresiones!$W$6:$Y$10,3,1),VLOOKUP(MIN(DatosHoy[Puntos]),Regresiones!$W$6:$Y$10,2,1)*$W29+VLOOKUP(MIN(DatosHoy[Puntos]),Regresiones!$W$6:$Y$10,3,1)),"NO")</f>
        <v>3172033.7149520805</v>
      </c>
      <c r="Z29" s="15">
        <f ca="1">IFERROR(IFERROR(VLOOKUP($W29,Regresiones!$Z$6:$AB$10,2,1)*$W29+VLOOKUP($W29,Regresiones!$Z$6:$AB$10,3,1),VLOOKUP(MIN(DatosHoy[Puntos]),Regresiones!$Z$6:$AB$10,2,1)*$W29+VLOOKUP(MIN(DatosHoy[Puntos]),Regresiones!$Z$6:$AB$10,3,1)),"NO")</f>
        <v>3174513.5688502821</v>
      </c>
      <c r="AA29" s="3">
        <f t="shared" ca="1" si="4"/>
        <v>0.72316061034555001</v>
      </c>
    </row>
    <row r="30" spans="2:27" x14ac:dyDescent="0.2">
      <c r="B30" s="1">
        <v>25</v>
      </c>
      <c r="C30" s="15">
        <v>2536900.52</v>
      </c>
      <c r="D30" s="15">
        <v>2536900.52</v>
      </c>
      <c r="E30" s="15">
        <v>2536900.52</v>
      </c>
      <c r="F30" s="1" t="s">
        <v>92</v>
      </c>
      <c r="G30" s="1">
        <v>208</v>
      </c>
      <c r="H30" s="1" t="str">
        <f t="shared" si="5"/>
        <v>$G$30</v>
      </c>
      <c r="I30" s="1" t="str">
        <f t="shared" si="6"/>
        <v>$C$30</v>
      </c>
      <c r="J30" s="1" t="str">
        <f t="shared" si="7"/>
        <v>$D$30</v>
      </c>
      <c r="K30" s="1" t="str">
        <f t="shared" si="8"/>
        <v>$E$30</v>
      </c>
      <c r="L30" s="15">
        <f ca="1">IFERROR(VLOOKUP($G30,Regresiones!$E$6:$I$10,4,1)*$G30+VLOOKUP($G30,Regresiones!$E$6:$I$10,5,1),"")</f>
        <v>2812220.1014315742</v>
      </c>
      <c r="M30" s="15">
        <f ca="1">IFERROR(VLOOKUP($G30,Regresiones!$J$6:$N$10,4,1)*$G30+VLOOKUP($G30,Regresiones!$J$6:$N$10,5,1),"")</f>
        <v>2813480.2607283937</v>
      </c>
      <c r="N30" s="15">
        <f ca="1">IFERROR(VLOOKUP($G30,Regresiones!$O$6:$S$10,4,1)*$G30+VLOOKUP($G30,Regresiones!$O$6:$S$10,5,1),"")</f>
        <v>2813480.2607283937</v>
      </c>
      <c r="O30" s="15">
        <f ca="1">IFERROR(VLOOKUP($G30,Regresiones!$T$6:$V$10,2,1)*$G30+VLOOKUP($G30,Regresiones!$T$6:$V$10,3,1),"")</f>
        <v>2849884.4609951661</v>
      </c>
      <c r="P30" s="15">
        <f ca="1">IFERROR(VLOOKUP($G30,Regresiones!$W$6:$Y$10,2,1)*$G30+VLOOKUP($G30,Regresiones!$W$6:$Y$10,3,1),"")</f>
        <v>3071794.4448385867</v>
      </c>
      <c r="Q30" s="15">
        <f ca="1">IFERROR(VLOOKUP($G30,Regresiones!$Z$6:$AB$10,2,1)*$G30+VLOOKUP($G30,Regresiones!$Z$6:$AB$10,3,1),"")</f>
        <v>3074393.6499939207</v>
      </c>
      <c r="R30" s="15">
        <f>IF($W30=$W31,-1,DatosHoy[[#This Row],[G ajus PM]]-X31)</f>
        <v>-1</v>
      </c>
      <c r="S30" s="15">
        <f>IF($W30=$W31,-1,DatosHoy[[#This Row],[G+V ajus PM]]-Y31)</f>
        <v>-1</v>
      </c>
      <c r="T30" s="15">
        <f>IF($W30=$W31,-1,DatosHoy[[#This Row],[CT ajus PM]]-Z31)</f>
        <v>-1</v>
      </c>
      <c r="U30" s="15">
        <f ca="1">IFERROR(IF(DatosHoy[[#This Row],[G ajus PM]]=DatosHoy[[#This Row],[G+V ajus PM]],-1,DatosHoy[[#This Row],[G ajus PM]]-DatosHoy[[#This Row],[G+V ajus PM]]),"")</f>
        <v>-226116.0042818361</v>
      </c>
      <c r="V30" s="15">
        <f ca="1">IFERROR(IF(DatosHoy[[#This Row],[G+V ajus PM]]=DatosHoy[[#This Row],[CT ajus PM]],-1,DatosHoy[[#This Row],[G+V ajus PM]]-DatosHoy[[#This Row],[CT ajus PM]]),"")</f>
        <v>-2479.8538982016034</v>
      </c>
      <c r="W30" s="15">
        <v>217</v>
      </c>
      <c r="X30" s="15">
        <f ca="1">IFERROR(IFERROR(VLOOKUP($W30,Regresiones!$T$6:$V$10,2,1)*$W30+VLOOKUP($W30,Regresiones!$T$6:$V$10,3,1),VLOOKUP(MIN(DatosHoy[Puntos]),Regresiones!$T$6:$V$10,2,1)*$W30+VLOOKUP(MIN(DatosHoy[Puntos]),Regresiones!$T$6:$V$10,3,1)),"NO")</f>
        <v>2945917.7106702444</v>
      </c>
      <c r="Y30" s="15">
        <f ca="1">IFERROR(IFERROR(VLOOKUP($W30,Regresiones!$W$6:$Y$10,2,1)*$W30+VLOOKUP($W30,Regresiones!$W$6:$Y$10,3,1),VLOOKUP(MIN(DatosHoy[Puntos]),Regresiones!$W$6:$Y$10,2,1)*$W30+VLOOKUP(MIN(DatosHoy[Puntos]),Regresiones!$W$6:$Y$10,3,1)),"NO")</f>
        <v>3172033.7149520805</v>
      </c>
      <c r="Z30" s="15">
        <f ca="1">IFERROR(IFERROR(VLOOKUP($W30,Regresiones!$Z$6:$AB$10,2,1)*$W30+VLOOKUP($W30,Regresiones!$Z$6:$AB$10,3,1),VLOOKUP(MIN(DatosHoy[Puntos]),Regresiones!$Z$6:$AB$10,2,1)*$W30+VLOOKUP(MIN(DatosHoy[Puntos]),Regresiones!$Z$6:$AB$10,3,1)),"NO")</f>
        <v>3174513.5688502821</v>
      </c>
      <c r="AA30" s="3">
        <f t="shared" ca="1" si="4"/>
        <v>0.79914622035110494</v>
      </c>
    </row>
    <row r="31" spans="2:27" x14ac:dyDescent="0.2">
      <c r="B31" s="1">
        <v>26</v>
      </c>
      <c r="C31" s="15">
        <v>2828714.68</v>
      </c>
      <c r="D31" s="15">
        <v>2828714.68</v>
      </c>
      <c r="E31" s="15">
        <v>2828714.68</v>
      </c>
      <c r="F31" s="1" t="s">
        <v>93</v>
      </c>
      <c r="G31" s="1">
        <v>209</v>
      </c>
      <c r="H31" s="1" t="str">
        <f t="shared" si="5"/>
        <v>$G$31</v>
      </c>
      <c r="I31" s="1" t="str">
        <f t="shared" si="6"/>
        <v>$C$31</v>
      </c>
      <c r="J31" s="1" t="str">
        <f t="shared" si="7"/>
        <v>$D$31</v>
      </c>
      <c r="K31" s="1" t="str">
        <f t="shared" si="8"/>
        <v>$E$31</v>
      </c>
      <c r="L31" s="15">
        <f ca="1">IFERROR(VLOOKUP($G31,Regresiones!$E$6:$I$10,4,1)*$G31+VLOOKUP($G31,Regresiones!$E$6:$I$10,5,1),"")</f>
        <v>2824959.1015891382</v>
      </c>
      <c r="M31" s="15">
        <f ca="1">IFERROR(VLOOKUP($G31,Regresiones!$J$6:$N$10,4,1)*$G31+VLOOKUP($G31,Regresiones!$J$6:$N$10,5,1),"")</f>
        <v>2826436.9463565545</v>
      </c>
      <c r="N31" s="15">
        <f ca="1">IFERROR(VLOOKUP($G31,Regresiones!$O$6:$S$10,4,1)*$G31+VLOOKUP($G31,Regresiones!$O$6:$S$10,5,1),"")</f>
        <v>2826436.9463565545</v>
      </c>
      <c r="O31" s="15">
        <f ca="1">IFERROR(VLOOKUP($G31,Regresiones!$T$6:$V$10,2,1)*$G31+VLOOKUP($G31,Regresiones!$T$6:$V$10,3,1),"")</f>
        <v>2860554.8220701744</v>
      </c>
      <c r="P31" s="15">
        <f ca="1">IFERROR(VLOOKUP($G31,Regresiones!$W$6:$Y$10,2,1)*$G31+VLOOKUP($G31,Regresiones!$W$6:$Y$10,3,1),"")</f>
        <v>3082932.1415178641</v>
      </c>
      <c r="Q31" s="15">
        <f ca="1">IFERROR(VLOOKUP($G31,Regresiones!$Z$6:$AB$10,2,1)*$G31+VLOOKUP($G31,Regresiones!$Z$6:$AB$10,3,1),"")</f>
        <v>3085518.0854224055</v>
      </c>
      <c r="R31" s="15">
        <f>IF($W31=$W32,-1,DatosHoy[[#This Row],[G ajus PM]]-X32)</f>
        <v>-1</v>
      </c>
      <c r="S31" s="15">
        <f>IF($W31=$W32,-1,DatosHoy[[#This Row],[G+V ajus PM]]-Y32)</f>
        <v>-1</v>
      </c>
      <c r="T31" s="15">
        <f>IF($W31=$W32,-1,DatosHoy[[#This Row],[CT ajus PM]]-Z32)</f>
        <v>-1</v>
      </c>
      <c r="U31" s="15">
        <f ca="1">IFERROR(IF(DatosHoy[[#This Row],[G ajus PM]]=DatosHoy[[#This Row],[G+V ajus PM]],-1,DatosHoy[[#This Row],[G ajus PM]]-DatosHoy[[#This Row],[G+V ajus PM]]),"")</f>
        <v>-226116.0042818361</v>
      </c>
      <c r="V31" s="15">
        <f ca="1">IFERROR(IF(DatosHoy[[#This Row],[G+V ajus PM]]=DatosHoy[[#This Row],[CT ajus PM]],-1,DatosHoy[[#This Row],[G+V ajus PM]]-DatosHoy[[#This Row],[CT ajus PM]]),"")</f>
        <v>-2479.8538982016034</v>
      </c>
      <c r="W31" s="15">
        <v>217</v>
      </c>
      <c r="X31" s="15">
        <f ca="1">IFERROR(IFERROR(VLOOKUP($W31,Regresiones!$T$6:$V$10,2,1)*$W31+VLOOKUP($W31,Regresiones!$T$6:$V$10,3,1),VLOOKUP(MIN(DatosHoy[Puntos]),Regresiones!$T$6:$V$10,2,1)*$W31+VLOOKUP(MIN(DatosHoy[Puntos]),Regresiones!$T$6:$V$10,3,1)),"NO")</f>
        <v>2945917.7106702444</v>
      </c>
      <c r="Y31" s="15">
        <f ca="1">IFERROR(IFERROR(VLOOKUP($W31,Regresiones!$W$6:$Y$10,2,1)*$W31+VLOOKUP($W31,Regresiones!$W$6:$Y$10,3,1),VLOOKUP(MIN(DatosHoy[Puntos]),Regresiones!$W$6:$Y$10,2,1)*$W31+VLOOKUP(MIN(DatosHoy[Puntos]),Regresiones!$W$6:$Y$10,3,1)),"NO")</f>
        <v>3172033.7149520805</v>
      </c>
      <c r="Z31" s="15">
        <f ca="1">IFERROR(IFERROR(VLOOKUP($W31,Regresiones!$Z$6:$AB$10,2,1)*$W31+VLOOKUP($W31,Regresiones!$Z$6:$AB$10,3,1),VLOOKUP(MIN(DatosHoy[Puntos]),Regresiones!$Z$6:$AB$10,2,1)*$W31+VLOOKUP(MIN(DatosHoy[Puntos]),Regresiones!$Z$6:$AB$10,3,1)),"NO")</f>
        <v>3174513.5688502821</v>
      </c>
      <c r="AA31" s="3">
        <f t="shared" ca="1" si="4"/>
        <v>0.89107027538221539</v>
      </c>
    </row>
    <row r="32" spans="2:27" x14ac:dyDescent="0.2">
      <c r="B32" s="1">
        <v>27</v>
      </c>
      <c r="C32" s="15">
        <v>3112292.1500000004</v>
      </c>
      <c r="D32" s="15">
        <v>3112292.1500000004</v>
      </c>
      <c r="E32" s="15">
        <v>3112292.1500000004</v>
      </c>
      <c r="F32" s="1" t="s">
        <v>94</v>
      </c>
      <c r="G32" s="1">
        <v>211</v>
      </c>
      <c r="H32" s="1" t="str">
        <f t="shared" si="5"/>
        <v>$G$32</v>
      </c>
      <c r="I32" s="1" t="str">
        <f t="shared" si="6"/>
        <v>$C$32</v>
      </c>
      <c r="J32" s="1" t="str">
        <f t="shared" si="7"/>
        <v>$D$32</v>
      </c>
      <c r="K32" s="1" t="str">
        <f t="shared" si="8"/>
        <v>$E$32</v>
      </c>
      <c r="L32" s="15">
        <f ca="1">IFERROR(VLOOKUP($G32,Regresiones!$E$6:$I$10,4,1)*$G32+VLOOKUP($G32,Regresiones!$E$6:$I$10,5,1),"")</f>
        <v>2850437.101904266</v>
      </c>
      <c r="M32" s="15">
        <f ca="1">IFERROR(VLOOKUP($G32,Regresiones!$J$6:$N$10,4,1)*$G32+VLOOKUP($G32,Regresiones!$J$6:$N$10,5,1),"")</f>
        <v>2852350.3176128766</v>
      </c>
      <c r="N32" s="15">
        <f ca="1">IFERROR(VLOOKUP($G32,Regresiones!$O$6:$S$10,4,1)*$G32+VLOOKUP($G32,Regresiones!$O$6:$S$10,5,1),"")</f>
        <v>2852350.3176128766</v>
      </c>
      <c r="O32" s="15">
        <f ca="1">IFERROR(VLOOKUP($G32,Regresiones!$T$6:$V$10,2,1)*$G32+VLOOKUP($G32,Regresiones!$T$6:$V$10,3,1),"")</f>
        <v>2881895.5442201919</v>
      </c>
      <c r="P32" s="15">
        <f ca="1">IFERROR(VLOOKUP($G32,Regresiones!$W$6:$Y$10,2,1)*$G32+VLOOKUP($G32,Regresiones!$W$6:$Y$10,3,1),"")</f>
        <v>3105207.5348764178</v>
      </c>
      <c r="Q32" s="15">
        <f ca="1">IFERROR(VLOOKUP($G32,Regresiones!$Z$6:$AB$10,2,1)*$G32+VLOOKUP($G32,Regresiones!$Z$6:$AB$10,3,1),"")</f>
        <v>3107766.9562793747</v>
      </c>
      <c r="R32" s="15">
        <f>IF($W32=$W33,-1,DatosHoy[[#This Row],[G ajus PM]]-X33)</f>
        <v>-1</v>
      </c>
      <c r="S32" s="15">
        <f>IF($W32=$W33,-1,DatosHoy[[#This Row],[G+V ajus PM]]-Y33)</f>
        <v>-1</v>
      </c>
      <c r="T32" s="15">
        <f>IF($W32=$W33,-1,DatosHoy[[#This Row],[CT ajus PM]]-Z33)</f>
        <v>-1</v>
      </c>
      <c r="U32" s="15">
        <f ca="1">IFERROR(IF(DatosHoy[[#This Row],[G ajus PM]]=DatosHoy[[#This Row],[G+V ajus PM]],-1,DatosHoy[[#This Row],[G ajus PM]]-DatosHoy[[#This Row],[G+V ajus PM]]),"")</f>
        <v>-226116.0042818361</v>
      </c>
      <c r="V32" s="15">
        <f ca="1">IFERROR(IF(DatosHoy[[#This Row],[G+V ajus PM]]=DatosHoy[[#This Row],[CT ajus PM]],-1,DatosHoy[[#This Row],[G+V ajus PM]]-DatosHoy[[#This Row],[CT ajus PM]]),"")</f>
        <v>-2479.8538982016034</v>
      </c>
      <c r="W32" s="15">
        <v>217</v>
      </c>
      <c r="X32" s="15">
        <f ca="1">IFERROR(IFERROR(VLOOKUP($W32,Regresiones!$T$6:$V$10,2,1)*$W32+VLOOKUP($W32,Regresiones!$T$6:$V$10,3,1),VLOOKUP(MIN(DatosHoy[Puntos]),Regresiones!$T$6:$V$10,2,1)*$W32+VLOOKUP(MIN(DatosHoy[Puntos]),Regresiones!$T$6:$V$10,3,1)),"NO")</f>
        <v>2945917.7106702444</v>
      </c>
      <c r="Y32" s="15">
        <f ca="1">IFERROR(IFERROR(VLOOKUP($W32,Regresiones!$W$6:$Y$10,2,1)*$W32+VLOOKUP($W32,Regresiones!$W$6:$Y$10,3,1),VLOOKUP(MIN(DatosHoy[Puntos]),Regresiones!$W$6:$Y$10,2,1)*$W32+VLOOKUP(MIN(DatosHoy[Puntos]),Regresiones!$W$6:$Y$10,3,1)),"NO")</f>
        <v>3172033.7149520805</v>
      </c>
      <c r="Z32" s="15">
        <f ca="1">IFERROR(IFERROR(VLOOKUP($W32,Regresiones!$Z$6:$AB$10,2,1)*$W32+VLOOKUP($W32,Regresiones!$Z$6:$AB$10,3,1),VLOOKUP(MIN(DatosHoy[Puntos]),Regresiones!$Z$6:$AB$10,2,1)*$W32+VLOOKUP(MIN(DatosHoy[Puntos]),Regresiones!$Z$6:$AB$10,3,1)),"NO")</f>
        <v>3174513.5688502821</v>
      </c>
      <c r="AA32" s="3">
        <f t="shared" ca="1" si="4"/>
        <v>0.98039969982777031</v>
      </c>
    </row>
    <row r="33" spans="2:29" x14ac:dyDescent="0.2">
      <c r="B33" s="1">
        <v>28</v>
      </c>
      <c r="C33" s="15">
        <v>2828714.68</v>
      </c>
      <c r="D33" s="15">
        <v>2828714.68</v>
      </c>
      <c r="E33" s="15">
        <v>2828714.68</v>
      </c>
      <c r="F33" s="1" t="s">
        <v>95</v>
      </c>
      <c r="G33" s="1">
        <v>212</v>
      </c>
      <c r="H33" s="1" t="str">
        <f t="shared" si="5"/>
        <v>$G$33</v>
      </c>
      <c r="I33" s="1" t="str">
        <f t="shared" si="6"/>
        <v>$C$33</v>
      </c>
      <c r="J33" s="1" t="str">
        <f t="shared" si="7"/>
        <v>$D$33</v>
      </c>
      <c r="K33" s="1" t="str">
        <f t="shared" si="8"/>
        <v>$E$33</v>
      </c>
      <c r="L33" s="15">
        <f ca="1">IFERROR(VLOOKUP($G33,Regresiones!$E$6:$I$10,4,1)*$G33+VLOOKUP($G33,Regresiones!$E$6:$I$10,5,1),"")</f>
        <v>2863176.10206183</v>
      </c>
      <c r="M33" s="15">
        <f ca="1">IFERROR(VLOOKUP($G33,Regresiones!$J$6:$N$10,4,1)*$G33+VLOOKUP($G33,Regresiones!$J$6:$N$10,5,1),"")</f>
        <v>2865307.0032410379</v>
      </c>
      <c r="N33" s="15">
        <f ca="1">IFERROR(VLOOKUP($G33,Regresiones!$O$6:$S$10,4,1)*$G33+VLOOKUP($G33,Regresiones!$O$6:$S$10,5,1),"")</f>
        <v>2865307.0032410379</v>
      </c>
      <c r="O33" s="15">
        <f ca="1">IFERROR(VLOOKUP($G33,Regresiones!$T$6:$V$10,2,1)*$G33+VLOOKUP($G33,Regresiones!$T$6:$V$10,3,1),"")</f>
        <v>2892565.9052952006</v>
      </c>
      <c r="P33" s="15">
        <f ca="1">IFERROR(VLOOKUP($G33,Regresiones!$W$6:$Y$10,2,1)*$G33+VLOOKUP($G33,Regresiones!$W$6:$Y$10,3,1),"")</f>
        <v>3116345.2315556952</v>
      </c>
      <c r="Q33" s="15">
        <f ca="1">IFERROR(VLOOKUP($G33,Regresiones!$Z$6:$AB$10,2,1)*$G33+VLOOKUP($G33,Regresiones!$Z$6:$AB$10,3,1),"")</f>
        <v>3118891.391707859</v>
      </c>
      <c r="R33" s="15">
        <f>IF($W33=$W34,-1,DatosHoy[[#This Row],[G ajus PM]]-X34)</f>
        <v>-1</v>
      </c>
      <c r="S33" s="15">
        <f>IF($W33=$W34,-1,DatosHoy[[#This Row],[G+V ajus PM]]-Y34)</f>
        <v>-1</v>
      </c>
      <c r="T33" s="15">
        <f>IF($W33=$W34,-1,DatosHoy[[#This Row],[CT ajus PM]]-Z34)</f>
        <v>-1</v>
      </c>
      <c r="U33" s="15">
        <f ca="1">IFERROR(IF(DatosHoy[[#This Row],[G ajus PM]]=DatosHoy[[#This Row],[G+V ajus PM]],-1,DatosHoy[[#This Row],[G ajus PM]]-DatosHoy[[#This Row],[G+V ajus PM]]),"")</f>
        <v>-226116.0042818361</v>
      </c>
      <c r="V33" s="15">
        <f ca="1">IFERROR(IF(DatosHoy[[#This Row],[G+V ajus PM]]=DatosHoy[[#This Row],[CT ajus PM]],-1,DatosHoy[[#This Row],[G+V ajus PM]]-DatosHoy[[#This Row],[CT ajus PM]]),"")</f>
        <v>-2479.8538982016034</v>
      </c>
      <c r="W33" s="15">
        <v>217</v>
      </c>
      <c r="X33" s="15">
        <f ca="1">IFERROR(IFERROR(VLOOKUP($W33,Regresiones!$T$6:$V$10,2,1)*$W33+VLOOKUP($W33,Regresiones!$T$6:$V$10,3,1),VLOOKUP(MIN(DatosHoy[Puntos]),Regresiones!$T$6:$V$10,2,1)*$W33+VLOOKUP(MIN(DatosHoy[Puntos]),Regresiones!$T$6:$V$10,3,1)),"NO")</f>
        <v>2945917.7106702444</v>
      </c>
      <c r="Y33" s="15">
        <f ca="1">IFERROR(IFERROR(VLOOKUP($W33,Regresiones!$W$6:$Y$10,2,1)*$W33+VLOOKUP($W33,Regresiones!$W$6:$Y$10,3,1),VLOOKUP(MIN(DatosHoy[Puntos]),Regresiones!$W$6:$Y$10,2,1)*$W33+VLOOKUP(MIN(DatosHoy[Puntos]),Regresiones!$W$6:$Y$10,3,1)),"NO")</f>
        <v>3172033.7149520805</v>
      </c>
      <c r="Z33" s="15">
        <f ca="1">IFERROR(IFERROR(VLOOKUP($W33,Regresiones!$Z$6:$AB$10,2,1)*$W33+VLOOKUP($W33,Regresiones!$Z$6:$AB$10,3,1),VLOOKUP(MIN(DatosHoy[Puntos]),Regresiones!$Z$6:$AB$10,2,1)*$W33+VLOOKUP(MIN(DatosHoy[Puntos]),Regresiones!$Z$6:$AB$10,3,1)),"NO")</f>
        <v>3174513.5688502821</v>
      </c>
      <c r="AA33" s="3">
        <f t="shared" ca="1" si="4"/>
        <v>0.89107027538221539</v>
      </c>
      <c r="AC33">
        <f ca="1">IF(DatosHoy[[#This Row],[G+V ajus PM]]=Y32,1,0)</f>
        <v>1</v>
      </c>
    </row>
    <row r="34" spans="2:29" x14ac:dyDescent="0.2">
      <c r="B34" s="1">
        <v>29</v>
      </c>
      <c r="C34" s="15">
        <v>2828714.68</v>
      </c>
      <c r="D34" s="15">
        <v>2828714.68</v>
      </c>
      <c r="E34" s="15">
        <v>2828714.68</v>
      </c>
      <c r="F34" s="1" t="s">
        <v>95</v>
      </c>
      <c r="G34" s="1">
        <v>212</v>
      </c>
      <c r="H34" s="1" t="str">
        <f t="shared" si="5"/>
        <v>$G$34</v>
      </c>
      <c r="I34" s="1" t="str">
        <f t="shared" si="6"/>
        <v>$C$34</v>
      </c>
      <c r="J34" s="1" t="str">
        <f t="shared" si="7"/>
        <v>$D$34</v>
      </c>
      <c r="K34" s="1" t="str">
        <f t="shared" si="8"/>
        <v>$E$34</v>
      </c>
      <c r="L34" s="15">
        <f ca="1">IFERROR(VLOOKUP($G34,Regresiones!$E$6:$I$10,4,1)*$G34+VLOOKUP($G34,Regresiones!$E$6:$I$10,5,1),"")</f>
        <v>2863176.10206183</v>
      </c>
      <c r="M34" s="15">
        <f ca="1">IFERROR(VLOOKUP($G34,Regresiones!$J$6:$N$10,4,1)*$G34+VLOOKUP($G34,Regresiones!$J$6:$N$10,5,1),"")</f>
        <v>2865307.0032410379</v>
      </c>
      <c r="N34" s="15">
        <f ca="1">IFERROR(VLOOKUP($G34,Regresiones!$O$6:$S$10,4,1)*$G34+VLOOKUP($G34,Regresiones!$O$6:$S$10,5,1),"")</f>
        <v>2865307.0032410379</v>
      </c>
      <c r="O34" s="15">
        <f ca="1">IFERROR(VLOOKUP($G34,Regresiones!$T$6:$V$10,2,1)*$G34+VLOOKUP($G34,Regresiones!$T$6:$V$10,3,1),"")</f>
        <v>2892565.9052952006</v>
      </c>
      <c r="P34" s="15">
        <f ca="1">IFERROR(VLOOKUP($G34,Regresiones!$W$6:$Y$10,2,1)*$G34+VLOOKUP($G34,Regresiones!$W$6:$Y$10,3,1),"")</f>
        <v>3116345.2315556952</v>
      </c>
      <c r="Q34" s="15">
        <f ca="1">IFERROR(VLOOKUP($G34,Regresiones!$Z$6:$AB$10,2,1)*$G34+VLOOKUP($G34,Regresiones!$Z$6:$AB$10,3,1),"")</f>
        <v>3118891.391707859</v>
      </c>
      <c r="R34" s="15">
        <f>IF($W34=$W35,-1,DatosHoy[[#This Row],[G ajus PM]]-X35)</f>
        <v>-1</v>
      </c>
      <c r="S34" s="15">
        <f>IF($W34=$W35,-1,DatosHoy[[#This Row],[G+V ajus PM]]-Y35)</f>
        <v>-1</v>
      </c>
      <c r="T34" s="15">
        <f>IF($W34=$W35,-1,DatosHoy[[#This Row],[CT ajus PM]]-Z35)</f>
        <v>-1</v>
      </c>
      <c r="U34" s="15">
        <f ca="1">IFERROR(IF(DatosHoy[[#This Row],[G ajus PM]]=DatosHoy[[#This Row],[G+V ajus PM]],-1,DatosHoy[[#This Row],[G ajus PM]]-DatosHoy[[#This Row],[G+V ajus PM]]),"")</f>
        <v>-226116.0042818361</v>
      </c>
      <c r="V34" s="15">
        <f ca="1">IFERROR(IF(DatosHoy[[#This Row],[G+V ajus PM]]=DatosHoy[[#This Row],[CT ajus PM]],-1,DatosHoy[[#This Row],[G+V ajus PM]]-DatosHoy[[#This Row],[CT ajus PM]]),"")</f>
        <v>-2479.8538982016034</v>
      </c>
      <c r="W34" s="15">
        <v>217</v>
      </c>
      <c r="X34" s="15">
        <f ca="1">IFERROR(IFERROR(VLOOKUP($W34,Regresiones!$T$6:$V$10,2,1)*$W34+VLOOKUP($W34,Regresiones!$T$6:$V$10,3,1),VLOOKUP(MIN(DatosHoy[Puntos]),Regresiones!$T$6:$V$10,2,1)*$W34+VLOOKUP(MIN(DatosHoy[Puntos]),Regresiones!$T$6:$V$10,3,1)),"NO")</f>
        <v>2945917.7106702444</v>
      </c>
      <c r="Y34" s="15">
        <f ca="1">IFERROR(IFERROR(VLOOKUP($W34,Regresiones!$W$6:$Y$10,2,1)*$W34+VLOOKUP($W34,Regresiones!$W$6:$Y$10,3,1),VLOOKUP(MIN(DatosHoy[Puntos]),Regresiones!$W$6:$Y$10,2,1)*$W34+VLOOKUP(MIN(DatosHoy[Puntos]),Regresiones!$W$6:$Y$10,3,1)),"NO")</f>
        <v>3172033.7149520805</v>
      </c>
      <c r="Z34" s="15">
        <f ca="1">IFERROR(IFERROR(VLOOKUP($W34,Regresiones!$Z$6:$AB$10,2,1)*$W34+VLOOKUP($W34,Regresiones!$Z$6:$AB$10,3,1),VLOOKUP(MIN(DatosHoy[Puntos]),Regresiones!$Z$6:$AB$10,2,1)*$W34+VLOOKUP(MIN(DatosHoy[Puntos]),Regresiones!$Z$6:$AB$10,3,1)),"NO")</f>
        <v>3174513.5688502821</v>
      </c>
      <c r="AA34" s="3">
        <f t="shared" ca="1" si="4"/>
        <v>0.89107027538221539</v>
      </c>
    </row>
    <row r="35" spans="2:29" x14ac:dyDescent="0.2">
      <c r="B35" s="1">
        <v>30</v>
      </c>
      <c r="C35" s="15">
        <v>2828714.68</v>
      </c>
      <c r="D35" s="15">
        <v>2828714.68</v>
      </c>
      <c r="E35" s="15">
        <v>2828714.68</v>
      </c>
      <c r="F35" s="1" t="s">
        <v>96</v>
      </c>
      <c r="G35" s="1">
        <v>213</v>
      </c>
      <c r="H35" s="1" t="str">
        <f t="shared" si="5"/>
        <v>$G$35</v>
      </c>
      <c r="I35" s="1" t="str">
        <f t="shared" si="6"/>
        <v>$C$35</v>
      </c>
      <c r="J35" s="1" t="str">
        <f t="shared" si="7"/>
        <v>$D$35</v>
      </c>
      <c r="K35" s="1" t="str">
        <f t="shared" si="8"/>
        <v>$E$35</v>
      </c>
      <c r="L35" s="15">
        <f ca="1">IFERROR(VLOOKUP($G35,Regresiones!$E$6:$I$10,4,1)*$G35+VLOOKUP($G35,Regresiones!$E$6:$I$10,5,1),"")</f>
        <v>2875915.1022193939</v>
      </c>
      <c r="M35" s="15">
        <f ca="1">IFERROR(VLOOKUP($G35,Regresiones!$J$6:$N$10,4,1)*$G35+VLOOKUP($G35,Regresiones!$J$6:$N$10,5,1),"")</f>
        <v>2878263.6888691988</v>
      </c>
      <c r="N35" s="15">
        <f ca="1">IFERROR(VLOOKUP($G35,Regresiones!$O$6:$S$10,4,1)*$G35+VLOOKUP($G35,Regresiones!$O$6:$S$10,5,1),"")</f>
        <v>2878263.6888691988</v>
      </c>
      <c r="O35" s="15">
        <f ca="1">IFERROR(VLOOKUP($G35,Regresiones!$T$6:$V$10,2,1)*$G35+VLOOKUP($G35,Regresiones!$T$6:$V$10,3,1),"")</f>
        <v>2903236.2663702094</v>
      </c>
      <c r="P35" s="15">
        <f ca="1">IFERROR(VLOOKUP($G35,Regresiones!$W$6:$Y$10,2,1)*$G35+VLOOKUP($G35,Regresiones!$W$6:$Y$10,3,1),"")</f>
        <v>3127482.9282349721</v>
      </c>
      <c r="Q35" s="15">
        <f ca="1">IFERROR(VLOOKUP($G35,Regresiones!$Z$6:$AB$10,2,1)*$G35+VLOOKUP($G35,Regresiones!$Z$6:$AB$10,3,1),"")</f>
        <v>3130015.8271363438</v>
      </c>
      <c r="R35" s="15">
        <f>IF($W35=$W36,-1,DatosHoy[[#This Row],[G ajus PM]]-X36)</f>
        <v>-1</v>
      </c>
      <c r="S35" s="15">
        <f>IF($W35=$W36,-1,DatosHoy[[#This Row],[G+V ajus PM]]-Y36)</f>
        <v>-1</v>
      </c>
      <c r="T35" s="15">
        <f>IF($W35=$W36,-1,DatosHoy[[#This Row],[CT ajus PM]]-Z36)</f>
        <v>-1</v>
      </c>
      <c r="U35" s="15">
        <f ca="1">IFERROR(IF(DatosHoy[[#This Row],[G ajus PM]]=DatosHoy[[#This Row],[G+V ajus PM]],-1,DatosHoy[[#This Row],[G ajus PM]]-DatosHoy[[#This Row],[G+V ajus PM]]),"")</f>
        <v>-226116.0042818361</v>
      </c>
      <c r="V35" s="15">
        <f ca="1">IFERROR(IF(DatosHoy[[#This Row],[G+V ajus PM]]=DatosHoy[[#This Row],[CT ajus PM]],-1,DatosHoy[[#This Row],[G+V ajus PM]]-DatosHoy[[#This Row],[CT ajus PM]]),"")</f>
        <v>-2479.8538982016034</v>
      </c>
      <c r="W35" s="15">
        <v>217</v>
      </c>
      <c r="X35" s="15">
        <f ca="1">IFERROR(IFERROR(VLOOKUP($W35,Regresiones!$T$6:$V$10,2,1)*$W35+VLOOKUP($W35,Regresiones!$T$6:$V$10,3,1),VLOOKUP(MIN(DatosHoy[Puntos]),Regresiones!$T$6:$V$10,2,1)*$W35+VLOOKUP(MIN(DatosHoy[Puntos]),Regresiones!$T$6:$V$10,3,1)),"NO")</f>
        <v>2945917.7106702444</v>
      </c>
      <c r="Y35" s="15">
        <f ca="1">IFERROR(IFERROR(VLOOKUP($W35,Regresiones!$W$6:$Y$10,2,1)*$W35+VLOOKUP($W35,Regresiones!$W$6:$Y$10,3,1),VLOOKUP(MIN(DatosHoy[Puntos]),Regresiones!$W$6:$Y$10,2,1)*$W35+VLOOKUP(MIN(DatosHoy[Puntos]),Regresiones!$W$6:$Y$10,3,1)),"NO")</f>
        <v>3172033.7149520805</v>
      </c>
      <c r="Z35" s="15">
        <f ca="1">IFERROR(IFERROR(VLOOKUP($W35,Regresiones!$Z$6:$AB$10,2,1)*$W35+VLOOKUP($W35,Regresiones!$Z$6:$AB$10,3,1),VLOOKUP(MIN(DatosHoy[Puntos]),Regresiones!$Z$6:$AB$10,2,1)*$W35+VLOOKUP(MIN(DatosHoy[Puntos]),Regresiones!$Z$6:$AB$10,3,1)),"NO")</f>
        <v>3174513.5688502821</v>
      </c>
      <c r="AA35" s="3">
        <f t="shared" ca="1" si="4"/>
        <v>0.89107027538221539</v>
      </c>
    </row>
    <row r="36" spans="2:29" x14ac:dyDescent="0.2">
      <c r="B36" s="1">
        <v>31</v>
      </c>
      <c r="C36" s="15">
        <v>3218192.45</v>
      </c>
      <c r="D36" s="15">
        <v>3218192.45</v>
      </c>
      <c r="E36" s="15">
        <v>3218192.45</v>
      </c>
      <c r="F36" s="1" t="s">
        <v>97</v>
      </c>
      <c r="G36" s="1">
        <v>217</v>
      </c>
      <c r="H36" s="1" t="str">
        <f t="shared" si="5"/>
        <v>$G$36</v>
      </c>
      <c r="I36" s="1" t="str">
        <f t="shared" si="6"/>
        <v>$C$36</v>
      </c>
      <c r="J36" s="1" t="str">
        <f t="shared" si="7"/>
        <v>$D$36</v>
      </c>
      <c r="K36" s="1" t="str">
        <f t="shared" si="8"/>
        <v>$E$36</v>
      </c>
      <c r="L36" s="15">
        <f ca="1">IFERROR(VLOOKUP($G36,Regresiones!$E$6:$I$10,4,1)*$G36+VLOOKUP($G36,Regresiones!$E$6:$I$10,5,1),"")</f>
        <v>2926871.1028496502</v>
      </c>
      <c r="M36" s="15">
        <f ca="1">IFERROR(VLOOKUP($G36,Regresiones!$J$6:$N$10,4,1)*$G36+VLOOKUP($G36,Regresiones!$J$6:$N$10,5,1),"")</f>
        <v>2930090.4313818426</v>
      </c>
      <c r="N36" s="15">
        <f ca="1">IFERROR(VLOOKUP($G36,Regresiones!$O$6:$S$10,4,1)*$G36+VLOOKUP($G36,Regresiones!$O$6:$S$10,5,1),"")</f>
        <v>2930090.4313818426</v>
      </c>
      <c r="O36" s="15">
        <f ca="1">IFERROR(VLOOKUP($G36,Regresiones!$T$6:$V$10,2,1)*$G36+VLOOKUP($G36,Regresiones!$T$6:$V$10,3,1),"")</f>
        <v>2945917.7106702444</v>
      </c>
      <c r="P36" s="15">
        <f ca="1">IFERROR(VLOOKUP($G36,Regresiones!$W$6:$Y$10,2,1)*$G36+VLOOKUP($G36,Regresiones!$W$6:$Y$10,3,1),"")</f>
        <v>3172033.7149520805</v>
      </c>
      <c r="Q36" s="15">
        <f ca="1">IFERROR(VLOOKUP($G36,Regresiones!$Z$6:$AB$10,2,1)*$G36+VLOOKUP($G36,Regresiones!$Z$6:$AB$10,3,1),"")</f>
        <v>3174513.5688502821</v>
      </c>
      <c r="R36" s="15">
        <f>IF($W36=$W37,-1,DatosHoy[[#This Row],[G ajus PM]]-X37)</f>
        <v>-1</v>
      </c>
      <c r="S36" s="15">
        <f>IF($W36=$W37,-1,DatosHoy[[#This Row],[G+V ajus PM]]-Y37)</f>
        <v>-1</v>
      </c>
      <c r="T36" s="15">
        <f>IF($W36=$W37,-1,DatosHoy[[#This Row],[CT ajus PM]]-Z37)</f>
        <v>-1</v>
      </c>
      <c r="U36" s="15">
        <f ca="1">IFERROR(IF(DatosHoy[[#This Row],[G ajus PM]]=DatosHoy[[#This Row],[G+V ajus PM]],-1,DatosHoy[[#This Row],[G ajus PM]]-DatosHoy[[#This Row],[G+V ajus PM]]),"")</f>
        <v>-226116.0042818361</v>
      </c>
      <c r="V36" s="15">
        <f ca="1">IFERROR(IF(DatosHoy[[#This Row],[G+V ajus PM]]=DatosHoy[[#This Row],[CT ajus PM]],-1,DatosHoy[[#This Row],[G+V ajus PM]]-DatosHoy[[#This Row],[CT ajus PM]]),"")</f>
        <v>-2479.8538982016034</v>
      </c>
      <c r="W36" s="15">
        <v>217</v>
      </c>
      <c r="X36" s="15">
        <f ca="1">IFERROR(IFERROR(VLOOKUP($W36,Regresiones!$T$6:$V$10,2,1)*$W36+VLOOKUP($W36,Regresiones!$T$6:$V$10,3,1),VLOOKUP(MIN(DatosHoy[Puntos]),Regresiones!$T$6:$V$10,2,1)*$W36+VLOOKUP(MIN(DatosHoy[Puntos]),Regresiones!$T$6:$V$10,3,1)),"NO")</f>
        <v>2945917.7106702444</v>
      </c>
      <c r="Y36" s="15">
        <f ca="1">IFERROR(IFERROR(VLOOKUP($W36,Regresiones!$W$6:$Y$10,2,1)*$W36+VLOOKUP($W36,Regresiones!$W$6:$Y$10,3,1),VLOOKUP(MIN(DatosHoy[Puntos]),Regresiones!$W$6:$Y$10,2,1)*$W36+VLOOKUP(MIN(DatosHoy[Puntos]),Regresiones!$W$6:$Y$10,3,1)),"NO")</f>
        <v>3172033.7149520805</v>
      </c>
      <c r="Z36" s="15">
        <f ca="1">IFERROR(IFERROR(VLOOKUP($W36,Regresiones!$Z$6:$AB$10,2,1)*$W36+VLOOKUP($W36,Regresiones!$Z$6:$AB$10,3,1),VLOOKUP(MIN(DatosHoy[Puntos]),Regresiones!$Z$6:$AB$10,2,1)*$W36+VLOOKUP(MIN(DatosHoy[Puntos]),Regresiones!$Z$6:$AB$10,3,1)),"NO")</f>
        <v>3174513.5688502821</v>
      </c>
      <c r="AA36" s="3">
        <f t="shared" ca="1" si="4"/>
        <v>1.0137592359277701</v>
      </c>
    </row>
    <row r="37" spans="2:29" x14ac:dyDescent="0.2">
      <c r="B37" s="1">
        <v>32</v>
      </c>
      <c r="C37" s="15">
        <v>2828714.68</v>
      </c>
      <c r="D37" s="15">
        <v>2828714.68</v>
      </c>
      <c r="E37" s="15">
        <v>2828714.68</v>
      </c>
      <c r="F37" s="1" t="s">
        <v>98</v>
      </c>
      <c r="G37" s="1">
        <v>217</v>
      </c>
      <c r="H37" s="1" t="str">
        <f t="shared" si="5"/>
        <v>$G$37</v>
      </c>
      <c r="I37" s="1" t="str">
        <f t="shared" si="6"/>
        <v>$C$37</v>
      </c>
      <c r="J37" s="1" t="str">
        <f t="shared" si="7"/>
        <v>$D$37</v>
      </c>
      <c r="K37" s="1" t="str">
        <f t="shared" si="8"/>
        <v>$E$37</v>
      </c>
      <c r="L37" s="15">
        <f ca="1">IFERROR(VLOOKUP($G37,Regresiones!$E$6:$I$10,4,1)*$G37+VLOOKUP($G37,Regresiones!$E$6:$I$10,5,1),"")</f>
        <v>2926871.1028496502</v>
      </c>
      <c r="M37" s="15">
        <f ca="1">IFERROR(VLOOKUP($G37,Regresiones!$J$6:$N$10,4,1)*$G37+VLOOKUP($G37,Regresiones!$J$6:$N$10,5,1),"")</f>
        <v>2930090.4313818426</v>
      </c>
      <c r="N37" s="15">
        <f ca="1">IFERROR(VLOOKUP($G37,Regresiones!$O$6:$S$10,4,1)*$G37+VLOOKUP($G37,Regresiones!$O$6:$S$10,5,1),"")</f>
        <v>2930090.4313818426</v>
      </c>
      <c r="O37" s="15">
        <f ca="1">IFERROR(VLOOKUP($G37,Regresiones!$T$6:$V$10,2,1)*$G37+VLOOKUP($G37,Regresiones!$T$6:$V$10,3,1),"")</f>
        <v>2945917.7106702444</v>
      </c>
      <c r="P37" s="15">
        <f ca="1">IFERROR(VLOOKUP($G37,Regresiones!$W$6:$Y$10,2,1)*$G37+VLOOKUP($G37,Regresiones!$W$6:$Y$10,3,1),"")</f>
        <v>3172033.7149520805</v>
      </c>
      <c r="Q37" s="15">
        <f ca="1">IFERROR(VLOOKUP($G37,Regresiones!$Z$6:$AB$10,2,1)*$G37+VLOOKUP($G37,Regresiones!$Z$6:$AB$10,3,1),"")</f>
        <v>3174513.5688502821</v>
      </c>
      <c r="R37" s="15">
        <f>IF($W37=$W38,-1,DatosHoy[[#This Row],[G ajus PM]]-X38)</f>
        <v>-1</v>
      </c>
      <c r="S37" s="15">
        <f>IF($W37=$W38,-1,DatosHoy[[#This Row],[G+V ajus PM]]-Y38)</f>
        <v>-1</v>
      </c>
      <c r="T37" s="15">
        <f>IF($W37=$W38,-1,DatosHoy[[#This Row],[CT ajus PM]]-Z38)</f>
        <v>-1</v>
      </c>
      <c r="U37" s="15">
        <f ca="1">IFERROR(IF(DatosHoy[[#This Row],[G ajus PM]]=DatosHoy[[#This Row],[G+V ajus PM]],-1,DatosHoy[[#This Row],[G ajus PM]]-DatosHoy[[#This Row],[G+V ajus PM]]),"")</f>
        <v>-226116.0042818361</v>
      </c>
      <c r="V37" s="15">
        <f ca="1">IFERROR(IF(DatosHoy[[#This Row],[G+V ajus PM]]=DatosHoy[[#This Row],[CT ajus PM]],-1,DatosHoy[[#This Row],[G+V ajus PM]]-DatosHoy[[#This Row],[CT ajus PM]]),"")</f>
        <v>-2479.8538982016034</v>
      </c>
      <c r="W37" s="15">
        <v>217</v>
      </c>
      <c r="X37" s="15">
        <f ca="1">IFERROR(IFERROR(VLOOKUP($W37,Regresiones!$T$6:$V$10,2,1)*$W37+VLOOKUP($W37,Regresiones!$T$6:$V$10,3,1),VLOOKUP(MIN(DatosHoy[Puntos]),Regresiones!$T$6:$V$10,2,1)*$W37+VLOOKUP(MIN(DatosHoy[Puntos]),Regresiones!$T$6:$V$10,3,1)),"NO")</f>
        <v>2945917.7106702444</v>
      </c>
      <c r="Y37" s="15">
        <f ca="1">IFERROR(IFERROR(VLOOKUP($W37,Regresiones!$W$6:$Y$10,2,1)*$W37+VLOOKUP($W37,Regresiones!$W$6:$Y$10,3,1),VLOOKUP(MIN(DatosHoy[Puntos]),Regresiones!$W$6:$Y$10,2,1)*$W37+VLOOKUP(MIN(DatosHoy[Puntos]),Regresiones!$W$6:$Y$10,3,1)),"NO")</f>
        <v>3172033.7149520805</v>
      </c>
      <c r="Z37" s="15">
        <f ca="1">IFERROR(IFERROR(VLOOKUP($W37,Regresiones!$Z$6:$AB$10,2,1)*$W37+VLOOKUP($W37,Regresiones!$Z$6:$AB$10,3,1),VLOOKUP(MIN(DatosHoy[Puntos]),Regresiones!$Z$6:$AB$10,2,1)*$W37+VLOOKUP(MIN(DatosHoy[Puntos]),Regresiones!$Z$6:$AB$10,3,1)),"NO")</f>
        <v>3174513.5688502821</v>
      </c>
      <c r="AA37" s="3">
        <f t="shared" ca="1" si="4"/>
        <v>0.89107027538221539</v>
      </c>
    </row>
    <row r="38" spans="2:29" x14ac:dyDescent="0.2">
      <c r="B38" s="1">
        <v>33</v>
      </c>
      <c r="C38" s="15">
        <v>2828714.68</v>
      </c>
      <c r="D38" s="15">
        <v>2828714.68</v>
      </c>
      <c r="E38" s="15">
        <v>2828714.68</v>
      </c>
      <c r="F38" s="1" t="s">
        <v>99</v>
      </c>
      <c r="G38" s="1">
        <v>217</v>
      </c>
      <c r="H38" s="1" t="str">
        <f t="shared" si="5"/>
        <v>$G$38</v>
      </c>
      <c r="I38" s="1" t="str">
        <f t="shared" si="6"/>
        <v>$C$38</v>
      </c>
      <c r="J38" s="1" t="str">
        <f t="shared" si="7"/>
        <v>$D$38</v>
      </c>
      <c r="K38" s="1" t="str">
        <f t="shared" si="8"/>
        <v>$E$38</v>
      </c>
      <c r="L38" s="15">
        <f ca="1">IFERROR(VLOOKUP($G38,Regresiones!$E$6:$I$10,4,1)*$G38+VLOOKUP($G38,Regresiones!$E$6:$I$10,5,1),"")</f>
        <v>2926871.1028496502</v>
      </c>
      <c r="M38" s="15">
        <f ca="1">IFERROR(VLOOKUP($G38,Regresiones!$J$6:$N$10,4,1)*$G38+VLOOKUP($G38,Regresiones!$J$6:$N$10,5,1),"")</f>
        <v>2930090.4313818426</v>
      </c>
      <c r="N38" s="15">
        <f ca="1">IFERROR(VLOOKUP($G38,Regresiones!$O$6:$S$10,4,1)*$G38+VLOOKUP($G38,Regresiones!$O$6:$S$10,5,1),"")</f>
        <v>2930090.4313818426</v>
      </c>
      <c r="O38" s="15">
        <f ca="1">IFERROR(VLOOKUP($G38,Regresiones!$T$6:$V$10,2,1)*$G38+VLOOKUP($G38,Regresiones!$T$6:$V$10,3,1),"")</f>
        <v>2945917.7106702444</v>
      </c>
      <c r="P38" s="15">
        <f ca="1">IFERROR(VLOOKUP($G38,Regresiones!$W$6:$Y$10,2,1)*$G38+VLOOKUP($G38,Regresiones!$W$6:$Y$10,3,1),"")</f>
        <v>3172033.7149520805</v>
      </c>
      <c r="Q38" s="15">
        <f ca="1">IFERROR(VLOOKUP($G38,Regresiones!$Z$6:$AB$10,2,1)*$G38+VLOOKUP($G38,Regresiones!$Z$6:$AB$10,3,1),"")</f>
        <v>3174513.5688502821</v>
      </c>
      <c r="R38" s="15">
        <f>IF($W38=$W39,-1,DatosHoy[[#This Row],[G ajus PM]]-X39)</f>
        <v>-1</v>
      </c>
      <c r="S38" s="15">
        <f>IF($W38=$W39,-1,DatosHoy[[#This Row],[G+V ajus PM]]-Y39)</f>
        <v>-1</v>
      </c>
      <c r="T38" s="15">
        <f>IF($W38=$W39,-1,DatosHoy[[#This Row],[CT ajus PM]]-Z39)</f>
        <v>-1</v>
      </c>
      <c r="U38" s="15">
        <f ca="1">IFERROR(IF(DatosHoy[[#This Row],[G ajus PM]]=DatosHoy[[#This Row],[G+V ajus PM]],-1,DatosHoy[[#This Row],[G ajus PM]]-DatosHoy[[#This Row],[G+V ajus PM]]),"")</f>
        <v>-226116.0042818361</v>
      </c>
      <c r="V38" s="15">
        <f ca="1">IFERROR(IF(DatosHoy[[#This Row],[G+V ajus PM]]=DatosHoy[[#This Row],[CT ajus PM]],-1,DatosHoy[[#This Row],[G+V ajus PM]]-DatosHoy[[#This Row],[CT ajus PM]]),"")</f>
        <v>-2479.8538982016034</v>
      </c>
      <c r="W38" s="15">
        <v>217</v>
      </c>
      <c r="X38" s="15">
        <f ca="1">IFERROR(IFERROR(VLOOKUP($W38,Regresiones!$T$6:$V$10,2,1)*$W38+VLOOKUP($W38,Regresiones!$T$6:$V$10,3,1),VLOOKUP(MIN(DatosHoy[Puntos]),Regresiones!$T$6:$V$10,2,1)*$W38+VLOOKUP(MIN(DatosHoy[Puntos]),Regresiones!$T$6:$V$10,3,1)),"NO")</f>
        <v>2945917.7106702444</v>
      </c>
      <c r="Y38" s="15">
        <f ca="1">IFERROR(IFERROR(VLOOKUP($W38,Regresiones!$W$6:$Y$10,2,1)*$W38+VLOOKUP($W38,Regresiones!$W$6:$Y$10,3,1),VLOOKUP(MIN(DatosHoy[Puntos]),Regresiones!$W$6:$Y$10,2,1)*$W38+VLOOKUP(MIN(DatosHoy[Puntos]),Regresiones!$W$6:$Y$10,3,1)),"NO")</f>
        <v>3172033.7149520805</v>
      </c>
      <c r="Z38" s="15">
        <f ca="1">IFERROR(IFERROR(VLOOKUP($W38,Regresiones!$Z$6:$AB$10,2,1)*$W38+VLOOKUP($W38,Regresiones!$Z$6:$AB$10,3,1),VLOOKUP(MIN(DatosHoy[Puntos]),Regresiones!$Z$6:$AB$10,2,1)*$W38+VLOOKUP(MIN(DatosHoy[Puntos]),Regresiones!$Z$6:$AB$10,3,1)),"NO")</f>
        <v>3174513.5688502821</v>
      </c>
      <c r="AA38" s="3">
        <f t="shared" ref="AA38:AA69" ca="1" si="9">IFERROR(E38/Z38,"NO")</f>
        <v>0.89107027538221539</v>
      </c>
    </row>
    <row r="39" spans="2:29" x14ac:dyDescent="0.2">
      <c r="B39" s="1">
        <v>34</v>
      </c>
      <c r="C39" s="15">
        <v>2536900.52</v>
      </c>
      <c r="D39" s="15">
        <v>2536900.52</v>
      </c>
      <c r="E39" s="15">
        <v>2536900.52</v>
      </c>
      <c r="F39" s="1" t="s">
        <v>100</v>
      </c>
      <c r="G39" s="1">
        <v>224</v>
      </c>
      <c r="H39" s="1" t="str">
        <f t="shared" si="5"/>
        <v>$G$39</v>
      </c>
      <c r="I39" s="1" t="str">
        <f t="shared" si="6"/>
        <v>$C$39</v>
      </c>
      <c r="J39" s="1" t="str">
        <f t="shared" si="7"/>
        <v>$D$39</v>
      </c>
      <c r="K39" s="1" t="str">
        <f t="shared" si="8"/>
        <v>$E$39</v>
      </c>
      <c r="L39" s="15">
        <f ca="1">IFERROR(VLOOKUP($G39,Regresiones!$E$6:$I$10,4,1)*$G39+VLOOKUP($G39,Regresiones!$E$6:$I$10,5,1),"")</f>
        <v>3016044.1039525978</v>
      </c>
      <c r="M39" s="15">
        <f ca="1">IFERROR(VLOOKUP($G39,Regresiones!$J$6:$N$10,4,1)*$G39+VLOOKUP($G39,Regresiones!$J$6:$N$10,5,1),"")</f>
        <v>3020787.2307789698</v>
      </c>
      <c r="N39" s="15">
        <f ca="1">IFERROR(VLOOKUP($G39,Regresiones!$O$6:$S$10,4,1)*$G39+VLOOKUP($G39,Regresiones!$O$6:$S$10,5,1),"")</f>
        <v>3020787.2307789698</v>
      </c>
      <c r="O39" s="15">
        <f ca="1">IFERROR(VLOOKUP($G39,Regresiones!$T$6:$V$10,2,1)*$G39+VLOOKUP($G39,Regresiones!$T$6:$V$10,3,1),"")</f>
        <v>3020610.2381953052</v>
      </c>
      <c r="P39" s="15">
        <f ca="1">IFERROR(VLOOKUP($G39,Regresiones!$W$6:$Y$10,2,1)*$G39+VLOOKUP($G39,Regresiones!$W$6:$Y$10,3,1),"")</f>
        <v>3249997.5917070201</v>
      </c>
      <c r="Q39" s="15">
        <f ca="1">IFERROR(VLOOKUP($G39,Regresiones!$Z$6:$AB$10,2,1)*$G39+VLOOKUP($G39,Regresiones!$Z$6:$AB$10,3,1),"")</f>
        <v>3252384.6168496739</v>
      </c>
      <c r="R39" s="15">
        <f>IF($W39=$W40,-1,DatosHoy[[#This Row],[G ajus PM]]-X40)</f>
        <v>-1</v>
      </c>
      <c r="S39" s="15">
        <f>IF($W39=$W40,-1,DatosHoy[[#This Row],[G+V ajus PM]]-Y40)</f>
        <v>-1</v>
      </c>
      <c r="T39" s="15">
        <f>IF($W39=$W40,-1,DatosHoy[[#This Row],[CT ajus PM]]-Z40)</f>
        <v>-1</v>
      </c>
      <c r="U39" s="15">
        <f ca="1">IFERROR(IF(DatosHoy[[#This Row],[G ajus PM]]=DatosHoy[[#This Row],[G+V ajus PM]],-1,DatosHoy[[#This Row],[G ajus PM]]-DatosHoy[[#This Row],[G+V ajus PM]]),"")</f>
        <v>-226116.0042818361</v>
      </c>
      <c r="V39" s="15">
        <f ca="1">IFERROR(IF(DatosHoy[[#This Row],[G+V ajus PM]]=DatosHoy[[#This Row],[CT ajus PM]],-1,DatosHoy[[#This Row],[G+V ajus PM]]-DatosHoy[[#This Row],[CT ajus PM]]),"")</f>
        <v>-2479.8538982016034</v>
      </c>
      <c r="W39" s="15">
        <v>217</v>
      </c>
      <c r="X39" s="15">
        <f ca="1">IFERROR(IFERROR(VLOOKUP($W39,Regresiones!$T$6:$V$10,2,1)*$W39+VLOOKUP($W39,Regresiones!$T$6:$V$10,3,1),VLOOKUP(MIN(DatosHoy[Puntos]),Regresiones!$T$6:$V$10,2,1)*$W39+VLOOKUP(MIN(DatosHoy[Puntos]),Regresiones!$T$6:$V$10,3,1)),"NO")</f>
        <v>2945917.7106702444</v>
      </c>
      <c r="Y39" s="15">
        <f ca="1">IFERROR(IFERROR(VLOOKUP($W39,Regresiones!$W$6:$Y$10,2,1)*$W39+VLOOKUP($W39,Regresiones!$W$6:$Y$10,3,1),VLOOKUP(MIN(DatosHoy[Puntos]),Regresiones!$W$6:$Y$10,2,1)*$W39+VLOOKUP(MIN(DatosHoy[Puntos]),Regresiones!$W$6:$Y$10,3,1)),"NO")</f>
        <v>3172033.7149520805</v>
      </c>
      <c r="Z39" s="15">
        <f ca="1">IFERROR(IFERROR(VLOOKUP($W39,Regresiones!$Z$6:$AB$10,2,1)*$W39+VLOOKUP($W39,Regresiones!$Z$6:$AB$10,3,1),VLOOKUP(MIN(DatosHoy[Puntos]),Regresiones!$Z$6:$AB$10,2,1)*$W39+VLOOKUP(MIN(DatosHoy[Puntos]),Regresiones!$Z$6:$AB$10,3,1)),"NO")</f>
        <v>3174513.5688502821</v>
      </c>
      <c r="AA39" s="3">
        <f t="shared" ca="1" si="9"/>
        <v>0.79914622035110494</v>
      </c>
    </row>
    <row r="40" spans="2:29" x14ac:dyDescent="0.2">
      <c r="B40" s="1">
        <v>35</v>
      </c>
      <c r="C40" s="15">
        <v>2536900.52</v>
      </c>
      <c r="D40" s="15">
        <v>2536900.52</v>
      </c>
      <c r="E40" s="15">
        <v>2536900.52</v>
      </c>
      <c r="F40" s="1" t="s">
        <v>100</v>
      </c>
      <c r="G40" s="1">
        <v>224</v>
      </c>
      <c r="H40" s="1" t="str">
        <f t="shared" si="5"/>
        <v>$G$40</v>
      </c>
      <c r="I40" s="1" t="str">
        <f t="shared" si="6"/>
        <v>$C$40</v>
      </c>
      <c r="J40" s="1" t="str">
        <f t="shared" si="7"/>
        <v>$D$40</v>
      </c>
      <c r="K40" s="1" t="str">
        <f t="shared" si="8"/>
        <v>$E$40</v>
      </c>
      <c r="L40" s="15">
        <f ca="1">IFERROR(VLOOKUP($G40,Regresiones!$E$6:$I$10,4,1)*$G40+VLOOKUP($G40,Regresiones!$E$6:$I$10,5,1),"")</f>
        <v>3016044.1039525978</v>
      </c>
      <c r="M40" s="15">
        <f ca="1">IFERROR(VLOOKUP($G40,Regresiones!$J$6:$N$10,4,1)*$G40+VLOOKUP($G40,Regresiones!$J$6:$N$10,5,1),"")</f>
        <v>3020787.2307789698</v>
      </c>
      <c r="N40" s="15">
        <f ca="1">IFERROR(VLOOKUP($G40,Regresiones!$O$6:$S$10,4,1)*$G40+VLOOKUP($G40,Regresiones!$O$6:$S$10,5,1),"")</f>
        <v>3020787.2307789698</v>
      </c>
      <c r="O40" s="15">
        <f ca="1">IFERROR(VLOOKUP($G40,Regresiones!$T$6:$V$10,2,1)*$G40+VLOOKUP($G40,Regresiones!$T$6:$V$10,3,1),"")</f>
        <v>3020610.2381953052</v>
      </c>
      <c r="P40" s="15">
        <f ca="1">IFERROR(VLOOKUP($G40,Regresiones!$W$6:$Y$10,2,1)*$G40+VLOOKUP($G40,Regresiones!$W$6:$Y$10,3,1),"")</f>
        <v>3249997.5917070201</v>
      </c>
      <c r="Q40" s="15">
        <f ca="1">IFERROR(VLOOKUP($G40,Regresiones!$Z$6:$AB$10,2,1)*$G40+VLOOKUP($G40,Regresiones!$Z$6:$AB$10,3,1),"")</f>
        <v>3252384.6168496739</v>
      </c>
      <c r="R40" s="15">
        <f>IF($W40=$W41,-1,DatosHoy[[#This Row],[G ajus PM]]-X41)</f>
        <v>-1</v>
      </c>
      <c r="S40" s="15">
        <f>IF($W40=$W41,-1,DatosHoy[[#This Row],[G+V ajus PM]]-Y41)</f>
        <v>-1</v>
      </c>
      <c r="T40" s="15">
        <f>IF($W40=$W41,-1,DatosHoy[[#This Row],[CT ajus PM]]-Z41)</f>
        <v>-1</v>
      </c>
      <c r="U40" s="15">
        <f ca="1">IFERROR(IF(DatosHoy[[#This Row],[G ajus PM]]=DatosHoy[[#This Row],[G+V ajus PM]],-1,DatosHoy[[#This Row],[G ajus PM]]-DatosHoy[[#This Row],[G+V ajus PM]]),"")</f>
        <v>-226116.0042818361</v>
      </c>
      <c r="V40" s="15">
        <f ca="1">IFERROR(IF(DatosHoy[[#This Row],[G+V ajus PM]]=DatosHoy[[#This Row],[CT ajus PM]],-1,DatosHoy[[#This Row],[G+V ajus PM]]-DatosHoy[[#This Row],[CT ajus PM]]),"")</f>
        <v>-2479.8538982016034</v>
      </c>
      <c r="W40" s="15">
        <v>217</v>
      </c>
      <c r="X40" s="15">
        <f ca="1">IFERROR(IFERROR(VLOOKUP($W40,Regresiones!$T$6:$V$10,2,1)*$W40+VLOOKUP($W40,Regresiones!$T$6:$V$10,3,1),VLOOKUP(MIN(DatosHoy[Puntos]),Regresiones!$T$6:$V$10,2,1)*$W40+VLOOKUP(MIN(DatosHoy[Puntos]),Regresiones!$T$6:$V$10,3,1)),"NO")</f>
        <v>2945917.7106702444</v>
      </c>
      <c r="Y40" s="15">
        <f ca="1">IFERROR(IFERROR(VLOOKUP($W40,Regresiones!$W$6:$Y$10,2,1)*$W40+VLOOKUP($W40,Regresiones!$W$6:$Y$10,3,1),VLOOKUP(MIN(DatosHoy[Puntos]),Regresiones!$W$6:$Y$10,2,1)*$W40+VLOOKUP(MIN(DatosHoy[Puntos]),Regresiones!$W$6:$Y$10,3,1)),"NO")</f>
        <v>3172033.7149520805</v>
      </c>
      <c r="Z40" s="15">
        <f ca="1">IFERROR(IFERROR(VLOOKUP($W40,Regresiones!$Z$6:$AB$10,2,1)*$W40+VLOOKUP($W40,Regresiones!$Z$6:$AB$10,3,1),VLOOKUP(MIN(DatosHoy[Puntos]),Regresiones!$Z$6:$AB$10,2,1)*$W40+VLOOKUP(MIN(DatosHoy[Puntos]),Regresiones!$Z$6:$AB$10,3,1)),"NO")</f>
        <v>3174513.5688502821</v>
      </c>
      <c r="AA40" s="3">
        <f t="shared" ca="1" si="9"/>
        <v>0.79914622035110494</v>
      </c>
    </row>
    <row r="41" spans="2:29" x14ac:dyDescent="0.2">
      <c r="B41" s="1">
        <v>36</v>
      </c>
      <c r="C41" s="15">
        <v>2536900.52</v>
      </c>
      <c r="D41" s="15">
        <v>2536900.52</v>
      </c>
      <c r="E41" s="15">
        <v>2536900.52</v>
      </c>
      <c r="F41" s="1" t="s">
        <v>100</v>
      </c>
      <c r="G41" s="1">
        <v>224</v>
      </c>
      <c r="H41" s="1" t="str">
        <f t="shared" si="5"/>
        <v>$G$41</v>
      </c>
      <c r="I41" s="1" t="str">
        <f t="shared" si="6"/>
        <v>$C$41</v>
      </c>
      <c r="J41" s="1" t="str">
        <f t="shared" si="7"/>
        <v>$D$41</v>
      </c>
      <c r="K41" s="1" t="str">
        <f t="shared" si="8"/>
        <v>$E$41</v>
      </c>
      <c r="L41" s="15">
        <f ca="1">IFERROR(VLOOKUP($G41,Regresiones!$E$6:$I$10,4,1)*$G41+VLOOKUP($G41,Regresiones!$E$6:$I$10,5,1),"")</f>
        <v>3016044.1039525978</v>
      </c>
      <c r="M41" s="15">
        <f ca="1">IFERROR(VLOOKUP($G41,Regresiones!$J$6:$N$10,4,1)*$G41+VLOOKUP($G41,Regresiones!$J$6:$N$10,5,1),"")</f>
        <v>3020787.2307789698</v>
      </c>
      <c r="N41" s="15">
        <f ca="1">IFERROR(VLOOKUP($G41,Regresiones!$O$6:$S$10,4,1)*$G41+VLOOKUP($G41,Regresiones!$O$6:$S$10,5,1),"")</f>
        <v>3020787.2307789698</v>
      </c>
      <c r="O41" s="15">
        <f ca="1">IFERROR(VLOOKUP($G41,Regresiones!$T$6:$V$10,2,1)*$G41+VLOOKUP($G41,Regresiones!$T$6:$V$10,3,1),"")</f>
        <v>3020610.2381953052</v>
      </c>
      <c r="P41" s="15">
        <f ca="1">IFERROR(VLOOKUP($G41,Regresiones!$W$6:$Y$10,2,1)*$G41+VLOOKUP($G41,Regresiones!$W$6:$Y$10,3,1),"")</f>
        <v>3249997.5917070201</v>
      </c>
      <c r="Q41" s="15">
        <f ca="1">IFERROR(VLOOKUP($G41,Regresiones!$Z$6:$AB$10,2,1)*$G41+VLOOKUP($G41,Regresiones!$Z$6:$AB$10,3,1),"")</f>
        <v>3252384.6168496739</v>
      </c>
      <c r="R41" s="15">
        <f>IF($W41=$W42,-1,DatosHoy[[#This Row],[G ajus PM]]-X42)</f>
        <v>-1</v>
      </c>
      <c r="S41" s="15">
        <f>IF($W41=$W42,-1,DatosHoy[[#This Row],[G+V ajus PM]]-Y42)</f>
        <v>-1</v>
      </c>
      <c r="T41" s="15">
        <f>IF($W41=$W42,-1,DatosHoy[[#This Row],[CT ajus PM]]-Z42)</f>
        <v>-1</v>
      </c>
      <c r="U41" s="15">
        <f ca="1">IFERROR(IF(DatosHoy[[#This Row],[G ajus PM]]=DatosHoy[[#This Row],[G+V ajus PM]],-1,DatosHoy[[#This Row],[G ajus PM]]-DatosHoy[[#This Row],[G+V ajus PM]]),"")</f>
        <v>-226116.0042818361</v>
      </c>
      <c r="V41" s="15">
        <f ca="1">IFERROR(IF(DatosHoy[[#This Row],[G+V ajus PM]]=DatosHoy[[#This Row],[CT ajus PM]],-1,DatosHoy[[#This Row],[G+V ajus PM]]-DatosHoy[[#This Row],[CT ajus PM]]),"")</f>
        <v>-2479.8538982016034</v>
      </c>
      <c r="W41" s="15">
        <v>217</v>
      </c>
      <c r="X41" s="15">
        <f ca="1">IFERROR(IFERROR(VLOOKUP($W41,Regresiones!$T$6:$V$10,2,1)*$W41+VLOOKUP($W41,Regresiones!$T$6:$V$10,3,1),VLOOKUP(MIN(DatosHoy[Puntos]),Regresiones!$T$6:$V$10,2,1)*$W41+VLOOKUP(MIN(DatosHoy[Puntos]),Regresiones!$T$6:$V$10,3,1)),"NO")</f>
        <v>2945917.7106702444</v>
      </c>
      <c r="Y41" s="15">
        <f ca="1">IFERROR(IFERROR(VLOOKUP($W41,Regresiones!$W$6:$Y$10,2,1)*$W41+VLOOKUP($W41,Regresiones!$W$6:$Y$10,3,1),VLOOKUP(MIN(DatosHoy[Puntos]),Regresiones!$W$6:$Y$10,2,1)*$W41+VLOOKUP(MIN(DatosHoy[Puntos]),Regresiones!$W$6:$Y$10,3,1)),"NO")</f>
        <v>3172033.7149520805</v>
      </c>
      <c r="Z41" s="15">
        <f ca="1">IFERROR(IFERROR(VLOOKUP($W41,Regresiones!$Z$6:$AB$10,2,1)*$W41+VLOOKUP($W41,Regresiones!$Z$6:$AB$10,3,1),VLOOKUP(MIN(DatosHoy[Puntos]),Regresiones!$Z$6:$AB$10,2,1)*$W41+VLOOKUP(MIN(DatosHoy[Puntos]),Regresiones!$Z$6:$AB$10,3,1)),"NO")</f>
        <v>3174513.5688502821</v>
      </c>
      <c r="AA41" s="3">
        <f t="shared" ca="1" si="9"/>
        <v>0.79914622035110494</v>
      </c>
    </row>
    <row r="42" spans="2:29" x14ac:dyDescent="0.2">
      <c r="B42" s="1">
        <v>37</v>
      </c>
      <c r="C42" s="15">
        <v>2828714.68</v>
      </c>
      <c r="D42" s="15">
        <v>2828714.68</v>
      </c>
      <c r="E42" s="15">
        <v>2828714.68</v>
      </c>
      <c r="F42" s="1" t="s">
        <v>101</v>
      </c>
      <c r="G42" s="1">
        <v>224</v>
      </c>
      <c r="H42" s="1" t="str">
        <f t="shared" si="5"/>
        <v>$G$42</v>
      </c>
      <c r="I42" s="1" t="str">
        <f t="shared" si="6"/>
        <v>$C$42</v>
      </c>
      <c r="J42" s="1" t="str">
        <f t="shared" si="7"/>
        <v>$D$42</v>
      </c>
      <c r="K42" s="1" t="str">
        <f t="shared" si="8"/>
        <v>$E$42</v>
      </c>
      <c r="L42" s="15">
        <f ca="1">IFERROR(VLOOKUP($G42,Regresiones!$E$6:$I$10,4,1)*$G42+VLOOKUP($G42,Regresiones!$E$6:$I$10,5,1),"")</f>
        <v>3016044.1039525978</v>
      </c>
      <c r="M42" s="15">
        <f ca="1">IFERROR(VLOOKUP($G42,Regresiones!$J$6:$N$10,4,1)*$G42+VLOOKUP($G42,Regresiones!$J$6:$N$10,5,1),"")</f>
        <v>3020787.2307789698</v>
      </c>
      <c r="N42" s="15">
        <f ca="1">IFERROR(VLOOKUP($G42,Regresiones!$O$6:$S$10,4,1)*$G42+VLOOKUP($G42,Regresiones!$O$6:$S$10,5,1),"")</f>
        <v>3020787.2307789698</v>
      </c>
      <c r="O42" s="15">
        <f ca="1">IFERROR(VLOOKUP($G42,Regresiones!$T$6:$V$10,2,1)*$G42+VLOOKUP($G42,Regresiones!$T$6:$V$10,3,1),"")</f>
        <v>3020610.2381953052</v>
      </c>
      <c r="P42" s="15">
        <f ca="1">IFERROR(VLOOKUP($G42,Regresiones!$W$6:$Y$10,2,1)*$G42+VLOOKUP($G42,Regresiones!$W$6:$Y$10,3,1),"")</f>
        <v>3249997.5917070201</v>
      </c>
      <c r="Q42" s="15">
        <f ca="1">IFERROR(VLOOKUP($G42,Regresiones!$Z$6:$AB$10,2,1)*$G42+VLOOKUP($G42,Regresiones!$Z$6:$AB$10,3,1),"")</f>
        <v>3252384.6168496739</v>
      </c>
      <c r="R42" s="15">
        <f>IF($W42=$W43,-1,DatosHoy[[#This Row],[G ajus PM]]-X43)</f>
        <v>-1</v>
      </c>
      <c r="S42" s="15">
        <f>IF($W42=$W43,-1,DatosHoy[[#This Row],[G+V ajus PM]]-Y43)</f>
        <v>-1</v>
      </c>
      <c r="T42" s="15">
        <f>IF($W42=$W43,-1,DatosHoy[[#This Row],[CT ajus PM]]-Z43)</f>
        <v>-1</v>
      </c>
      <c r="U42" s="15">
        <f ca="1">IFERROR(IF(DatosHoy[[#This Row],[G ajus PM]]=DatosHoy[[#This Row],[G+V ajus PM]],-1,DatosHoy[[#This Row],[G ajus PM]]-DatosHoy[[#This Row],[G+V ajus PM]]),"")</f>
        <v>-226116.0042818361</v>
      </c>
      <c r="V42" s="15">
        <f ca="1">IFERROR(IF(DatosHoy[[#This Row],[G+V ajus PM]]=DatosHoy[[#This Row],[CT ajus PM]],-1,DatosHoy[[#This Row],[G+V ajus PM]]-DatosHoy[[#This Row],[CT ajus PM]]),"")</f>
        <v>-2479.8538982016034</v>
      </c>
      <c r="W42" s="15">
        <v>217</v>
      </c>
      <c r="X42" s="15">
        <f ca="1">IFERROR(IFERROR(VLOOKUP($W42,Regresiones!$T$6:$V$10,2,1)*$W42+VLOOKUP($W42,Regresiones!$T$6:$V$10,3,1),VLOOKUP(MIN(DatosHoy[Puntos]),Regresiones!$T$6:$V$10,2,1)*$W42+VLOOKUP(MIN(DatosHoy[Puntos]),Regresiones!$T$6:$V$10,3,1)),"NO")</f>
        <v>2945917.7106702444</v>
      </c>
      <c r="Y42" s="15">
        <f ca="1">IFERROR(IFERROR(VLOOKUP($W42,Regresiones!$W$6:$Y$10,2,1)*$W42+VLOOKUP($W42,Regresiones!$W$6:$Y$10,3,1),VLOOKUP(MIN(DatosHoy[Puntos]),Regresiones!$W$6:$Y$10,2,1)*$W42+VLOOKUP(MIN(DatosHoy[Puntos]),Regresiones!$W$6:$Y$10,3,1)),"NO")</f>
        <v>3172033.7149520805</v>
      </c>
      <c r="Z42" s="15">
        <f ca="1">IFERROR(IFERROR(VLOOKUP($W42,Regresiones!$Z$6:$AB$10,2,1)*$W42+VLOOKUP($W42,Regresiones!$Z$6:$AB$10,3,1),VLOOKUP(MIN(DatosHoy[Puntos]),Regresiones!$Z$6:$AB$10,2,1)*$W42+VLOOKUP(MIN(DatosHoy[Puntos]),Regresiones!$Z$6:$AB$10,3,1)),"NO")</f>
        <v>3174513.5688502821</v>
      </c>
      <c r="AA42" s="3">
        <f t="shared" ca="1" si="9"/>
        <v>0.89107027538221539</v>
      </c>
    </row>
    <row r="43" spans="2:29" x14ac:dyDescent="0.2">
      <c r="B43" s="1">
        <v>38</v>
      </c>
      <c r="C43" s="15">
        <v>2828714.68</v>
      </c>
      <c r="D43" s="15">
        <v>2828714.68</v>
      </c>
      <c r="E43" s="15">
        <v>2828714.68</v>
      </c>
      <c r="F43" s="1" t="s">
        <v>102</v>
      </c>
      <c r="G43" s="1">
        <v>227</v>
      </c>
      <c r="H43" s="1" t="str">
        <f t="shared" si="5"/>
        <v>$G$43</v>
      </c>
      <c r="I43" s="1" t="str">
        <f t="shared" si="6"/>
        <v>$C$43</v>
      </c>
      <c r="J43" s="1" t="str">
        <f t="shared" si="7"/>
        <v>$D$43</v>
      </c>
      <c r="K43" s="1" t="str">
        <f t="shared" si="8"/>
        <v>$E$43</v>
      </c>
      <c r="L43" s="15">
        <f ca="1">IFERROR(VLOOKUP($G43,Regresiones!$E$6:$I$10,4,1)*$G43+VLOOKUP($G43,Regresiones!$E$6:$I$10,5,1),"")</f>
        <v>3054261.1044252897</v>
      </c>
      <c r="M43" s="15">
        <f ca="1">IFERROR(VLOOKUP($G43,Regresiones!$J$6:$N$10,4,1)*$G43+VLOOKUP($G43,Regresiones!$J$6:$N$10,5,1),"")</f>
        <v>3059657.2876634528</v>
      </c>
      <c r="N43" s="15">
        <f ca="1">IFERROR(VLOOKUP($G43,Regresiones!$O$6:$S$10,4,1)*$G43+VLOOKUP($G43,Regresiones!$O$6:$S$10,5,1),"")</f>
        <v>3059657.2876634528</v>
      </c>
      <c r="O43" s="15">
        <f ca="1">IFERROR(VLOOKUP($G43,Regresiones!$T$6:$V$10,2,1)*$G43+VLOOKUP($G43,Regresiones!$T$6:$V$10,3,1),"")</f>
        <v>3052621.3214203315</v>
      </c>
      <c r="P43" s="15">
        <f ca="1">IFERROR(VLOOKUP($G43,Regresiones!$W$6:$Y$10,2,1)*$G43+VLOOKUP($G43,Regresiones!$W$6:$Y$10,3,1),"")</f>
        <v>3283410.6817448516</v>
      </c>
      <c r="Q43" s="15">
        <f ca="1">IFERROR(VLOOKUP($G43,Regresiones!$Z$6:$AB$10,2,1)*$G43+VLOOKUP($G43,Regresiones!$Z$6:$AB$10,3,1),"")</f>
        <v>3285757.9231351279</v>
      </c>
      <c r="R43" s="15">
        <f ca="1">IF($W43=$W44,-1,DatosHoy[[#This Row],[G ajus PM]]-X44)</f>
        <v>-341451.55440027919</v>
      </c>
      <c r="S43" s="15">
        <f ca="1">IF($W43=$W44,-1,DatosHoy[[#This Row],[G+V ajus PM]]-Y44)</f>
        <v>-356406.29373686714</v>
      </c>
      <c r="T43" s="15">
        <f ca="1">IF($W43=$W44,-1,DatosHoy[[#This Row],[CT ajus PM]]-Z44)</f>
        <v>-355981.93371150643</v>
      </c>
      <c r="U43" s="15">
        <f ca="1">IFERROR(IF(DatosHoy[[#This Row],[G ajus PM]]=DatosHoy[[#This Row],[G+V ajus PM]],-1,DatosHoy[[#This Row],[G ajus PM]]-DatosHoy[[#This Row],[G+V ajus PM]]),"")</f>
        <v>-226116.0042818361</v>
      </c>
      <c r="V43" s="15">
        <f ca="1">IFERROR(IF(DatosHoy[[#This Row],[G+V ajus PM]]=DatosHoy[[#This Row],[CT ajus PM]],-1,DatosHoy[[#This Row],[G+V ajus PM]]-DatosHoy[[#This Row],[CT ajus PM]]),"")</f>
        <v>-2479.8538982016034</v>
      </c>
      <c r="W43" s="15">
        <v>217</v>
      </c>
      <c r="X43" s="15">
        <f ca="1">IFERROR(IFERROR(VLOOKUP($W43,Regresiones!$T$6:$V$10,2,1)*$W43+VLOOKUP($W43,Regresiones!$T$6:$V$10,3,1),VLOOKUP(MIN(DatosHoy[Puntos]),Regresiones!$T$6:$V$10,2,1)*$W43+VLOOKUP(MIN(DatosHoy[Puntos]),Regresiones!$T$6:$V$10,3,1)),"NO")</f>
        <v>2945917.7106702444</v>
      </c>
      <c r="Y43" s="15">
        <f ca="1">IFERROR(IFERROR(VLOOKUP($W43,Regresiones!$W$6:$Y$10,2,1)*$W43+VLOOKUP($W43,Regresiones!$W$6:$Y$10,3,1),VLOOKUP(MIN(DatosHoy[Puntos]),Regresiones!$W$6:$Y$10,2,1)*$W43+VLOOKUP(MIN(DatosHoy[Puntos]),Regresiones!$W$6:$Y$10,3,1)),"NO")</f>
        <v>3172033.7149520805</v>
      </c>
      <c r="Z43" s="15">
        <f ca="1">IFERROR(IFERROR(VLOOKUP($W43,Regresiones!$Z$6:$AB$10,2,1)*$W43+VLOOKUP($W43,Regresiones!$Z$6:$AB$10,3,1),VLOOKUP(MIN(DatosHoy[Puntos]),Regresiones!$Z$6:$AB$10,2,1)*$W43+VLOOKUP(MIN(DatosHoy[Puntos]),Regresiones!$Z$6:$AB$10,3,1)),"NO")</f>
        <v>3174513.5688502821</v>
      </c>
      <c r="AA43" s="3">
        <f t="shared" ca="1" si="9"/>
        <v>0.89107027538221539</v>
      </c>
    </row>
    <row r="44" spans="2:29" x14ac:dyDescent="0.2">
      <c r="B44" s="1">
        <v>39</v>
      </c>
      <c r="C44" s="15">
        <v>3765344.0000000005</v>
      </c>
      <c r="D44" s="15">
        <v>3765344.0000000005</v>
      </c>
      <c r="E44" s="15">
        <v>3765344.0000000005</v>
      </c>
      <c r="F44" s="1" t="s">
        <v>103</v>
      </c>
      <c r="G44" s="1">
        <v>231</v>
      </c>
      <c r="H44" s="1" t="str">
        <f t="shared" ref="H44:H48" si="10">"$"&amp;"G"&amp;"$"&amp;ROW()</f>
        <v>$G$44</v>
      </c>
      <c r="I44" s="1" t="str">
        <f t="shared" ref="I44:I48" si="11">"$"&amp;"C"&amp;"$"&amp;ROW()</f>
        <v>$C$44</v>
      </c>
      <c r="J44" s="1" t="str">
        <f t="shared" ref="J44:J48" si="12">"$"&amp;"D"&amp;"$"&amp;ROW()</f>
        <v>$D$44</v>
      </c>
      <c r="K44" s="1" t="str">
        <f t="shared" ref="K44:K48" si="13">"$"&amp;"E"&amp;"$"&amp;ROW()</f>
        <v>$E$44</v>
      </c>
      <c r="L44" s="15">
        <f ca="1">IFERROR(VLOOKUP($G44,Regresiones!$E$6:$I$10,4,1)*$G44+VLOOKUP($G44,Regresiones!$E$6:$I$10,5,1),"")</f>
        <v>3105217.1050555459</v>
      </c>
      <c r="M44" s="15">
        <f ca="1">IFERROR(VLOOKUP($G44,Regresiones!$J$6:$N$10,4,1)*$G44+VLOOKUP($G44,Regresiones!$J$6:$N$10,5,1),"")</f>
        <v>3111484.0301760971</v>
      </c>
      <c r="N44" s="15">
        <f ca="1">IFERROR(VLOOKUP($G44,Regresiones!$O$6:$S$10,4,1)*$G44+VLOOKUP($G44,Regresiones!$O$6:$S$10,5,1),"")</f>
        <v>3111484.0301760971</v>
      </c>
      <c r="O44" s="15">
        <f ca="1">IFERROR(VLOOKUP($G44,Regresiones!$T$6:$V$10,2,1)*$G44+VLOOKUP($G44,Regresiones!$T$6:$V$10,3,1),"")</f>
        <v>3095302.7657203665</v>
      </c>
      <c r="P44" s="15">
        <f ca="1">IFERROR(VLOOKUP($G44,Regresiones!$W$6:$Y$10,2,1)*$G44+VLOOKUP($G44,Regresiones!$W$6:$Y$10,3,1),"")</f>
        <v>3327961.4684619601</v>
      </c>
      <c r="Q44" s="15">
        <f ca="1">IFERROR(VLOOKUP($G44,Regresiones!$Z$6:$AB$10,2,1)*$G44+VLOOKUP($G44,Regresiones!$Z$6:$AB$10,3,1),"")</f>
        <v>3330255.6648490662</v>
      </c>
      <c r="R44" s="15">
        <f>IF($W44=$W45,-1,DatosHoy[[#This Row],[G ajus PM]]-X45)</f>
        <v>-1</v>
      </c>
      <c r="S44" s="15">
        <f>IF($W44=$W45,-1,DatosHoy[[#This Row],[G+V ajus PM]]-Y45)</f>
        <v>-1</v>
      </c>
      <c r="T44" s="15">
        <f>IF($W44=$W45,-1,DatosHoy[[#This Row],[CT ajus PM]]-Z45)</f>
        <v>-1</v>
      </c>
      <c r="U44" s="15">
        <f ca="1">IFERROR(IF(DatosHoy[[#This Row],[G ajus PM]]=DatosHoy[[#This Row],[G+V ajus PM]],-1,DatosHoy[[#This Row],[G ajus PM]]-DatosHoy[[#This Row],[G+V ajus PM]]),"")</f>
        <v>-241070.74361842405</v>
      </c>
      <c r="V44" s="15">
        <f ca="1">IFERROR(IF(DatosHoy[[#This Row],[G+V ajus PM]]=DatosHoy[[#This Row],[CT ajus PM]],-1,DatosHoy[[#This Row],[G+V ajus PM]]-DatosHoy[[#This Row],[CT ajus PM]]),"")</f>
        <v>-2055.4938728408888</v>
      </c>
      <c r="W44" s="15">
        <v>249</v>
      </c>
      <c r="X44" s="15">
        <f ca="1">IFERROR(IFERROR(VLOOKUP($W44,Regresiones!$T$6:$V$10,2,1)*$W44+VLOOKUP($W44,Regresiones!$T$6:$V$10,3,1),VLOOKUP(MIN(DatosHoy[Puntos]),Regresiones!$T$6:$V$10,2,1)*$W44+VLOOKUP(MIN(DatosHoy[Puntos]),Regresiones!$T$6:$V$10,3,1)),"NO")</f>
        <v>3287369.2650705236</v>
      </c>
      <c r="Y44" s="15">
        <f ca="1">IFERROR(IFERROR(VLOOKUP($W44,Regresiones!$W$6:$Y$10,2,1)*$W44+VLOOKUP($W44,Regresiones!$W$6:$Y$10,3,1),VLOOKUP(MIN(DatosHoy[Puntos]),Regresiones!$W$6:$Y$10,2,1)*$W44+VLOOKUP(MIN(DatosHoy[Puntos]),Regresiones!$W$6:$Y$10,3,1)),"NO")</f>
        <v>3528440.0086889477</v>
      </c>
      <c r="Z44" s="15">
        <f ca="1">IFERROR(IFERROR(VLOOKUP($W44,Regresiones!$Z$6:$AB$10,2,1)*$W44+VLOOKUP($W44,Regresiones!$Z$6:$AB$10,3,1),VLOOKUP(MIN(DatosHoy[Puntos]),Regresiones!$Z$6:$AB$10,2,1)*$W44+VLOOKUP(MIN(DatosHoy[Puntos]),Regresiones!$Z$6:$AB$10,3,1)),"NO")</f>
        <v>3530495.5025617885</v>
      </c>
      <c r="AA44" s="3">
        <f t="shared" ca="1" si="9"/>
        <v>1.0665199820443907</v>
      </c>
    </row>
    <row r="45" spans="2:29" x14ac:dyDescent="0.2">
      <c r="B45" s="1">
        <v>40</v>
      </c>
      <c r="C45" s="15">
        <v>3765344.0000000005</v>
      </c>
      <c r="D45" s="15">
        <v>3765344.0000000005</v>
      </c>
      <c r="E45" s="15">
        <v>3765344.0000000005</v>
      </c>
      <c r="F45" s="1" t="s">
        <v>103</v>
      </c>
      <c r="G45" s="1">
        <v>231</v>
      </c>
      <c r="H45" s="1" t="str">
        <f t="shared" si="10"/>
        <v>$G$45</v>
      </c>
      <c r="I45" s="1" t="str">
        <f t="shared" si="11"/>
        <v>$C$45</v>
      </c>
      <c r="J45" s="1" t="str">
        <f t="shared" si="12"/>
        <v>$D$45</v>
      </c>
      <c r="K45" s="1" t="str">
        <f t="shared" si="13"/>
        <v>$E$45</v>
      </c>
      <c r="L45" s="15">
        <f ca="1">IFERROR(VLOOKUP($G45,Regresiones!$E$6:$I$10,4,1)*$G45+VLOOKUP($G45,Regresiones!$E$6:$I$10,5,1),"")</f>
        <v>3105217.1050555459</v>
      </c>
      <c r="M45" s="15">
        <f ca="1">IFERROR(VLOOKUP($G45,Regresiones!$J$6:$N$10,4,1)*$G45+VLOOKUP($G45,Regresiones!$J$6:$N$10,5,1),"")</f>
        <v>3111484.0301760971</v>
      </c>
      <c r="N45" s="15">
        <f ca="1">IFERROR(VLOOKUP($G45,Regresiones!$O$6:$S$10,4,1)*$G45+VLOOKUP($G45,Regresiones!$O$6:$S$10,5,1),"")</f>
        <v>3111484.0301760971</v>
      </c>
      <c r="O45" s="15">
        <f ca="1">IFERROR(VLOOKUP($G45,Regresiones!$T$6:$V$10,2,1)*$G45+VLOOKUP($G45,Regresiones!$T$6:$V$10,3,1),"")</f>
        <v>3095302.7657203665</v>
      </c>
      <c r="P45" s="15">
        <f ca="1">IFERROR(VLOOKUP($G45,Regresiones!$W$6:$Y$10,2,1)*$G45+VLOOKUP($G45,Regresiones!$W$6:$Y$10,3,1),"")</f>
        <v>3327961.4684619601</v>
      </c>
      <c r="Q45" s="15">
        <f ca="1">IFERROR(VLOOKUP($G45,Regresiones!$Z$6:$AB$10,2,1)*$G45+VLOOKUP($G45,Regresiones!$Z$6:$AB$10,3,1),"")</f>
        <v>3330255.6648490662</v>
      </c>
      <c r="R45" s="15">
        <f>IF($W45=$W46,-1,DatosHoy[[#This Row],[G ajus PM]]-X46)</f>
        <v>-1</v>
      </c>
      <c r="S45" s="15">
        <f>IF($W45=$W46,-1,DatosHoy[[#This Row],[G+V ajus PM]]-Y46)</f>
        <v>-1</v>
      </c>
      <c r="T45" s="15">
        <f>IF($W45=$W46,-1,DatosHoy[[#This Row],[CT ajus PM]]-Z46)</f>
        <v>-1</v>
      </c>
      <c r="U45" s="15">
        <f ca="1">IFERROR(IF(DatosHoy[[#This Row],[G ajus PM]]=DatosHoy[[#This Row],[G+V ajus PM]],-1,DatosHoy[[#This Row],[G ajus PM]]-DatosHoy[[#This Row],[G+V ajus PM]]),"")</f>
        <v>-241070.74361842405</v>
      </c>
      <c r="V45" s="15">
        <f ca="1">IFERROR(IF(DatosHoy[[#This Row],[G+V ajus PM]]=DatosHoy[[#This Row],[CT ajus PM]],-1,DatosHoy[[#This Row],[G+V ajus PM]]-DatosHoy[[#This Row],[CT ajus PM]]),"")</f>
        <v>-2055.4938728408888</v>
      </c>
      <c r="W45" s="15">
        <v>249</v>
      </c>
      <c r="X45" s="15">
        <f ca="1">IFERROR(IFERROR(VLOOKUP($W45,Regresiones!$T$6:$V$10,2,1)*$W45+VLOOKUP($W45,Regresiones!$T$6:$V$10,3,1),VLOOKUP(MIN(DatosHoy[Puntos]),Regresiones!$T$6:$V$10,2,1)*$W45+VLOOKUP(MIN(DatosHoy[Puntos]),Regresiones!$T$6:$V$10,3,1)),"NO")</f>
        <v>3287369.2650705236</v>
      </c>
      <c r="Y45" s="15">
        <f ca="1">IFERROR(IFERROR(VLOOKUP($W45,Regresiones!$W$6:$Y$10,2,1)*$W45+VLOOKUP($W45,Regresiones!$W$6:$Y$10,3,1),VLOOKUP(MIN(DatosHoy[Puntos]),Regresiones!$W$6:$Y$10,2,1)*$W45+VLOOKUP(MIN(DatosHoy[Puntos]),Regresiones!$W$6:$Y$10,3,1)),"NO")</f>
        <v>3528440.0086889477</v>
      </c>
      <c r="Z45" s="15">
        <f ca="1">IFERROR(IFERROR(VLOOKUP($W45,Regresiones!$Z$6:$AB$10,2,1)*$W45+VLOOKUP($W45,Regresiones!$Z$6:$AB$10,3,1),VLOOKUP(MIN(DatosHoy[Puntos]),Regresiones!$Z$6:$AB$10,2,1)*$W45+VLOOKUP(MIN(DatosHoy[Puntos]),Regresiones!$Z$6:$AB$10,3,1)),"NO")</f>
        <v>3530495.5025617885</v>
      </c>
      <c r="AA45" s="3">
        <f t="shared" ca="1" si="9"/>
        <v>1.0665199820443907</v>
      </c>
    </row>
    <row r="46" spans="2:29" x14ac:dyDescent="0.2">
      <c r="B46" s="1">
        <v>41</v>
      </c>
      <c r="C46" s="15">
        <v>3765344.0000000005</v>
      </c>
      <c r="D46" s="15">
        <v>3765344.0000000005</v>
      </c>
      <c r="E46" s="15">
        <v>3765344.0000000005</v>
      </c>
      <c r="F46" s="1" t="s">
        <v>103</v>
      </c>
      <c r="G46" s="1">
        <v>231</v>
      </c>
      <c r="H46" s="1" t="str">
        <f t="shared" si="10"/>
        <v>$G$46</v>
      </c>
      <c r="I46" s="1" t="str">
        <f t="shared" si="11"/>
        <v>$C$46</v>
      </c>
      <c r="J46" s="1" t="str">
        <f t="shared" si="12"/>
        <v>$D$46</v>
      </c>
      <c r="K46" s="1" t="str">
        <f t="shared" si="13"/>
        <v>$E$46</v>
      </c>
      <c r="L46" s="15">
        <f ca="1">IFERROR(VLOOKUP($G46,Regresiones!$E$6:$I$10,4,1)*$G46+VLOOKUP($G46,Regresiones!$E$6:$I$10,5,1),"")</f>
        <v>3105217.1050555459</v>
      </c>
      <c r="M46" s="15">
        <f ca="1">IFERROR(VLOOKUP($G46,Regresiones!$J$6:$N$10,4,1)*$G46+VLOOKUP($G46,Regresiones!$J$6:$N$10,5,1),"")</f>
        <v>3111484.0301760971</v>
      </c>
      <c r="N46" s="15">
        <f ca="1">IFERROR(VLOOKUP($G46,Regresiones!$O$6:$S$10,4,1)*$G46+VLOOKUP($G46,Regresiones!$O$6:$S$10,5,1),"")</f>
        <v>3111484.0301760971</v>
      </c>
      <c r="O46" s="15">
        <f ca="1">IFERROR(VLOOKUP($G46,Regresiones!$T$6:$V$10,2,1)*$G46+VLOOKUP($G46,Regresiones!$T$6:$V$10,3,1),"")</f>
        <v>3095302.7657203665</v>
      </c>
      <c r="P46" s="15">
        <f ca="1">IFERROR(VLOOKUP($G46,Regresiones!$W$6:$Y$10,2,1)*$G46+VLOOKUP($G46,Regresiones!$W$6:$Y$10,3,1),"")</f>
        <v>3327961.4684619601</v>
      </c>
      <c r="Q46" s="15">
        <f ca="1">IFERROR(VLOOKUP($G46,Regresiones!$Z$6:$AB$10,2,1)*$G46+VLOOKUP($G46,Regresiones!$Z$6:$AB$10,3,1),"")</f>
        <v>3330255.6648490662</v>
      </c>
      <c r="R46" s="15">
        <f>IF($W46=$W47,-1,DatosHoy[[#This Row],[G ajus PM]]-X47)</f>
        <v>-1</v>
      </c>
      <c r="S46" s="15">
        <f>IF($W46=$W47,-1,DatosHoy[[#This Row],[G+V ajus PM]]-Y47)</f>
        <v>-1</v>
      </c>
      <c r="T46" s="15">
        <f>IF($W46=$W47,-1,DatosHoy[[#This Row],[CT ajus PM]]-Z47)</f>
        <v>-1</v>
      </c>
      <c r="U46" s="15">
        <f ca="1">IFERROR(IF(DatosHoy[[#This Row],[G ajus PM]]=DatosHoy[[#This Row],[G+V ajus PM]],-1,DatosHoy[[#This Row],[G ajus PM]]-DatosHoy[[#This Row],[G+V ajus PM]]),"")</f>
        <v>-241070.74361842405</v>
      </c>
      <c r="V46" s="15">
        <f ca="1">IFERROR(IF(DatosHoy[[#This Row],[G+V ajus PM]]=DatosHoy[[#This Row],[CT ajus PM]],-1,DatosHoy[[#This Row],[G+V ajus PM]]-DatosHoy[[#This Row],[CT ajus PM]]),"")</f>
        <v>-2055.4938728408888</v>
      </c>
      <c r="W46" s="15">
        <v>249</v>
      </c>
      <c r="X46" s="15">
        <f ca="1">IFERROR(IFERROR(VLOOKUP($W46,Regresiones!$T$6:$V$10,2,1)*$W46+VLOOKUP($W46,Regresiones!$T$6:$V$10,3,1),VLOOKUP(MIN(DatosHoy[Puntos]),Regresiones!$T$6:$V$10,2,1)*$W46+VLOOKUP(MIN(DatosHoy[Puntos]),Regresiones!$T$6:$V$10,3,1)),"NO")</f>
        <v>3287369.2650705236</v>
      </c>
      <c r="Y46" s="15">
        <f ca="1">IFERROR(IFERROR(VLOOKUP($W46,Regresiones!$W$6:$Y$10,2,1)*$W46+VLOOKUP($W46,Regresiones!$W$6:$Y$10,3,1),VLOOKUP(MIN(DatosHoy[Puntos]),Regresiones!$W$6:$Y$10,2,1)*$W46+VLOOKUP(MIN(DatosHoy[Puntos]),Regresiones!$W$6:$Y$10,3,1)),"NO")</f>
        <v>3528440.0086889477</v>
      </c>
      <c r="Z46" s="15">
        <f ca="1">IFERROR(IFERROR(VLOOKUP($W46,Regresiones!$Z$6:$AB$10,2,1)*$W46+VLOOKUP($W46,Regresiones!$Z$6:$AB$10,3,1),VLOOKUP(MIN(DatosHoy[Puntos]),Regresiones!$Z$6:$AB$10,2,1)*$W46+VLOOKUP(MIN(DatosHoy[Puntos]),Regresiones!$Z$6:$AB$10,3,1)),"NO")</f>
        <v>3530495.5025617885</v>
      </c>
      <c r="AA46" s="3">
        <f t="shared" ca="1" si="9"/>
        <v>1.0665199820443907</v>
      </c>
    </row>
    <row r="47" spans="2:29" x14ac:dyDescent="0.2">
      <c r="B47" s="1">
        <v>42</v>
      </c>
      <c r="C47" s="15">
        <v>3765344.0000000005</v>
      </c>
      <c r="D47" s="15">
        <v>3765344.0000000005</v>
      </c>
      <c r="E47" s="15">
        <v>3765344.0000000005</v>
      </c>
      <c r="F47" s="1" t="s">
        <v>103</v>
      </c>
      <c r="G47" s="1">
        <v>231</v>
      </c>
      <c r="H47" s="1" t="str">
        <f t="shared" si="10"/>
        <v>$G$47</v>
      </c>
      <c r="I47" s="1" t="str">
        <f t="shared" si="11"/>
        <v>$C$47</v>
      </c>
      <c r="J47" s="1" t="str">
        <f t="shared" si="12"/>
        <v>$D$47</v>
      </c>
      <c r="K47" s="1" t="str">
        <f t="shared" si="13"/>
        <v>$E$47</v>
      </c>
      <c r="L47" s="15">
        <f ca="1">IFERROR(VLOOKUP($G47,Regresiones!$E$6:$I$10,4,1)*$G47+VLOOKUP($G47,Regresiones!$E$6:$I$10,5,1),"")</f>
        <v>3105217.1050555459</v>
      </c>
      <c r="M47" s="15">
        <f ca="1">IFERROR(VLOOKUP($G47,Regresiones!$J$6:$N$10,4,1)*$G47+VLOOKUP($G47,Regresiones!$J$6:$N$10,5,1),"")</f>
        <v>3111484.0301760971</v>
      </c>
      <c r="N47" s="15">
        <f ca="1">IFERROR(VLOOKUP($G47,Regresiones!$O$6:$S$10,4,1)*$G47+VLOOKUP($G47,Regresiones!$O$6:$S$10,5,1),"")</f>
        <v>3111484.0301760971</v>
      </c>
      <c r="O47" s="15">
        <f ca="1">IFERROR(VLOOKUP($G47,Regresiones!$T$6:$V$10,2,1)*$G47+VLOOKUP($G47,Regresiones!$T$6:$V$10,3,1),"")</f>
        <v>3095302.7657203665</v>
      </c>
      <c r="P47" s="15">
        <f ca="1">IFERROR(VLOOKUP($G47,Regresiones!$W$6:$Y$10,2,1)*$G47+VLOOKUP($G47,Regresiones!$W$6:$Y$10,3,1),"")</f>
        <v>3327961.4684619601</v>
      </c>
      <c r="Q47" s="15">
        <f ca="1">IFERROR(VLOOKUP($G47,Regresiones!$Z$6:$AB$10,2,1)*$G47+VLOOKUP($G47,Regresiones!$Z$6:$AB$10,3,1),"")</f>
        <v>3330255.6648490662</v>
      </c>
      <c r="R47" s="15">
        <f>IF($W47=$W48,-1,DatosHoy[[#This Row],[G ajus PM]]-X48)</f>
        <v>-1</v>
      </c>
      <c r="S47" s="15">
        <f>IF($W47=$W48,-1,DatosHoy[[#This Row],[G+V ajus PM]]-Y48)</f>
        <v>-1</v>
      </c>
      <c r="T47" s="15">
        <f>IF($W47=$W48,-1,DatosHoy[[#This Row],[CT ajus PM]]-Z48)</f>
        <v>-1</v>
      </c>
      <c r="U47" s="15">
        <f ca="1">IFERROR(IF(DatosHoy[[#This Row],[G ajus PM]]=DatosHoy[[#This Row],[G+V ajus PM]],-1,DatosHoy[[#This Row],[G ajus PM]]-DatosHoy[[#This Row],[G+V ajus PM]]),"")</f>
        <v>-241070.74361842405</v>
      </c>
      <c r="V47" s="15">
        <f ca="1">IFERROR(IF(DatosHoy[[#This Row],[G+V ajus PM]]=DatosHoy[[#This Row],[CT ajus PM]],-1,DatosHoy[[#This Row],[G+V ajus PM]]-DatosHoy[[#This Row],[CT ajus PM]]),"")</f>
        <v>-2055.4938728408888</v>
      </c>
      <c r="W47" s="15">
        <v>249</v>
      </c>
      <c r="X47" s="15">
        <f ca="1">IFERROR(IFERROR(VLOOKUP($W47,Regresiones!$T$6:$V$10,2,1)*$W47+VLOOKUP($W47,Regresiones!$T$6:$V$10,3,1),VLOOKUP(MIN(DatosHoy[Puntos]),Regresiones!$T$6:$V$10,2,1)*$W47+VLOOKUP(MIN(DatosHoy[Puntos]),Regresiones!$T$6:$V$10,3,1)),"NO")</f>
        <v>3287369.2650705236</v>
      </c>
      <c r="Y47" s="15">
        <f ca="1">IFERROR(IFERROR(VLOOKUP($W47,Regresiones!$W$6:$Y$10,2,1)*$W47+VLOOKUP($W47,Regresiones!$W$6:$Y$10,3,1),VLOOKUP(MIN(DatosHoy[Puntos]),Regresiones!$W$6:$Y$10,2,1)*$W47+VLOOKUP(MIN(DatosHoy[Puntos]),Regresiones!$W$6:$Y$10,3,1)),"NO")</f>
        <v>3528440.0086889477</v>
      </c>
      <c r="Z47" s="15">
        <f ca="1">IFERROR(IFERROR(VLOOKUP($W47,Regresiones!$Z$6:$AB$10,2,1)*$W47+VLOOKUP($W47,Regresiones!$Z$6:$AB$10,3,1),VLOOKUP(MIN(DatosHoy[Puntos]),Regresiones!$Z$6:$AB$10,2,1)*$W47+VLOOKUP(MIN(DatosHoy[Puntos]),Regresiones!$Z$6:$AB$10,3,1)),"NO")</f>
        <v>3530495.5025617885</v>
      </c>
      <c r="AA47" s="3">
        <f t="shared" ca="1" si="9"/>
        <v>1.0665199820443907</v>
      </c>
    </row>
    <row r="48" spans="2:29" x14ac:dyDescent="0.2">
      <c r="B48" s="1">
        <v>43</v>
      </c>
      <c r="C48" s="15">
        <v>3765344.0000000005</v>
      </c>
      <c r="D48" s="15">
        <v>3765344.0000000005</v>
      </c>
      <c r="E48" s="15">
        <v>3765344.0000000005</v>
      </c>
      <c r="F48" s="1" t="s">
        <v>103</v>
      </c>
      <c r="G48" s="1">
        <v>231</v>
      </c>
      <c r="H48" s="1" t="str">
        <f t="shared" si="10"/>
        <v>$G$48</v>
      </c>
      <c r="I48" s="1" t="str">
        <f t="shared" si="11"/>
        <v>$C$48</v>
      </c>
      <c r="J48" s="1" t="str">
        <f t="shared" si="12"/>
        <v>$D$48</v>
      </c>
      <c r="K48" s="1" t="str">
        <f t="shared" si="13"/>
        <v>$E$48</v>
      </c>
      <c r="L48" s="15">
        <f ca="1">IFERROR(VLOOKUP($G48,Regresiones!$E$6:$I$10,4,1)*$G48+VLOOKUP($G48,Regresiones!$E$6:$I$10,5,1),"")</f>
        <v>3105217.1050555459</v>
      </c>
      <c r="M48" s="15">
        <f ca="1">IFERROR(VLOOKUP($G48,Regresiones!$J$6:$N$10,4,1)*$G48+VLOOKUP($G48,Regresiones!$J$6:$N$10,5,1),"")</f>
        <v>3111484.0301760971</v>
      </c>
      <c r="N48" s="15">
        <f ca="1">IFERROR(VLOOKUP($G48,Regresiones!$O$6:$S$10,4,1)*$G48+VLOOKUP($G48,Regresiones!$O$6:$S$10,5,1),"")</f>
        <v>3111484.0301760971</v>
      </c>
      <c r="O48" s="15">
        <f ca="1">IFERROR(VLOOKUP($G48,Regresiones!$T$6:$V$10,2,1)*$G48+VLOOKUP($G48,Regresiones!$T$6:$V$10,3,1),"")</f>
        <v>3095302.7657203665</v>
      </c>
      <c r="P48" s="15">
        <f ca="1">IFERROR(VLOOKUP($G48,Regresiones!$W$6:$Y$10,2,1)*$G48+VLOOKUP($G48,Regresiones!$W$6:$Y$10,3,1),"")</f>
        <v>3327961.4684619601</v>
      </c>
      <c r="Q48" s="15">
        <f ca="1">IFERROR(VLOOKUP($G48,Regresiones!$Z$6:$AB$10,2,1)*$G48+VLOOKUP($G48,Regresiones!$Z$6:$AB$10,3,1),"")</f>
        <v>3330255.6648490662</v>
      </c>
      <c r="R48" s="15">
        <f>IF($W48=$W49,-1,DatosHoy[[#This Row],[G ajus PM]]-X49)</f>
        <v>-1</v>
      </c>
      <c r="S48" s="15">
        <f>IF($W48=$W49,-1,DatosHoy[[#This Row],[G+V ajus PM]]-Y49)</f>
        <v>-1</v>
      </c>
      <c r="T48" s="15">
        <f>IF($W48=$W49,-1,DatosHoy[[#This Row],[CT ajus PM]]-Z49)</f>
        <v>-1</v>
      </c>
      <c r="U48" s="15">
        <f ca="1">IFERROR(IF(DatosHoy[[#This Row],[G ajus PM]]=DatosHoy[[#This Row],[G+V ajus PM]],-1,DatosHoy[[#This Row],[G ajus PM]]-DatosHoy[[#This Row],[G+V ajus PM]]),"")</f>
        <v>-241070.74361842405</v>
      </c>
      <c r="V48" s="15">
        <f ca="1">IFERROR(IF(DatosHoy[[#This Row],[G+V ajus PM]]=DatosHoy[[#This Row],[CT ajus PM]],-1,DatosHoy[[#This Row],[G+V ajus PM]]-DatosHoy[[#This Row],[CT ajus PM]]),"")</f>
        <v>-2055.4938728408888</v>
      </c>
      <c r="W48" s="15">
        <v>249</v>
      </c>
      <c r="X48" s="15">
        <f ca="1">IFERROR(IFERROR(VLOOKUP($W48,Regresiones!$T$6:$V$10,2,1)*$W48+VLOOKUP($W48,Regresiones!$T$6:$V$10,3,1),VLOOKUP(MIN(DatosHoy[Puntos]),Regresiones!$T$6:$V$10,2,1)*$W48+VLOOKUP(MIN(DatosHoy[Puntos]),Regresiones!$T$6:$V$10,3,1)),"NO")</f>
        <v>3287369.2650705236</v>
      </c>
      <c r="Y48" s="15">
        <f ca="1">IFERROR(IFERROR(VLOOKUP($W48,Regresiones!$W$6:$Y$10,2,1)*$W48+VLOOKUP($W48,Regresiones!$W$6:$Y$10,3,1),VLOOKUP(MIN(DatosHoy[Puntos]),Regresiones!$W$6:$Y$10,2,1)*$W48+VLOOKUP(MIN(DatosHoy[Puntos]),Regresiones!$W$6:$Y$10,3,1)),"NO")</f>
        <v>3528440.0086889477</v>
      </c>
      <c r="Z48" s="15">
        <f ca="1">IFERROR(IFERROR(VLOOKUP($W48,Regresiones!$Z$6:$AB$10,2,1)*$W48+VLOOKUP($W48,Regresiones!$Z$6:$AB$10,3,1),VLOOKUP(MIN(DatosHoy[Puntos]),Regresiones!$Z$6:$AB$10,2,1)*$W48+VLOOKUP(MIN(DatosHoy[Puntos]),Regresiones!$Z$6:$AB$10,3,1)),"NO")</f>
        <v>3530495.5025617885</v>
      </c>
      <c r="AA48" s="3">
        <f t="shared" ca="1" si="9"/>
        <v>1.0665199820443907</v>
      </c>
    </row>
    <row r="49" spans="2:27" x14ac:dyDescent="0.2">
      <c r="B49" s="1">
        <v>44</v>
      </c>
      <c r="C49" s="15">
        <v>3765344.0000000005</v>
      </c>
      <c r="D49" s="15">
        <v>3765344.0000000005</v>
      </c>
      <c r="E49" s="15">
        <v>3765344.0000000005</v>
      </c>
      <c r="F49" s="1" t="s">
        <v>103</v>
      </c>
      <c r="G49" s="1">
        <v>231</v>
      </c>
      <c r="H49" s="1" t="str">
        <f t="shared" ref="H49:H112" si="14">"$"&amp;"G"&amp;"$"&amp;ROW()</f>
        <v>$G$49</v>
      </c>
      <c r="I49" s="1" t="str">
        <f t="shared" ref="I49:I112" si="15">"$"&amp;"C"&amp;"$"&amp;ROW()</f>
        <v>$C$49</v>
      </c>
      <c r="J49" s="1" t="str">
        <f t="shared" ref="J49:J112" si="16">"$"&amp;"D"&amp;"$"&amp;ROW()</f>
        <v>$D$49</v>
      </c>
      <c r="K49" s="1" t="str">
        <f t="shared" ref="K49:K112" si="17">"$"&amp;"E"&amp;"$"&amp;ROW()</f>
        <v>$E$49</v>
      </c>
      <c r="L49" s="15">
        <f ca="1">IFERROR(VLOOKUP($G49,Regresiones!$E$6:$I$10,4,1)*$G49+VLOOKUP($G49,Regresiones!$E$6:$I$10,5,1),"")</f>
        <v>3105217.1050555459</v>
      </c>
      <c r="M49" s="15">
        <f ca="1">IFERROR(VLOOKUP($G49,Regresiones!$J$6:$N$10,4,1)*$G49+VLOOKUP($G49,Regresiones!$J$6:$N$10,5,1),"")</f>
        <v>3111484.0301760971</v>
      </c>
      <c r="N49" s="15">
        <f ca="1">IFERROR(VLOOKUP($G49,Regresiones!$O$6:$S$10,4,1)*$G49+VLOOKUP($G49,Regresiones!$O$6:$S$10,5,1),"")</f>
        <v>3111484.0301760971</v>
      </c>
      <c r="O49" s="15">
        <f ca="1">IFERROR(VLOOKUP($G49,Regresiones!$T$6:$V$10,2,1)*$G49+VLOOKUP($G49,Regresiones!$T$6:$V$10,3,1),"")</f>
        <v>3095302.7657203665</v>
      </c>
      <c r="P49" s="15">
        <f ca="1">IFERROR(VLOOKUP($G49,Regresiones!$W$6:$Y$10,2,1)*$G49+VLOOKUP($G49,Regresiones!$W$6:$Y$10,3,1),"")</f>
        <v>3327961.4684619601</v>
      </c>
      <c r="Q49" s="15">
        <f ca="1">IFERROR(VLOOKUP($G49,Regresiones!$Z$6:$AB$10,2,1)*$G49+VLOOKUP($G49,Regresiones!$Z$6:$AB$10,3,1),"")</f>
        <v>3330255.6648490662</v>
      </c>
      <c r="R49" s="15">
        <f>IF($W49=$W50,-1,DatosHoy[[#This Row],[G ajus PM]]-X50)</f>
        <v>-1</v>
      </c>
      <c r="S49" s="15">
        <f>IF($W49=$W50,-1,DatosHoy[[#This Row],[G+V ajus PM]]-Y50)</f>
        <v>-1</v>
      </c>
      <c r="T49" s="15">
        <f>IF($W49=$W50,-1,DatosHoy[[#This Row],[CT ajus PM]]-Z50)</f>
        <v>-1</v>
      </c>
      <c r="U49" s="15">
        <f ca="1">IFERROR(IF(DatosHoy[[#This Row],[G ajus PM]]=DatosHoy[[#This Row],[G+V ajus PM]],-1,DatosHoy[[#This Row],[G ajus PM]]-DatosHoy[[#This Row],[G+V ajus PM]]),"")</f>
        <v>-241070.74361842405</v>
      </c>
      <c r="V49" s="15">
        <f ca="1">IFERROR(IF(DatosHoy[[#This Row],[G+V ajus PM]]=DatosHoy[[#This Row],[CT ajus PM]],-1,DatosHoy[[#This Row],[G+V ajus PM]]-DatosHoy[[#This Row],[CT ajus PM]]),"")</f>
        <v>-2055.4938728408888</v>
      </c>
      <c r="W49" s="15">
        <v>249</v>
      </c>
      <c r="X49" s="15">
        <f ca="1">IFERROR(IFERROR(VLOOKUP($W49,Regresiones!$T$6:$V$10,2,1)*$W49+VLOOKUP($W49,Regresiones!$T$6:$V$10,3,1),VLOOKUP(MIN(DatosHoy[Puntos]),Regresiones!$T$6:$V$10,2,1)*$W49+VLOOKUP(MIN(DatosHoy[Puntos]),Regresiones!$T$6:$V$10,3,1)),"NO")</f>
        <v>3287369.2650705236</v>
      </c>
      <c r="Y49" s="15">
        <f ca="1">IFERROR(IFERROR(VLOOKUP($W49,Regresiones!$W$6:$Y$10,2,1)*$W49+VLOOKUP($W49,Regresiones!$W$6:$Y$10,3,1),VLOOKUP(MIN(DatosHoy[Puntos]),Regresiones!$W$6:$Y$10,2,1)*$W49+VLOOKUP(MIN(DatosHoy[Puntos]),Regresiones!$W$6:$Y$10,3,1)),"NO")</f>
        <v>3528440.0086889477</v>
      </c>
      <c r="Z49" s="15">
        <f ca="1">IFERROR(IFERROR(VLOOKUP($W49,Regresiones!$Z$6:$AB$10,2,1)*$W49+VLOOKUP($W49,Regresiones!$Z$6:$AB$10,3,1),VLOOKUP(MIN(DatosHoy[Puntos]),Regresiones!$Z$6:$AB$10,2,1)*$W49+VLOOKUP(MIN(DatosHoy[Puntos]),Regresiones!$Z$6:$AB$10,3,1)),"NO")</f>
        <v>3530495.5025617885</v>
      </c>
      <c r="AA49" s="3">
        <f t="shared" ca="1" si="9"/>
        <v>1.0665199820443907</v>
      </c>
    </row>
    <row r="50" spans="2:27" x14ac:dyDescent="0.2">
      <c r="B50" s="1">
        <v>45</v>
      </c>
      <c r="C50" s="15">
        <v>3765344.0000000005</v>
      </c>
      <c r="D50" s="15">
        <v>3765344.0000000005</v>
      </c>
      <c r="E50" s="15">
        <v>3765344.0000000005</v>
      </c>
      <c r="F50" s="1" t="s">
        <v>103</v>
      </c>
      <c r="G50" s="1">
        <v>231</v>
      </c>
      <c r="H50" s="1" t="str">
        <f t="shared" si="14"/>
        <v>$G$50</v>
      </c>
      <c r="I50" s="1" t="str">
        <f t="shared" si="15"/>
        <v>$C$50</v>
      </c>
      <c r="J50" s="1" t="str">
        <f t="shared" si="16"/>
        <v>$D$50</v>
      </c>
      <c r="K50" s="1" t="str">
        <f t="shared" si="17"/>
        <v>$E$50</v>
      </c>
      <c r="L50" s="15">
        <f ca="1">IFERROR(VLOOKUP($G50,Regresiones!$E$6:$I$10,4,1)*$G50+VLOOKUP($G50,Regresiones!$E$6:$I$10,5,1),"")</f>
        <v>3105217.1050555459</v>
      </c>
      <c r="M50" s="15">
        <f ca="1">IFERROR(VLOOKUP($G50,Regresiones!$J$6:$N$10,4,1)*$G50+VLOOKUP($G50,Regresiones!$J$6:$N$10,5,1),"")</f>
        <v>3111484.0301760971</v>
      </c>
      <c r="N50" s="15">
        <f ca="1">IFERROR(VLOOKUP($G50,Regresiones!$O$6:$S$10,4,1)*$G50+VLOOKUP($G50,Regresiones!$O$6:$S$10,5,1),"")</f>
        <v>3111484.0301760971</v>
      </c>
      <c r="O50" s="15">
        <f ca="1">IFERROR(VLOOKUP($G50,Regresiones!$T$6:$V$10,2,1)*$G50+VLOOKUP($G50,Regresiones!$T$6:$V$10,3,1),"")</f>
        <v>3095302.7657203665</v>
      </c>
      <c r="P50" s="15">
        <f ca="1">IFERROR(VLOOKUP($G50,Regresiones!$W$6:$Y$10,2,1)*$G50+VLOOKUP($G50,Regresiones!$W$6:$Y$10,3,1),"")</f>
        <v>3327961.4684619601</v>
      </c>
      <c r="Q50" s="15">
        <f ca="1">IFERROR(VLOOKUP($G50,Regresiones!$Z$6:$AB$10,2,1)*$G50+VLOOKUP($G50,Regresiones!$Z$6:$AB$10,3,1),"")</f>
        <v>3330255.6648490662</v>
      </c>
      <c r="R50" s="15">
        <f>IF($W50=$W51,-1,DatosHoy[[#This Row],[G ajus PM]]-X51)</f>
        <v>-1</v>
      </c>
      <c r="S50" s="15">
        <f>IF($W50=$W51,-1,DatosHoy[[#This Row],[G+V ajus PM]]-Y51)</f>
        <v>-1</v>
      </c>
      <c r="T50" s="15">
        <f>IF($W50=$W51,-1,DatosHoy[[#This Row],[CT ajus PM]]-Z51)</f>
        <v>-1</v>
      </c>
      <c r="U50" s="15">
        <f ca="1">IFERROR(IF(DatosHoy[[#This Row],[G ajus PM]]=DatosHoy[[#This Row],[G+V ajus PM]],-1,DatosHoy[[#This Row],[G ajus PM]]-DatosHoy[[#This Row],[G+V ajus PM]]),"")</f>
        <v>-241070.74361842405</v>
      </c>
      <c r="V50" s="15">
        <f ca="1">IFERROR(IF(DatosHoy[[#This Row],[G+V ajus PM]]=DatosHoy[[#This Row],[CT ajus PM]],-1,DatosHoy[[#This Row],[G+V ajus PM]]-DatosHoy[[#This Row],[CT ajus PM]]),"")</f>
        <v>-2055.4938728408888</v>
      </c>
      <c r="W50" s="15">
        <v>249</v>
      </c>
      <c r="X50" s="15">
        <f ca="1">IFERROR(IFERROR(VLOOKUP($W50,Regresiones!$T$6:$V$10,2,1)*$W50+VLOOKUP($W50,Regresiones!$T$6:$V$10,3,1),VLOOKUP(MIN(DatosHoy[Puntos]),Regresiones!$T$6:$V$10,2,1)*$W50+VLOOKUP(MIN(DatosHoy[Puntos]),Regresiones!$T$6:$V$10,3,1)),"NO")</f>
        <v>3287369.2650705236</v>
      </c>
      <c r="Y50" s="15">
        <f ca="1">IFERROR(IFERROR(VLOOKUP($W50,Regresiones!$W$6:$Y$10,2,1)*$W50+VLOOKUP($W50,Regresiones!$W$6:$Y$10,3,1),VLOOKUP(MIN(DatosHoy[Puntos]),Regresiones!$W$6:$Y$10,2,1)*$W50+VLOOKUP(MIN(DatosHoy[Puntos]),Regresiones!$W$6:$Y$10,3,1)),"NO")</f>
        <v>3528440.0086889477</v>
      </c>
      <c r="Z50" s="15">
        <f ca="1">IFERROR(IFERROR(VLOOKUP($W50,Regresiones!$Z$6:$AB$10,2,1)*$W50+VLOOKUP($W50,Regresiones!$Z$6:$AB$10,3,1),VLOOKUP(MIN(DatosHoy[Puntos]),Regresiones!$Z$6:$AB$10,2,1)*$W50+VLOOKUP(MIN(DatosHoy[Puntos]),Regresiones!$Z$6:$AB$10,3,1)),"NO")</f>
        <v>3530495.5025617885</v>
      </c>
      <c r="AA50" s="3">
        <f t="shared" ca="1" si="9"/>
        <v>1.0665199820443907</v>
      </c>
    </row>
    <row r="51" spans="2:27" x14ac:dyDescent="0.2">
      <c r="B51" s="1">
        <v>46</v>
      </c>
      <c r="C51" s="15">
        <v>2828714.68</v>
      </c>
      <c r="D51" s="15">
        <v>2828714.68</v>
      </c>
      <c r="E51" s="15">
        <v>2828714.68</v>
      </c>
      <c r="F51" s="1" t="s">
        <v>104</v>
      </c>
      <c r="G51" s="1">
        <v>236</v>
      </c>
      <c r="H51" s="1" t="str">
        <f t="shared" si="14"/>
        <v>$G$51</v>
      </c>
      <c r="I51" s="1" t="str">
        <f t="shared" si="15"/>
        <v>$C$51</v>
      </c>
      <c r="J51" s="1" t="str">
        <f t="shared" si="16"/>
        <v>$D$51</v>
      </c>
      <c r="K51" s="1" t="str">
        <f t="shared" si="17"/>
        <v>$E$51</v>
      </c>
      <c r="L51" s="15">
        <f ca="1">IFERROR(VLOOKUP($G51,Regresiones!$E$6:$I$10,4,1)*$G51+VLOOKUP($G51,Regresiones!$E$6:$I$10,5,1),"")</f>
        <v>3168912.1058433657</v>
      </c>
      <c r="M51" s="15">
        <f ca="1">IFERROR(VLOOKUP($G51,Regresiones!$J$6:$N$10,4,1)*$G51+VLOOKUP($G51,Regresiones!$J$6:$N$10,5,1),"")</f>
        <v>3176267.4583169017</v>
      </c>
      <c r="N51" s="15">
        <f ca="1">IFERROR(VLOOKUP($G51,Regresiones!$O$6:$S$10,4,1)*$G51+VLOOKUP($G51,Regresiones!$O$6:$S$10,5,1),"")</f>
        <v>3176267.4583169017</v>
      </c>
      <c r="O51" s="15">
        <f ca="1">IFERROR(VLOOKUP($G51,Regresiones!$T$6:$V$10,2,1)*$G51+VLOOKUP($G51,Regresiones!$T$6:$V$10,3,1),"")</f>
        <v>3148654.5710954098</v>
      </c>
      <c r="P51" s="15">
        <f ca="1">IFERROR(VLOOKUP($G51,Regresiones!$W$6:$Y$10,2,1)*$G51+VLOOKUP($G51,Regresiones!$W$6:$Y$10,3,1),"")</f>
        <v>3383649.9518583454</v>
      </c>
      <c r="Q51" s="15">
        <f ca="1">IFERROR(VLOOKUP($G51,Regresiones!$Z$6:$AB$10,2,1)*$G51+VLOOKUP($G51,Regresiones!$Z$6:$AB$10,3,1),"")</f>
        <v>3385877.8419914888</v>
      </c>
      <c r="R51" s="15">
        <f>IF($W51=$W52,-1,DatosHoy[[#This Row],[G ajus PM]]-X52)</f>
        <v>-1</v>
      </c>
      <c r="S51" s="15">
        <f>IF($W51=$W52,-1,DatosHoy[[#This Row],[G+V ajus PM]]-Y52)</f>
        <v>-1</v>
      </c>
      <c r="T51" s="15">
        <f>IF($W51=$W52,-1,DatosHoy[[#This Row],[CT ajus PM]]-Z52)</f>
        <v>-1</v>
      </c>
      <c r="U51" s="15">
        <f ca="1">IFERROR(IF(DatosHoy[[#This Row],[G ajus PM]]=DatosHoy[[#This Row],[G+V ajus PM]],-1,DatosHoy[[#This Row],[G ajus PM]]-DatosHoy[[#This Row],[G+V ajus PM]]),"")</f>
        <v>-241070.74361842405</v>
      </c>
      <c r="V51" s="15">
        <f ca="1">IFERROR(IF(DatosHoy[[#This Row],[G+V ajus PM]]=DatosHoy[[#This Row],[CT ajus PM]],-1,DatosHoy[[#This Row],[G+V ajus PM]]-DatosHoy[[#This Row],[CT ajus PM]]),"")</f>
        <v>-2055.4938728408888</v>
      </c>
      <c r="W51" s="15">
        <v>249</v>
      </c>
      <c r="X51" s="15">
        <f ca="1">IFERROR(IFERROR(VLOOKUP($W51,Regresiones!$T$6:$V$10,2,1)*$W51+VLOOKUP($W51,Regresiones!$T$6:$V$10,3,1),VLOOKUP(MIN(DatosHoy[Puntos]),Regresiones!$T$6:$V$10,2,1)*$W51+VLOOKUP(MIN(DatosHoy[Puntos]),Regresiones!$T$6:$V$10,3,1)),"NO")</f>
        <v>3287369.2650705236</v>
      </c>
      <c r="Y51" s="15">
        <f ca="1">IFERROR(IFERROR(VLOOKUP($W51,Regresiones!$W$6:$Y$10,2,1)*$W51+VLOOKUP($W51,Regresiones!$W$6:$Y$10,3,1),VLOOKUP(MIN(DatosHoy[Puntos]),Regresiones!$W$6:$Y$10,2,1)*$W51+VLOOKUP(MIN(DatosHoy[Puntos]),Regresiones!$W$6:$Y$10,3,1)),"NO")</f>
        <v>3528440.0086889477</v>
      </c>
      <c r="Z51" s="15">
        <f ca="1">IFERROR(IFERROR(VLOOKUP($W51,Regresiones!$Z$6:$AB$10,2,1)*$W51+VLOOKUP($W51,Regresiones!$Z$6:$AB$10,3,1),VLOOKUP(MIN(DatosHoy[Puntos]),Regresiones!$Z$6:$AB$10,2,1)*$W51+VLOOKUP(MIN(DatosHoy[Puntos]),Regresiones!$Z$6:$AB$10,3,1)),"NO")</f>
        <v>3530495.5025617885</v>
      </c>
      <c r="AA51" s="3">
        <f t="shared" ca="1" si="9"/>
        <v>0.80122313651084842</v>
      </c>
    </row>
    <row r="52" spans="2:27" x14ac:dyDescent="0.2">
      <c r="B52" s="1">
        <v>47</v>
      </c>
      <c r="C52" s="15">
        <v>2828714.68</v>
      </c>
      <c r="D52" s="15">
        <v>2828714.68</v>
      </c>
      <c r="E52" s="15">
        <v>2828714.68</v>
      </c>
      <c r="F52" s="1" t="s">
        <v>104</v>
      </c>
      <c r="G52" s="1">
        <v>236</v>
      </c>
      <c r="H52" s="1" t="str">
        <f t="shared" si="14"/>
        <v>$G$52</v>
      </c>
      <c r="I52" s="1" t="str">
        <f t="shared" si="15"/>
        <v>$C$52</v>
      </c>
      <c r="J52" s="1" t="str">
        <f t="shared" si="16"/>
        <v>$D$52</v>
      </c>
      <c r="K52" s="1" t="str">
        <f t="shared" si="17"/>
        <v>$E$52</v>
      </c>
      <c r="L52" s="15">
        <f ca="1">IFERROR(VLOOKUP($G52,Regresiones!$E$6:$I$10,4,1)*$G52+VLOOKUP($G52,Regresiones!$E$6:$I$10,5,1),"")</f>
        <v>3168912.1058433657</v>
      </c>
      <c r="M52" s="15">
        <f ca="1">IFERROR(VLOOKUP($G52,Regresiones!$J$6:$N$10,4,1)*$G52+VLOOKUP($G52,Regresiones!$J$6:$N$10,5,1),"")</f>
        <v>3176267.4583169017</v>
      </c>
      <c r="N52" s="15">
        <f ca="1">IFERROR(VLOOKUP($G52,Regresiones!$O$6:$S$10,4,1)*$G52+VLOOKUP($G52,Regresiones!$O$6:$S$10,5,1),"")</f>
        <v>3176267.4583169017</v>
      </c>
      <c r="O52" s="15">
        <f ca="1">IFERROR(VLOOKUP($G52,Regresiones!$T$6:$V$10,2,1)*$G52+VLOOKUP($G52,Regresiones!$T$6:$V$10,3,1),"")</f>
        <v>3148654.5710954098</v>
      </c>
      <c r="P52" s="15">
        <f ca="1">IFERROR(VLOOKUP($G52,Regresiones!$W$6:$Y$10,2,1)*$G52+VLOOKUP($G52,Regresiones!$W$6:$Y$10,3,1),"")</f>
        <v>3383649.9518583454</v>
      </c>
      <c r="Q52" s="15">
        <f ca="1">IFERROR(VLOOKUP($G52,Regresiones!$Z$6:$AB$10,2,1)*$G52+VLOOKUP($G52,Regresiones!$Z$6:$AB$10,3,1),"")</f>
        <v>3385877.8419914888</v>
      </c>
      <c r="R52" s="15">
        <f>IF($W52=$W53,-1,DatosHoy[[#This Row],[G ajus PM]]-X53)</f>
        <v>-1</v>
      </c>
      <c r="S52" s="15">
        <f>IF($W52=$W53,-1,DatosHoy[[#This Row],[G+V ajus PM]]-Y53)</f>
        <v>-1</v>
      </c>
      <c r="T52" s="15">
        <f>IF($W52=$W53,-1,DatosHoy[[#This Row],[CT ajus PM]]-Z53)</f>
        <v>-1</v>
      </c>
      <c r="U52" s="15">
        <f ca="1">IFERROR(IF(DatosHoy[[#This Row],[G ajus PM]]=DatosHoy[[#This Row],[G+V ajus PM]],-1,DatosHoy[[#This Row],[G ajus PM]]-DatosHoy[[#This Row],[G+V ajus PM]]),"")</f>
        <v>-241070.74361842405</v>
      </c>
      <c r="V52" s="15">
        <f ca="1">IFERROR(IF(DatosHoy[[#This Row],[G+V ajus PM]]=DatosHoy[[#This Row],[CT ajus PM]],-1,DatosHoy[[#This Row],[G+V ajus PM]]-DatosHoy[[#This Row],[CT ajus PM]]),"")</f>
        <v>-2055.4938728408888</v>
      </c>
      <c r="W52" s="15">
        <v>249</v>
      </c>
      <c r="X52" s="15">
        <f ca="1">IFERROR(IFERROR(VLOOKUP($W52,Regresiones!$T$6:$V$10,2,1)*$W52+VLOOKUP($W52,Regresiones!$T$6:$V$10,3,1),VLOOKUP(MIN(DatosHoy[Puntos]),Regresiones!$T$6:$V$10,2,1)*$W52+VLOOKUP(MIN(DatosHoy[Puntos]),Regresiones!$T$6:$V$10,3,1)),"NO")</f>
        <v>3287369.2650705236</v>
      </c>
      <c r="Y52" s="15">
        <f ca="1">IFERROR(IFERROR(VLOOKUP($W52,Regresiones!$W$6:$Y$10,2,1)*$W52+VLOOKUP($W52,Regresiones!$W$6:$Y$10,3,1),VLOOKUP(MIN(DatosHoy[Puntos]),Regresiones!$W$6:$Y$10,2,1)*$W52+VLOOKUP(MIN(DatosHoy[Puntos]),Regresiones!$W$6:$Y$10,3,1)),"NO")</f>
        <v>3528440.0086889477</v>
      </c>
      <c r="Z52" s="15">
        <f ca="1">IFERROR(IFERROR(VLOOKUP($W52,Regresiones!$Z$6:$AB$10,2,1)*$W52+VLOOKUP($W52,Regresiones!$Z$6:$AB$10,3,1),VLOOKUP(MIN(DatosHoy[Puntos]),Regresiones!$Z$6:$AB$10,2,1)*$W52+VLOOKUP(MIN(DatosHoy[Puntos]),Regresiones!$Z$6:$AB$10,3,1)),"NO")</f>
        <v>3530495.5025617885</v>
      </c>
      <c r="AA52" s="3">
        <f t="shared" ca="1" si="9"/>
        <v>0.80122313651084842</v>
      </c>
    </row>
    <row r="53" spans="2:27" x14ac:dyDescent="0.2">
      <c r="B53" s="1">
        <v>48</v>
      </c>
      <c r="C53" s="15">
        <v>2828714.68</v>
      </c>
      <c r="D53" s="15">
        <v>2828714.68</v>
      </c>
      <c r="E53" s="15">
        <v>2828714.68</v>
      </c>
      <c r="F53" s="1" t="s">
        <v>105</v>
      </c>
      <c r="G53" s="1">
        <v>236</v>
      </c>
      <c r="H53" s="1" t="str">
        <f t="shared" si="14"/>
        <v>$G$53</v>
      </c>
      <c r="I53" s="1" t="str">
        <f t="shared" si="15"/>
        <v>$C$53</v>
      </c>
      <c r="J53" s="1" t="str">
        <f t="shared" si="16"/>
        <v>$D$53</v>
      </c>
      <c r="K53" s="1" t="str">
        <f t="shared" si="17"/>
        <v>$E$53</v>
      </c>
      <c r="L53" s="15">
        <f ca="1">IFERROR(VLOOKUP($G53,Regresiones!$E$6:$I$10,4,1)*$G53+VLOOKUP($G53,Regresiones!$E$6:$I$10,5,1),"")</f>
        <v>3168912.1058433657</v>
      </c>
      <c r="M53" s="15">
        <f ca="1">IFERROR(VLOOKUP($G53,Regresiones!$J$6:$N$10,4,1)*$G53+VLOOKUP($G53,Regresiones!$J$6:$N$10,5,1),"")</f>
        <v>3176267.4583169017</v>
      </c>
      <c r="N53" s="15">
        <f ca="1">IFERROR(VLOOKUP($G53,Regresiones!$O$6:$S$10,4,1)*$G53+VLOOKUP($G53,Regresiones!$O$6:$S$10,5,1),"")</f>
        <v>3176267.4583169017</v>
      </c>
      <c r="O53" s="15">
        <f ca="1">IFERROR(VLOOKUP($G53,Regresiones!$T$6:$V$10,2,1)*$G53+VLOOKUP($G53,Regresiones!$T$6:$V$10,3,1),"")</f>
        <v>3148654.5710954098</v>
      </c>
      <c r="P53" s="15">
        <f ca="1">IFERROR(VLOOKUP($G53,Regresiones!$W$6:$Y$10,2,1)*$G53+VLOOKUP($G53,Regresiones!$W$6:$Y$10,3,1),"")</f>
        <v>3383649.9518583454</v>
      </c>
      <c r="Q53" s="15">
        <f ca="1">IFERROR(VLOOKUP($G53,Regresiones!$Z$6:$AB$10,2,1)*$G53+VLOOKUP($G53,Regresiones!$Z$6:$AB$10,3,1),"")</f>
        <v>3385877.8419914888</v>
      </c>
      <c r="R53" s="15">
        <f>IF($W53=$W54,-1,DatosHoy[[#This Row],[G ajus PM]]-X54)</f>
        <v>-1</v>
      </c>
      <c r="S53" s="15">
        <f>IF($W53=$W54,-1,DatosHoy[[#This Row],[G+V ajus PM]]-Y54)</f>
        <v>-1</v>
      </c>
      <c r="T53" s="15">
        <f>IF($W53=$W54,-1,DatosHoy[[#This Row],[CT ajus PM]]-Z54)</f>
        <v>-1</v>
      </c>
      <c r="U53" s="15">
        <f ca="1">IFERROR(IF(DatosHoy[[#This Row],[G ajus PM]]=DatosHoy[[#This Row],[G+V ajus PM]],-1,DatosHoy[[#This Row],[G ajus PM]]-DatosHoy[[#This Row],[G+V ajus PM]]),"")</f>
        <v>-241070.74361842405</v>
      </c>
      <c r="V53" s="15">
        <f ca="1">IFERROR(IF(DatosHoy[[#This Row],[G+V ajus PM]]=DatosHoy[[#This Row],[CT ajus PM]],-1,DatosHoy[[#This Row],[G+V ajus PM]]-DatosHoy[[#This Row],[CT ajus PM]]),"")</f>
        <v>-2055.4938728408888</v>
      </c>
      <c r="W53" s="15">
        <v>249</v>
      </c>
      <c r="X53" s="15">
        <f ca="1">IFERROR(IFERROR(VLOOKUP($W53,Regresiones!$T$6:$V$10,2,1)*$W53+VLOOKUP($W53,Regresiones!$T$6:$V$10,3,1),VLOOKUP(MIN(DatosHoy[Puntos]),Regresiones!$T$6:$V$10,2,1)*$W53+VLOOKUP(MIN(DatosHoy[Puntos]),Regresiones!$T$6:$V$10,3,1)),"NO")</f>
        <v>3287369.2650705236</v>
      </c>
      <c r="Y53" s="15">
        <f ca="1">IFERROR(IFERROR(VLOOKUP($W53,Regresiones!$W$6:$Y$10,2,1)*$W53+VLOOKUP($W53,Regresiones!$W$6:$Y$10,3,1),VLOOKUP(MIN(DatosHoy[Puntos]),Regresiones!$W$6:$Y$10,2,1)*$W53+VLOOKUP(MIN(DatosHoy[Puntos]),Regresiones!$W$6:$Y$10,3,1)),"NO")</f>
        <v>3528440.0086889477</v>
      </c>
      <c r="Z53" s="15">
        <f ca="1">IFERROR(IFERROR(VLOOKUP($W53,Regresiones!$Z$6:$AB$10,2,1)*$W53+VLOOKUP($W53,Regresiones!$Z$6:$AB$10,3,1),VLOOKUP(MIN(DatosHoy[Puntos]),Regresiones!$Z$6:$AB$10,2,1)*$W53+VLOOKUP(MIN(DatosHoy[Puntos]),Regresiones!$Z$6:$AB$10,3,1)),"NO")</f>
        <v>3530495.5025617885</v>
      </c>
      <c r="AA53" s="3">
        <f t="shared" ca="1" si="9"/>
        <v>0.80122313651084842</v>
      </c>
    </row>
    <row r="54" spans="2:27" x14ac:dyDescent="0.2">
      <c r="B54" s="1">
        <v>49</v>
      </c>
      <c r="C54" s="15">
        <v>2828714.68</v>
      </c>
      <c r="D54" s="15">
        <v>2828714.68</v>
      </c>
      <c r="E54" s="15">
        <v>2828714.68</v>
      </c>
      <c r="F54" s="1" t="s">
        <v>105</v>
      </c>
      <c r="G54" s="1">
        <v>236</v>
      </c>
      <c r="H54" s="1" t="str">
        <f t="shared" si="14"/>
        <v>$G$54</v>
      </c>
      <c r="I54" s="1" t="str">
        <f t="shared" si="15"/>
        <v>$C$54</v>
      </c>
      <c r="J54" s="1" t="str">
        <f t="shared" si="16"/>
        <v>$D$54</v>
      </c>
      <c r="K54" s="1" t="str">
        <f t="shared" si="17"/>
        <v>$E$54</v>
      </c>
      <c r="L54" s="15">
        <f ca="1">IFERROR(VLOOKUP($G54,Regresiones!$E$6:$I$10,4,1)*$G54+VLOOKUP($G54,Regresiones!$E$6:$I$10,5,1),"")</f>
        <v>3168912.1058433657</v>
      </c>
      <c r="M54" s="15">
        <f ca="1">IFERROR(VLOOKUP($G54,Regresiones!$J$6:$N$10,4,1)*$G54+VLOOKUP($G54,Regresiones!$J$6:$N$10,5,1),"")</f>
        <v>3176267.4583169017</v>
      </c>
      <c r="N54" s="15">
        <f ca="1">IFERROR(VLOOKUP($G54,Regresiones!$O$6:$S$10,4,1)*$G54+VLOOKUP($G54,Regresiones!$O$6:$S$10,5,1),"")</f>
        <v>3176267.4583169017</v>
      </c>
      <c r="O54" s="15">
        <f ca="1">IFERROR(VLOOKUP($G54,Regresiones!$T$6:$V$10,2,1)*$G54+VLOOKUP($G54,Regresiones!$T$6:$V$10,3,1),"")</f>
        <v>3148654.5710954098</v>
      </c>
      <c r="P54" s="15">
        <f ca="1">IFERROR(VLOOKUP($G54,Regresiones!$W$6:$Y$10,2,1)*$G54+VLOOKUP($G54,Regresiones!$W$6:$Y$10,3,1),"")</f>
        <v>3383649.9518583454</v>
      </c>
      <c r="Q54" s="15">
        <f ca="1">IFERROR(VLOOKUP($G54,Regresiones!$Z$6:$AB$10,2,1)*$G54+VLOOKUP($G54,Regresiones!$Z$6:$AB$10,3,1),"")</f>
        <v>3385877.8419914888</v>
      </c>
      <c r="R54" s="15">
        <f>IF($W54=$W55,-1,DatosHoy[[#This Row],[G ajus PM]]-X55)</f>
        <v>-1</v>
      </c>
      <c r="S54" s="15">
        <f>IF($W54=$W55,-1,DatosHoy[[#This Row],[G+V ajus PM]]-Y55)</f>
        <v>-1</v>
      </c>
      <c r="T54" s="15">
        <f>IF($W54=$W55,-1,DatosHoy[[#This Row],[CT ajus PM]]-Z55)</f>
        <v>-1</v>
      </c>
      <c r="U54" s="15">
        <f ca="1">IFERROR(IF(DatosHoy[[#This Row],[G ajus PM]]=DatosHoy[[#This Row],[G+V ajus PM]],-1,DatosHoy[[#This Row],[G ajus PM]]-DatosHoy[[#This Row],[G+V ajus PM]]),"")</f>
        <v>-241070.74361842405</v>
      </c>
      <c r="V54" s="15">
        <f ca="1">IFERROR(IF(DatosHoy[[#This Row],[G+V ajus PM]]=DatosHoy[[#This Row],[CT ajus PM]],-1,DatosHoy[[#This Row],[G+V ajus PM]]-DatosHoy[[#This Row],[CT ajus PM]]),"")</f>
        <v>-2055.4938728408888</v>
      </c>
      <c r="W54" s="15">
        <v>249</v>
      </c>
      <c r="X54" s="15">
        <f ca="1">IFERROR(IFERROR(VLOOKUP($W54,Regresiones!$T$6:$V$10,2,1)*$W54+VLOOKUP($W54,Regresiones!$T$6:$V$10,3,1),VLOOKUP(MIN(DatosHoy[Puntos]),Regresiones!$T$6:$V$10,2,1)*$W54+VLOOKUP(MIN(DatosHoy[Puntos]),Regresiones!$T$6:$V$10,3,1)),"NO")</f>
        <v>3287369.2650705236</v>
      </c>
      <c r="Y54" s="15">
        <f ca="1">IFERROR(IFERROR(VLOOKUP($W54,Regresiones!$W$6:$Y$10,2,1)*$W54+VLOOKUP($W54,Regresiones!$W$6:$Y$10,3,1),VLOOKUP(MIN(DatosHoy[Puntos]),Regresiones!$W$6:$Y$10,2,1)*$W54+VLOOKUP(MIN(DatosHoy[Puntos]),Regresiones!$W$6:$Y$10,3,1)),"NO")</f>
        <v>3528440.0086889477</v>
      </c>
      <c r="Z54" s="15">
        <f ca="1">IFERROR(IFERROR(VLOOKUP($W54,Regresiones!$Z$6:$AB$10,2,1)*$W54+VLOOKUP($W54,Regresiones!$Z$6:$AB$10,3,1),VLOOKUP(MIN(DatosHoy[Puntos]),Regresiones!$Z$6:$AB$10,2,1)*$W54+VLOOKUP(MIN(DatosHoy[Puntos]),Regresiones!$Z$6:$AB$10,3,1)),"NO")</f>
        <v>3530495.5025617885</v>
      </c>
      <c r="AA54" s="3">
        <f t="shared" ca="1" si="9"/>
        <v>0.80122313651084842</v>
      </c>
    </row>
    <row r="55" spans="2:27" x14ac:dyDescent="0.2">
      <c r="B55" s="1">
        <v>50</v>
      </c>
      <c r="C55" s="15">
        <v>3061695.3400000003</v>
      </c>
      <c r="D55" s="15">
        <v>3061695.3400000003</v>
      </c>
      <c r="E55" s="15">
        <v>3061695.3400000003</v>
      </c>
      <c r="F55" s="1" t="s">
        <v>106</v>
      </c>
      <c r="G55" s="1">
        <v>246</v>
      </c>
      <c r="H55" s="1" t="str">
        <f t="shared" si="14"/>
        <v>$G$55</v>
      </c>
      <c r="I55" s="1" t="str">
        <f t="shared" si="15"/>
        <v>$C$55</v>
      </c>
      <c r="J55" s="1" t="str">
        <f t="shared" si="16"/>
        <v>$D$55</v>
      </c>
      <c r="K55" s="1" t="str">
        <f t="shared" si="17"/>
        <v>$E$55</v>
      </c>
      <c r="L55" s="15">
        <f ca="1">IFERROR(VLOOKUP($G55,Regresiones!$E$6:$I$10,4,1)*$G55+VLOOKUP($G55,Regresiones!$E$6:$I$10,5,1),"")</f>
        <v>3296302.1074190051</v>
      </c>
      <c r="M55" s="15">
        <f ca="1">IFERROR(VLOOKUP($G55,Regresiones!$J$6:$N$10,4,1)*$G55+VLOOKUP($G55,Regresiones!$J$6:$N$10,5,1),"")</f>
        <v>3305834.3145985119</v>
      </c>
      <c r="N55" s="15">
        <f ca="1">IFERROR(VLOOKUP($G55,Regresiones!$O$6:$S$10,4,1)*$G55+VLOOKUP($G55,Regresiones!$O$6:$S$10,5,1),"")</f>
        <v>3305834.3145985119</v>
      </c>
      <c r="O55" s="15">
        <f ca="1">IFERROR(VLOOKUP($G55,Regresiones!$T$6:$V$10,2,1)*$G55+VLOOKUP($G55,Regresiones!$T$6:$V$10,3,1),"")</f>
        <v>3255358.1818454973</v>
      </c>
      <c r="P55" s="15">
        <f ca="1">IFERROR(VLOOKUP($G55,Regresiones!$W$6:$Y$10,2,1)*$G55+VLOOKUP($G55,Regresiones!$W$6:$Y$10,3,1),"")</f>
        <v>3495026.9186511161</v>
      </c>
      <c r="Q55" s="15">
        <f ca="1">IFERROR(VLOOKUP($G55,Regresiones!$Z$6:$AB$10,2,1)*$G55+VLOOKUP($G55,Regresiones!$Z$6:$AB$10,3,1),"")</f>
        <v>3497122.1962763346</v>
      </c>
      <c r="R55" s="15">
        <f>IF($W55=$W56,-1,DatosHoy[[#This Row],[G ajus PM]]-X56)</f>
        <v>-1</v>
      </c>
      <c r="S55" s="15">
        <f>IF($W55=$W56,-1,DatosHoy[[#This Row],[G+V ajus PM]]-Y56)</f>
        <v>-1</v>
      </c>
      <c r="T55" s="15">
        <f>IF($W55=$W56,-1,DatosHoy[[#This Row],[CT ajus PM]]-Z56)</f>
        <v>-1</v>
      </c>
      <c r="U55" s="15">
        <f ca="1">IFERROR(IF(DatosHoy[[#This Row],[G ajus PM]]=DatosHoy[[#This Row],[G+V ajus PM]],-1,DatosHoy[[#This Row],[G ajus PM]]-DatosHoy[[#This Row],[G+V ajus PM]]),"")</f>
        <v>-241070.74361842405</v>
      </c>
      <c r="V55" s="15">
        <f ca="1">IFERROR(IF(DatosHoy[[#This Row],[G+V ajus PM]]=DatosHoy[[#This Row],[CT ajus PM]],-1,DatosHoy[[#This Row],[G+V ajus PM]]-DatosHoy[[#This Row],[CT ajus PM]]),"")</f>
        <v>-2055.4938728408888</v>
      </c>
      <c r="W55" s="15">
        <v>249</v>
      </c>
      <c r="X55" s="15">
        <f ca="1">IFERROR(IFERROR(VLOOKUP($W55,Regresiones!$T$6:$V$10,2,1)*$W55+VLOOKUP($W55,Regresiones!$T$6:$V$10,3,1),VLOOKUP(MIN(DatosHoy[Puntos]),Regresiones!$T$6:$V$10,2,1)*$W55+VLOOKUP(MIN(DatosHoy[Puntos]),Regresiones!$T$6:$V$10,3,1)),"NO")</f>
        <v>3287369.2650705236</v>
      </c>
      <c r="Y55" s="15">
        <f ca="1">IFERROR(IFERROR(VLOOKUP($W55,Regresiones!$W$6:$Y$10,2,1)*$W55+VLOOKUP($W55,Regresiones!$W$6:$Y$10,3,1),VLOOKUP(MIN(DatosHoy[Puntos]),Regresiones!$W$6:$Y$10,2,1)*$W55+VLOOKUP(MIN(DatosHoy[Puntos]),Regresiones!$W$6:$Y$10,3,1)),"NO")</f>
        <v>3528440.0086889477</v>
      </c>
      <c r="Z55" s="15">
        <f ca="1">IFERROR(IFERROR(VLOOKUP($W55,Regresiones!$Z$6:$AB$10,2,1)*$W55+VLOOKUP($W55,Regresiones!$Z$6:$AB$10,3,1),VLOOKUP(MIN(DatosHoy[Puntos]),Regresiones!$Z$6:$AB$10,2,1)*$W55+VLOOKUP(MIN(DatosHoy[Puntos]),Regresiones!$Z$6:$AB$10,3,1)),"NO")</f>
        <v>3530495.5025617885</v>
      </c>
      <c r="AA55" s="3">
        <f t="shared" ca="1" si="9"/>
        <v>0.86721406039984505</v>
      </c>
    </row>
    <row r="56" spans="2:27" x14ac:dyDescent="0.2">
      <c r="B56" s="1">
        <v>51</v>
      </c>
      <c r="C56" s="15">
        <v>2828714.68</v>
      </c>
      <c r="D56" s="15">
        <v>2828714.68</v>
      </c>
      <c r="E56" s="15">
        <v>2828714.68</v>
      </c>
      <c r="F56" s="1" t="s">
        <v>107</v>
      </c>
      <c r="G56" s="1">
        <v>246</v>
      </c>
      <c r="H56" s="1" t="str">
        <f t="shared" si="14"/>
        <v>$G$56</v>
      </c>
      <c r="I56" s="1" t="str">
        <f t="shared" si="15"/>
        <v>$C$56</v>
      </c>
      <c r="J56" s="1" t="str">
        <f t="shared" si="16"/>
        <v>$D$56</v>
      </c>
      <c r="K56" s="1" t="str">
        <f t="shared" si="17"/>
        <v>$E$56</v>
      </c>
      <c r="L56" s="15">
        <f ca="1">IFERROR(VLOOKUP($G56,Regresiones!$E$6:$I$10,4,1)*$G56+VLOOKUP($G56,Regresiones!$E$6:$I$10,5,1),"")</f>
        <v>3296302.1074190051</v>
      </c>
      <c r="M56" s="15">
        <f ca="1">IFERROR(VLOOKUP($G56,Regresiones!$J$6:$N$10,4,1)*$G56+VLOOKUP($G56,Regresiones!$J$6:$N$10,5,1),"")</f>
        <v>3305834.3145985119</v>
      </c>
      <c r="N56" s="15">
        <f ca="1">IFERROR(VLOOKUP($G56,Regresiones!$O$6:$S$10,4,1)*$G56+VLOOKUP($G56,Regresiones!$O$6:$S$10,5,1),"")</f>
        <v>3305834.3145985119</v>
      </c>
      <c r="O56" s="15">
        <f ca="1">IFERROR(VLOOKUP($G56,Regresiones!$T$6:$V$10,2,1)*$G56+VLOOKUP($G56,Regresiones!$T$6:$V$10,3,1),"")</f>
        <v>3255358.1818454973</v>
      </c>
      <c r="P56" s="15">
        <f ca="1">IFERROR(VLOOKUP($G56,Regresiones!$W$6:$Y$10,2,1)*$G56+VLOOKUP($G56,Regresiones!$W$6:$Y$10,3,1),"")</f>
        <v>3495026.9186511161</v>
      </c>
      <c r="Q56" s="15">
        <f ca="1">IFERROR(VLOOKUP($G56,Regresiones!$Z$6:$AB$10,2,1)*$G56+VLOOKUP($G56,Regresiones!$Z$6:$AB$10,3,1),"")</f>
        <v>3497122.1962763346</v>
      </c>
      <c r="R56" s="15">
        <f>IF($W56=$W57,-1,DatosHoy[[#This Row],[G ajus PM]]-X57)</f>
        <v>-1</v>
      </c>
      <c r="S56" s="15">
        <f>IF($W56=$W57,-1,DatosHoy[[#This Row],[G+V ajus PM]]-Y57)</f>
        <v>-1</v>
      </c>
      <c r="T56" s="15">
        <f>IF($W56=$W57,-1,DatosHoy[[#This Row],[CT ajus PM]]-Z57)</f>
        <v>-1</v>
      </c>
      <c r="U56" s="15">
        <f ca="1">IFERROR(IF(DatosHoy[[#This Row],[G ajus PM]]=DatosHoy[[#This Row],[G+V ajus PM]],-1,DatosHoy[[#This Row],[G ajus PM]]-DatosHoy[[#This Row],[G+V ajus PM]]),"")</f>
        <v>-241070.74361842405</v>
      </c>
      <c r="V56" s="15">
        <f ca="1">IFERROR(IF(DatosHoy[[#This Row],[G+V ajus PM]]=DatosHoy[[#This Row],[CT ajus PM]],-1,DatosHoy[[#This Row],[G+V ajus PM]]-DatosHoy[[#This Row],[CT ajus PM]]),"")</f>
        <v>-2055.4938728408888</v>
      </c>
      <c r="W56" s="15">
        <v>249</v>
      </c>
      <c r="X56" s="15">
        <f ca="1">IFERROR(IFERROR(VLOOKUP($W56,Regresiones!$T$6:$V$10,2,1)*$W56+VLOOKUP($W56,Regresiones!$T$6:$V$10,3,1),VLOOKUP(MIN(DatosHoy[Puntos]),Regresiones!$T$6:$V$10,2,1)*$W56+VLOOKUP(MIN(DatosHoy[Puntos]),Regresiones!$T$6:$V$10,3,1)),"NO")</f>
        <v>3287369.2650705236</v>
      </c>
      <c r="Y56" s="15">
        <f ca="1">IFERROR(IFERROR(VLOOKUP($W56,Regresiones!$W$6:$Y$10,2,1)*$W56+VLOOKUP($W56,Regresiones!$W$6:$Y$10,3,1),VLOOKUP(MIN(DatosHoy[Puntos]),Regresiones!$W$6:$Y$10,2,1)*$W56+VLOOKUP(MIN(DatosHoy[Puntos]),Regresiones!$W$6:$Y$10,3,1)),"NO")</f>
        <v>3528440.0086889477</v>
      </c>
      <c r="Z56" s="15">
        <f ca="1">IFERROR(IFERROR(VLOOKUP($W56,Regresiones!$Z$6:$AB$10,2,1)*$W56+VLOOKUP($W56,Regresiones!$Z$6:$AB$10,3,1),VLOOKUP(MIN(DatosHoy[Puntos]),Regresiones!$Z$6:$AB$10,2,1)*$W56+VLOOKUP(MIN(DatosHoy[Puntos]),Regresiones!$Z$6:$AB$10,3,1)),"NO")</f>
        <v>3530495.5025617885</v>
      </c>
      <c r="AA56" s="3">
        <f t="shared" ca="1" si="9"/>
        <v>0.80122313651084842</v>
      </c>
    </row>
    <row r="57" spans="2:27" x14ac:dyDescent="0.2">
      <c r="B57" s="1">
        <v>52</v>
      </c>
      <c r="C57" s="15">
        <v>2828714.68</v>
      </c>
      <c r="D57" s="15">
        <v>2828714.68</v>
      </c>
      <c r="E57" s="15">
        <v>2828714.68</v>
      </c>
      <c r="F57" s="1" t="s">
        <v>108</v>
      </c>
      <c r="G57" s="1">
        <v>248</v>
      </c>
      <c r="H57" s="1" t="str">
        <f t="shared" si="14"/>
        <v>$G$57</v>
      </c>
      <c r="I57" s="1" t="str">
        <f t="shared" si="15"/>
        <v>$C$57</v>
      </c>
      <c r="J57" s="1" t="str">
        <f t="shared" si="16"/>
        <v>$D$57</v>
      </c>
      <c r="K57" s="1" t="str">
        <f t="shared" si="17"/>
        <v>$E$57</v>
      </c>
      <c r="L57" s="15">
        <f ca="1">IFERROR(VLOOKUP($G57,Regresiones!$E$6:$I$10,4,1)*$G57+VLOOKUP($G57,Regresiones!$E$6:$I$10,5,1),"")</f>
        <v>3321780.1077341335</v>
      </c>
      <c r="M57" s="15">
        <f ca="1">IFERROR(VLOOKUP($G57,Regresiones!$J$6:$N$10,4,1)*$G57+VLOOKUP($G57,Regresiones!$J$6:$N$10,5,1),"")</f>
        <v>3331747.685854834</v>
      </c>
      <c r="N57" s="15">
        <f ca="1">IFERROR(VLOOKUP($G57,Regresiones!$O$6:$S$10,4,1)*$G57+VLOOKUP($G57,Regresiones!$O$6:$S$10,5,1),"")</f>
        <v>3331747.685854834</v>
      </c>
      <c r="O57" s="15">
        <f ca="1">IFERROR(VLOOKUP($G57,Regresiones!$T$6:$V$10,2,1)*$G57+VLOOKUP($G57,Regresiones!$T$6:$V$10,3,1),"")</f>
        <v>3276698.9039955148</v>
      </c>
      <c r="P57" s="15">
        <f ca="1">IFERROR(VLOOKUP($G57,Regresiones!$W$6:$Y$10,2,1)*$G57+VLOOKUP($G57,Regresiones!$W$6:$Y$10,3,1),"")</f>
        <v>3517302.3120096703</v>
      </c>
      <c r="Q57" s="15">
        <f ca="1">IFERROR(VLOOKUP($G57,Regresiones!$Z$6:$AB$10,2,1)*$G57+VLOOKUP($G57,Regresiones!$Z$6:$AB$10,3,1),"")</f>
        <v>3519371.0671333037</v>
      </c>
      <c r="R57" s="15">
        <f>IF($W57=$W58,-1,DatosHoy[[#This Row],[G ajus PM]]-X58)</f>
        <v>-1</v>
      </c>
      <c r="S57" s="15">
        <f>IF($W57=$W58,-1,DatosHoy[[#This Row],[G+V ajus PM]]-Y58)</f>
        <v>-1</v>
      </c>
      <c r="T57" s="15">
        <f>IF($W57=$W58,-1,DatosHoy[[#This Row],[CT ajus PM]]-Z58)</f>
        <v>-1</v>
      </c>
      <c r="U57" s="15">
        <f ca="1">IFERROR(IF(DatosHoy[[#This Row],[G ajus PM]]=DatosHoy[[#This Row],[G+V ajus PM]],-1,DatosHoy[[#This Row],[G ajus PM]]-DatosHoy[[#This Row],[G+V ajus PM]]),"")</f>
        <v>-241070.74361842405</v>
      </c>
      <c r="V57" s="15">
        <f ca="1">IFERROR(IF(DatosHoy[[#This Row],[G+V ajus PM]]=DatosHoy[[#This Row],[CT ajus PM]],-1,DatosHoy[[#This Row],[G+V ajus PM]]-DatosHoy[[#This Row],[CT ajus PM]]),"")</f>
        <v>-2055.4938728408888</v>
      </c>
      <c r="W57" s="15">
        <v>249</v>
      </c>
      <c r="X57" s="15">
        <f ca="1">IFERROR(IFERROR(VLOOKUP($W57,Regresiones!$T$6:$V$10,2,1)*$W57+VLOOKUP($W57,Regresiones!$T$6:$V$10,3,1),VLOOKUP(MIN(DatosHoy[Puntos]),Regresiones!$T$6:$V$10,2,1)*$W57+VLOOKUP(MIN(DatosHoy[Puntos]),Regresiones!$T$6:$V$10,3,1)),"NO")</f>
        <v>3287369.2650705236</v>
      </c>
      <c r="Y57" s="15">
        <f ca="1">IFERROR(IFERROR(VLOOKUP($W57,Regresiones!$W$6:$Y$10,2,1)*$W57+VLOOKUP($W57,Regresiones!$W$6:$Y$10,3,1),VLOOKUP(MIN(DatosHoy[Puntos]),Regresiones!$W$6:$Y$10,2,1)*$W57+VLOOKUP(MIN(DatosHoy[Puntos]),Regresiones!$W$6:$Y$10,3,1)),"NO")</f>
        <v>3528440.0086889477</v>
      </c>
      <c r="Z57" s="15">
        <f ca="1">IFERROR(IFERROR(VLOOKUP($W57,Regresiones!$Z$6:$AB$10,2,1)*$W57+VLOOKUP($W57,Regresiones!$Z$6:$AB$10,3,1),VLOOKUP(MIN(DatosHoy[Puntos]),Regresiones!$Z$6:$AB$10,2,1)*$W57+VLOOKUP(MIN(DatosHoy[Puntos]),Regresiones!$Z$6:$AB$10,3,1)),"NO")</f>
        <v>3530495.5025617885</v>
      </c>
      <c r="AA57" s="3">
        <f t="shared" ca="1" si="9"/>
        <v>0.80122313651084842</v>
      </c>
    </row>
    <row r="58" spans="2:27" x14ac:dyDescent="0.2">
      <c r="B58" s="1">
        <v>53</v>
      </c>
      <c r="C58" s="15">
        <v>2828714.68</v>
      </c>
      <c r="D58" s="15">
        <v>2828714.68</v>
      </c>
      <c r="E58" s="15">
        <v>2828714.68</v>
      </c>
      <c r="F58" s="1" t="s">
        <v>109</v>
      </c>
      <c r="G58" s="1">
        <v>262</v>
      </c>
      <c r="H58" s="1" t="str">
        <f t="shared" si="14"/>
        <v>$G$58</v>
      </c>
      <c r="I58" s="1" t="str">
        <f t="shared" si="15"/>
        <v>$C$58</v>
      </c>
      <c r="J58" s="1" t="str">
        <f t="shared" si="16"/>
        <v>$D$58</v>
      </c>
      <c r="K58" s="1" t="str">
        <f t="shared" si="17"/>
        <v>$E$58</v>
      </c>
      <c r="L58" s="15">
        <f ca="1">IFERROR(VLOOKUP($G58,Regresiones!$E$6:$I$10,4,1)*$G58+VLOOKUP($G58,Regresiones!$E$6:$I$10,5,1),"")</f>
        <v>3500126.1099400287</v>
      </c>
      <c r="M58" s="15">
        <f ca="1">IFERROR(VLOOKUP($G58,Regresiones!$J$6:$N$10,4,1)*$G58+VLOOKUP($G58,Regresiones!$J$6:$N$10,5,1),"")</f>
        <v>3513141.284649088</v>
      </c>
      <c r="N58" s="15">
        <f ca="1">IFERROR(VLOOKUP($G58,Regresiones!$O$6:$S$10,4,1)*$G58+VLOOKUP($G58,Regresiones!$O$6:$S$10,5,1),"")</f>
        <v>3513141.284649088</v>
      </c>
      <c r="O58" s="15">
        <f ca="1">IFERROR(VLOOKUP($G58,Regresiones!$T$6:$V$10,2,1)*$G58+VLOOKUP($G58,Regresiones!$T$6:$V$10,3,1),"")</f>
        <v>3426083.9590456369</v>
      </c>
      <c r="P58" s="15">
        <f ca="1">IFERROR(VLOOKUP($G58,Regresiones!$W$6:$Y$10,2,1)*$G58+VLOOKUP($G58,Regresiones!$W$6:$Y$10,3,1),"")</f>
        <v>3673230.0655195499</v>
      </c>
      <c r="Q58" s="15">
        <f ca="1">IFERROR(VLOOKUP($G58,Regresiones!$Z$6:$AB$10,2,1)*$G58+VLOOKUP($G58,Regresiones!$Z$6:$AB$10,3,1),"")</f>
        <v>3675113.1631320878</v>
      </c>
      <c r="R58" s="15">
        <f>IF($W58=$W59,-1,DatosHoy[[#This Row],[G ajus PM]]-X59)</f>
        <v>-1</v>
      </c>
      <c r="S58" s="15">
        <f>IF($W58=$W59,-1,DatosHoy[[#This Row],[G+V ajus PM]]-Y59)</f>
        <v>-1</v>
      </c>
      <c r="T58" s="15">
        <f>IF($W58=$W59,-1,DatosHoy[[#This Row],[CT ajus PM]]-Z59)</f>
        <v>-1</v>
      </c>
      <c r="U58" s="15">
        <f ca="1">IFERROR(IF(DatosHoy[[#This Row],[G ajus PM]]=DatosHoy[[#This Row],[G+V ajus PM]],-1,DatosHoy[[#This Row],[G ajus PM]]-DatosHoy[[#This Row],[G+V ajus PM]]),"")</f>
        <v>-241070.74361842405</v>
      </c>
      <c r="V58" s="15">
        <f ca="1">IFERROR(IF(DatosHoy[[#This Row],[G+V ajus PM]]=DatosHoy[[#This Row],[CT ajus PM]],-1,DatosHoy[[#This Row],[G+V ajus PM]]-DatosHoy[[#This Row],[CT ajus PM]]),"")</f>
        <v>-2055.4938728408888</v>
      </c>
      <c r="W58" s="15">
        <v>249</v>
      </c>
      <c r="X58" s="15">
        <f ca="1">IFERROR(IFERROR(VLOOKUP($W58,Regresiones!$T$6:$V$10,2,1)*$W58+VLOOKUP($W58,Regresiones!$T$6:$V$10,3,1),VLOOKUP(MIN(DatosHoy[Puntos]),Regresiones!$T$6:$V$10,2,1)*$W58+VLOOKUP(MIN(DatosHoy[Puntos]),Regresiones!$T$6:$V$10,3,1)),"NO")</f>
        <v>3287369.2650705236</v>
      </c>
      <c r="Y58" s="15">
        <f ca="1">IFERROR(IFERROR(VLOOKUP($W58,Regresiones!$W$6:$Y$10,2,1)*$W58+VLOOKUP($W58,Regresiones!$W$6:$Y$10,3,1),VLOOKUP(MIN(DatosHoy[Puntos]),Regresiones!$W$6:$Y$10,2,1)*$W58+VLOOKUP(MIN(DatosHoy[Puntos]),Regresiones!$W$6:$Y$10,3,1)),"NO")</f>
        <v>3528440.0086889477</v>
      </c>
      <c r="Z58" s="15">
        <f ca="1">IFERROR(IFERROR(VLOOKUP($W58,Regresiones!$Z$6:$AB$10,2,1)*$W58+VLOOKUP($W58,Regresiones!$Z$6:$AB$10,3,1),VLOOKUP(MIN(DatosHoy[Puntos]),Regresiones!$Z$6:$AB$10,2,1)*$W58+VLOOKUP(MIN(DatosHoy[Puntos]),Regresiones!$Z$6:$AB$10,3,1)),"NO")</f>
        <v>3530495.5025617885</v>
      </c>
      <c r="AA58" s="3">
        <f t="shared" ca="1" si="9"/>
        <v>0.80122313651084842</v>
      </c>
    </row>
    <row r="59" spans="2:27" x14ac:dyDescent="0.2">
      <c r="B59" s="1">
        <v>54</v>
      </c>
      <c r="C59" s="15">
        <v>2828714.68</v>
      </c>
      <c r="D59" s="15">
        <v>2828714.68</v>
      </c>
      <c r="E59" s="15">
        <v>2828714.68</v>
      </c>
      <c r="F59" s="1" t="s">
        <v>109</v>
      </c>
      <c r="G59" s="1">
        <v>262</v>
      </c>
      <c r="H59" s="1" t="str">
        <f t="shared" si="14"/>
        <v>$G$59</v>
      </c>
      <c r="I59" s="1" t="str">
        <f t="shared" si="15"/>
        <v>$C$59</v>
      </c>
      <c r="J59" s="1" t="str">
        <f t="shared" si="16"/>
        <v>$D$59</v>
      </c>
      <c r="K59" s="1" t="str">
        <f t="shared" si="17"/>
        <v>$E$59</v>
      </c>
      <c r="L59" s="15">
        <f ca="1">IFERROR(VLOOKUP($G59,Regresiones!$E$6:$I$10,4,1)*$G59+VLOOKUP($G59,Regresiones!$E$6:$I$10,5,1),"")</f>
        <v>3500126.1099400287</v>
      </c>
      <c r="M59" s="15">
        <f ca="1">IFERROR(VLOOKUP($G59,Regresiones!$J$6:$N$10,4,1)*$G59+VLOOKUP($G59,Regresiones!$J$6:$N$10,5,1),"")</f>
        <v>3513141.284649088</v>
      </c>
      <c r="N59" s="15">
        <f ca="1">IFERROR(VLOOKUP($G59,Regresiones!$O$6:$S$10,4,1)*$G59+VLOOKUP($G59,Regresiones!$O$6:$S$10,5,1),"")</f>
        <v>3513141.284649088</v>
      </c>
      <c r="O59" s="15">
        <f ca="1">IFERROR(VLOOKUP($G59,Regresiones!$T$6:$V$10,2,1)*$G59+VLOOKUP($G59,Regresiones!$T$6:$V$10,3,1),"")</f>
        <v>3426083.9590456369</v>
      </c>
      <c r="P59" s="15">
        <f ca="1">IFERROR(VLOOKUP($G59,Regresiones!$W$6:$Y$10,2,1)*$G59+VLOOKUP($G59,Regresiones!$W$6:$Y$10,3,1),"")</f>
        <v>3673230.0655195499</v>
      </c>
      <c r="Q59" s="15">
        <f ca="1">IFERROR(VLOOKUP($G59,Regresiones!$Z$6:$AB$10,2,1)*$G59+VLOOKUP($G59,Regresiones!$Z$6:$AB$10,3,1),"")</f>
        <v>3675113.1631320878</v>
      </c>
      <c r="R59" s="15">
        <f>IF($W59=$W60,-1,DatosHoy[[#This Row],[G ajus PM]]-X60)</f>
        <v>-1</v>
      </c>
      <c r="S59" s="15">
        <f>IF($W59=$W60,-1,DatosHoy[[#This Row],[G+V ajus PM]]-Y60)</f>
        <v>-1</v>
      </c>
      <c r="T59" s="15">
        <f>IF($W59=$W60,-1,DatosHoy[[#This Row],[CT ajus PM]]-Z60)</f>
        <v>-1</v>
      </c>
      <c r="U59" s="15">
        <f ca="1">IFERROR(IF(DatosHoy[[#This Row],[G ajus PM]]=DatosHoy[[#This Row],[G+V ajus PM]],-1,DatosHoy[[#This Row],[G ajus PM]]-DatosHoy[[#This Row],[G+V ajus PM]]),"")</f>
        <v>-241070.74361842405</v>
      </c>
      <c r="V59" s="15">
        <f ca="1">IFERROR(IF(DatosHoy[[#This Row],[G+V ajus PM]]=DatosHoy[[#This Row],[CT ajus PM]],-1,DatosHoy[[#This Row],[G+V ajus PM]]-DatosHoy[[#This Row],[CT ajus PM]]),"")</f>
        <v>-2055.4938728408888</v>
      </c>
      <c r="W59" s="15">
        <v>249</v>
      </c>
      <c r="X59" s="15">
        <f ca="1">IFERROR(IFERROR(VLOOKUP($W59,Regresiones!$T$6:$V$10,2,1)*$W59+VLOOKUP($W59,Regresiones!$T$6:$V$10,3,1),VLOOKUP(MIN(DatosHoy[Puntos]),Regresiones!$T$6:$V$10,2,1)*$W59+VLOOKUP(MIN(DatosHoy[Puntos]),Regresiones!$T$6:$V$10,3,1)),"NO")</f>
        <v>3287369.2650705236</v>
      </c>
      <c r="Y59" s="15">
        <f ca="1">IFERROR(IFERROR(VLOOKUP($W59,Regresiones!$W$6:$Y$10,2,1)*$W59+VLOOKUP($W59,Regresiones!$W$6:$Y$10,3,1),VLOOKUP(MIN(DatosHoy[Puntos]),Regresiones!$W$6:$Y$10,2,1)*$W59+VLOOKUP(MIN(DatosHoy[Puntos]),Regresiones!$W$6:$Y$10,3,1)),"NO")</f>
        <v>3528440.0086889477</v>
      </c>
      <c r="Z59" s="15">
        <f ca="1">IFERROR(IFERROR(VLOOKUP($W59,Regresiones!$Z$6:$AB$10,2,1)*$W59+VLOOKUP($W59,Regresiones!$Z$6:$AB$10,3,1),VLOOKUP(MIN(DatosHoy[Puntos]),Regresiones!$Z$6:$AB$10,2,1)*$W59+VLOOKUP(MIN(DatosHoy[Puntos]),Regresiones!$Z$6:$AB$10,3,1)),"NO")</f>
        <v>3530495.5025617885</v>
      </c>
      <c r="AA59" s="3">
        <f t="shared" ca="1" si="9"/>
        <v>0.80122313651084842</v>
      </c>
    </row>
    <row r="60" spans="2:27" x14ac:dyDescent="0.2">
      <c r="B60" s="1">
        <v>55</v>
      </c>
      <c r="C60" s="15">
        <v>2828714.68</v>
      </c>
      <c r="D60" s="15">
        <v>2828714.68</v>
      </c>
      <c r="E60" s="15">
        <v>2828714.68</v>
      </c>
      <c r="F60" s="1" t="s">
        <v>109</v>
      </c>
      <c r="G60" s="1">
        <v>262</v>
      </c>
      <c r="H60" s="1" t="str">
        <f t="shared" si="14"/>
        <v>$G$60</v>
      </c>
      <c r="I60" s="1" t="str">
        <f t="shared" si="15"/>
        <v>$C$60</v>
      </c>
      <c r="J60" s="1" t="str">
        <f t="shared" si="16"/>
        <v>$D$60</v>
      </c>
      <c r="K60" s="1" t="str">
        <f t="shared" si="17"/>
        <v>$E$60</v>
      </c>
      <c r="L60" s="15">
        <f ca="1">IFERROR(VLOOKUP($G60,Regresiones!$E$6:$I$10,4,1)*$G60+VLOOKUP($G60,Regresiones!$E$6:$I$10,5,1),"")</f>
        <v>3500126.1099400287</v>
      </c>
      <c r="M60" s="15">
        <f ca="1">IFERROR(VLOOKUP($G60,Regresiones!$J$6:$N$10,4,1)*$G60+VLOOKUP($G60,Regresiones!$J$6:$N$10,5,1),"")</f>
        <v>3513141.284649088</v>
      </c>
      <c r="N60" s="15">
        <f ca="1">IFERROR(VLOOKUP($G60,Regresiones!$O$6:$S$10,4,1)*$G60+VLOOKUP($G60,Regresiones!$O$6:$S$10,5,1),"")</f>
        <v>3513141.284649088</v>
      </c>
      <c r="O60" s="15">
        <f ca="1">IFERROR(VLOOKUP($G60,Regresiones!$T$6:$V$10,2,1)*$G60+VLOOKUP($G60,Regresiones!$T$6:$V$10,3,1),"")</f>
        <v>3426083.9590456369</v>
      </c>
      <c r="P60" s="15">
        <f ca="1">IFERROR(VLOOKUP($G60,Regresiones!$W$6:$Y$10,2,1)*$G60+VLOOKUP($G60,Regresiones!$W$6:$Y$10,3,1),"")</f>
        <v>3673230.0655195499</v>
      </c>
      <c r="Q60" s="15">
        <f ca="1">IFERROR(VLOOKUP($G60,Regresiones!$Z$6:$AB$10,2,1)*$G60+VLOOKUP($G60,Regresiones!$Z$6:$AB$10,3,1),"")</f>
        <v>3675113.1631320878</v>
      </c>
      <c r="R60" s="15">
        <f>IF($W60=$W61,-1,DatosHoy[[#This Row],[G ajus PM]]-X61)</f>
        <v>-1</v>
      </c>
      <c r="S60" s="15">
        <f>IF($W60=$W61,-1,DatosHoy[[#This Row],[G+V ajus PM]]-Y61)</f>
        <v>-1</v>
      </c>
      <c r="T60" s="15">
        <f>IF($W60=$W61,-1,DatosHoy[[#This Row],[CT ajus PM]]-Z61)</f>
        <v>-1</v>
      </c>
      <c r="U60" s="15">
        <f ca="1">IFERROR(IF(DatosHoy[[#This Row],[G ajus PM]]=DatosHoy[[#This Row],[G+V ajus PM]],-1,DatosHoy[[#This Row],[G ajus PM]]-DatosHoy[[#This Row],[G+V ajus PM]]),"")</f>
        <v>-241070.74361842405</v>
      </c>
      <c r="V60" s="15">
        <f ca="1">IFERROR(IF(DatosHoy[[#This Row],[G+V ajus PM]]=DatosHoy[[#This Row],[CT ajus PM]],-1,DatosHoy[[#This Row],[G+V ajus PM]]-DatosHoy[[#This Row],[CT ajus PM]]),"")</f>
        <v>-2055.4938728408888</v>
      </c>
      <c r="W60" s="15">
        <v>249</v>
      </c>
      <c r="X60" s="15">
        <f ca="1">IFERROR(IFERROR(VLOOKUP($W60,Regresiones!$T$6:$V$10,2,1)*$W60+VLOOKUP($W60,Regresiones!$T$6:$V$10,3,1),VLOOKUP(MIN(DatosHoy[Puntos]),Regresiones!$T$6:$V$10,2,1)*$W60+VLOOKUP(MIN(DatosHoy[Puntos]),Regresiones!$T$6:$V$10,3,1)),"NO")</f>
        <v>3287369.2650705236</v>
      </c>
      <c r="Y60" s="15">
        <f ca="1">IFERROR(IFERROR(VLOOKUP($W60,Regresiones!$W$6:$Y$10,2,1)*$W60+VLOOKUP($W60,Regresiones!$W$6:$Y$10,3,1),VLOOKUP(MIN(DatosHoy[Puntos]),Regresiones!$W$6:$Y$10,2,1)*$W60+VLOOKUP(MIN(DatosHoy[Puntos]),Regresiones!$W$6:$Y$10,3,1)),"NO")</f>
        <v>3528440.0086889477</v>
      </c>
      <c r="Z60" s="15">
        <f ca="1">IFERROR(IFERROR(VLOOKUP($W60,Regresiones!$Z$6:$AB$10,2,1)*$W60+VLOOKUP($W60,Regresiones!$Z$6:$AB$10,3,1),VLOOKUP(MIN(DatosHoy[Puntos]),Regresiones!$Z$6:$AB$10,2,1)*$W60+VLOOKUP(MIN(DatosHoy[Puntos]),Regresiones!$Z$6:$AB$10,3,1)),"NO")</f>
        <v>3530495.5025617885</v>
      </c>
      <c r="AA60" s="3">
        <f t="shared" ca="1" si="9"/>
        <v>0.80122313651084842</v>
      </c>
    </row>
    <row r="61" spans="2:27" x14ac:dyDescent="0.2">
      <c r="B61" s="1">
        <v>56</v>
      </c>
      <c r="C61" s="15">
        <v>2828714.68</v>
      </c>
      <c r="D61" s="15">
        <v>2828714.68</v>
      </c>
      <c r="E61" s="15">
        <v>2828714.68</v>
      </c>
      <c r="F61" s="1" t="s">
        <v>109</v>
      </c>
      <c r="G61" s="1">
        <v>262</v>
      </c>
      <c r="H61" s="1" t="str">
        <f t="shared" si="14"/>
        <v>$G$61</v>
      </c>
      <c r="I61" s="1" t="str">
        <f t="shared" si="15"/>
        <v>$C$61</v>
      </c>
      <c r="J61" s="1" t="str">
        <f t="shared" si="16"/>
        <v>$D$61</v>
      </c>
      <c r="K61" s="1" t="str">
        <f t="shared" si="17"/>
        <v>$E$61</v>
      </c>
      <c r="L61" s="15">
        <f ca="1">IFERROR(VLOOKUP($G61,Regresiones!$E$6:$I$10,4,1)*$G61+VLOOKUP($G61,Regresiones!$E$6:$I$10,5,1),"")</f>
        <v>3500126.1099400287</v>
      </c>
      <c r="M61" s="15">
        <f ca="1">IFERROR(VLOOKUP($G61,Regresiones!$J$6:$N$10,4,1)*$G61+VLOOKUP($G61,Regresiones!$J$6:$N$10,5,1),"")</f>
        <v>3513141.284649088</v>
      </c>
      <c r="N61" s="15">
        <f ca="1">IFERROR(VLOOKUP($G61,Regresiones!$O$6:$S$10,4,1)*$G61+VLOOKUP($G61,Regresiones!$O$6:$S$10,5,1),"")</f>
        <v>3513141.284649088</v>
      </c>
      <c r="O61" s="15">
        <f ca="1">IFERROR(VLOOKUP($G61,Regresiones!$T$6:$V$10,2,1)*$G61+VLOOKUP($G61,Regresiones!$T$6:$V$10,3,1),"")</f>
        <v>3426083.9590456369</v>
      </c>
      <c r="P61" s="15">
        <f ca="1">IFERROR(VLOOKUP($G61,Regresiones!$W$6:$Y$10,2,1)*$G61+VLOOKUP($G61,Regresiones!$W$6:$Y$10,3,1),"")</f>
        <v>3673230.0655195499</v>
      </c>
      <c r="Q61" s="15">
        <f ca="1">IFERROR(VLOOKUP($G61,Regresiones!$Z$6:$AB$10,2,1)*$G61+VLOOKUP($G61,Regresiones!$Z$6:$AB$10,3,1),"")</f>
        <v>3675113.1631320878</v>
      </c>
      <c r="R61" s="15">
        <f ca="1">IF($W61=$W62,-1,DatosHoy[[#This Row],[G ajus PM]]-X62)</f>
        <v>-405473.72085033124</v>
      </c>
      <c r="S61" s="15">
        <f ca="1">IF($W61=$W62,-1,DatosHoy[[#This Row],[G+V ajus PM]]-Y62)</f>
        <v>-423232.47381252935</v>
      </c>
      <c r="T61" s="15">
        <f ca="1">IF($W61=$W62,-1,DatosHoy[[#This Row],[CT ajus PM]]-Z62)</f>
        <v>-422728.54628241342</v>
      </c>
      <c r="U61" s="15">
        <f ca="1">IFERROR(IF(DatosHoy[[#This Row],[G ajus PM]]=DatosHoy[[#This Row],[G+V ajus PM]],-1,DatosHoy[[#This Row],[G ajus PM]]-DatosHoy[[#This Row],[G+V ajus PM]]),"")</f>
        <v>-241070.74361842405</v>
      </c>
      <c r="V61" s="15">
        <f ca="1">IFERROR(IF(DatosHoy[[#This Row],[G+V ajus PM]]=DatosHoy[[#This Row],[CT ajus PM]],-1,DatosHoy[[#This Row],[G+V ajus PM]]-DatosHoy[[#This Row],[CT ajus PM]]),"")</f>
        <v>-2055.4938728408888</v>
      </c>
      <c r="W61" s="15">
        <v>249</v>
      </c>
      <c r="X61" s="15">
        <f ca="1">IFERROR(IFERROR(VLOOKUP($W61,Regresiones!$T$6:$V$10,2,1)*$W61+VLOOKUP($W61,Regresiones!$T$6:$V$10,3,1),VLOOKUP(MIN(DatosHoy[Puntos]),Regresiones!$T$6:$V$10,2,1)*$W61+VLOOKUP(MIN(DatosHoy[Puntos]),Regresiones!$T$6:$V$10,3,1)),"NO")</f>
        <v>3287369.2650705236</v>
      </c>
      <c r="Y61" s="15">
        <f ca="1">IFERROR(IFERROR(VLOOKUP($W61,Regresiones!$W$6:$Y$10,2,1)*$W61+VLOOKUP($W61,Regresiones!$W$6:$Y$10,3,1),VLOOKUP(MIN(DatosHoy[Puntos]),Regresiones!$W$6:$Y$10,2,1)*$W61+VLOOKUP(MIN(DatosHoy[Puntos]),Regresiones!$W$6:$Y$10,3,1)),"NO")</f>
        <v>3528440.0086889477</v>
      </c>
      <c r="Z61" s="15">
        <f ca="1">IFERROR(IFERROR(VLOOKUP($W61,Regresiones!$Z$6:$AB$10,2,1)*$W61+VLOOKUP($W61,Regresiones!$Z$6:$AB$10,3,1),VLOOKUP(MIN(DatosHoy[Puntos]),Regresiones!$Z$6:$AB$10,2,1)*$W61+VLOOKUP(MIN(DatosHoy[Puntos]),Regresiones!$Z$6:$AB$10,3,1)),"NO")</f>
        <v>3530495.5025617885</v>
      </c>
      <c r="AA61" s="3">
        <f t="shared" ca="1" si="9"/>
        <v>0.80122313651084842</v>
      </c>
    </row>
    <row r="62" spans="2:27" x14ac:dyDescent="0.2">
      <c r="B62" s="1">
        <v>57</v>
      </c>
      <c r="C62" s="15">
        <v>2828714.68</v>
      </c>
      <c r="D62" s="15">
        <v>2828714.68</v>
      </c>
      <c r="E62" s="15">
        <v>2828714.68</v>
      </c>
      <c r="F62" s="1" t="s">
        <v>110</v>
      </c>
      <c r="G62" s="1">
        <v>268</v>
      </c>
      <c r="H62" s="1" t="str">
        <f t="shared" si="14"/>
        <v>$G$62</v>
      </c>
      <c r="I62" s="1" t="str">
        <f t="shared" si="15"/>
        <v>$C$62</v>
      </c>
      <c r="J62" s="1" t="str">
        <f t="shared" si="16"/>
        <v>$D$62</v>
      </c>
      <c r="K62" s="1" t="str">
        <f t="shared" si="17"/>
        <v>$E$62</v>
      </c>
      <c r="L62" s="15">
        <f ca="1">IFERROR(VLOOKUP($G62,Regresiones!$E$6:$I$10,4,1)*$G62+VLOOKUP($G62,Regresiones!$E$6:$I$10,5,1),"")</f>
        <v>3576560.1108854129</v>
      </c>
      <c r="M62" s="15">
        <f ca="1">IFERROR(VLOOKUP($G62,Regresiones!$J$6:$N$10,4,1)*$G62+VLOOKUP($G62,Regresiones!$J$6:$N$10,5,1),"")</f>
        <v>3590881.398418054</v>
      </c>
      <c r="N62" s="15">
        <f ca="1">IFERROR(VLOOKUP($G62,Regresiones!$O$6:$S$10,4,1)*$G62+VLOOKUP($G62,Regresiones!$O$6:$S$10,5,1),"")</f>
        <v>3590881.398418054</v>
      </c>
      <c r="O62" s="15">
        <f ca="1">IFERROR(VLOOKUP($G62,Regresiones!$T$6:$V$10,2,1)*$G62+VLOOKUP($G62,Regresiones!$T$6:$V$10,3,1),"")</f>
        <v>3490106.125495689</v>
      </c>
      <c r="P62" s="15">
        <f ca="1">IFERROR(VLOOKUP($G62,Regresiones!$W$6:$Y$10,2,1)*$G62+VLOOKUP($G62,Regresiones!$W$6:$Y$10,3,1),"")</f>
        <v>3740056.2455952121</v>
      </c>
      <c r="Q62" s="15">
        <f ca="1">IFERROR(VLOOKUP($G62,Regresiones!$Z$6:$AB$10,2,1)*$G62+VLOOKUP($G62,Regresiones!$Z$6:$AB$10,3,1),"")</f>
        <v>3741859.7757029952</v>
      </c>
      <c r="R62" s="15">
        <f>IF($W62=$W63,-1,DatosHoy[[#This Row],[G ajus PM]]-X63)</f>
        <v>-1</v>
      </c>
      <c r="S62" s="15">
        <f>IF($W62=$W63,-1,DatosHoy[[#This Row],[G+V ajus PM]]-Y63)</f>
        <v>-1</v>
      </c>
      <c r="T62" s="15">
        <f>IF($W62=$W63,-1,DatosHoy[[#This Row],[CT ajus PM]]-Z63)</f>
        <v>-1</v>
      </c>
      <c r="U62" s="15">
        <f ca="1">IFERROR(IF(DatosHoy[[#This Row],[G ajus PM]]=DatosHoy[[#This Row],[G+V ajus PM]],-1,DatosHoy[[#This Row],[G ajus PM]]-DatosHoy[[#This Row],[G+V ajus PM]]),"")</f>
        <v>-258829.49658062216</v>
      </c>
      <c r="V62" s="15">
        <f ca="1">IFERROR(IF(DatosHoy[[#This Row],[G+V ajus PM]]=DatosHoy[[#This Row],[CT ajus PM]],-1,DatosHoy[[#This Row],[G+V ajus PM]]-DatosHoy[[#This Row],[CT ajus PM]]),"")</f>
        <v>-1551.5663427249528</v>
      </c>
      <c r="W62" s="15">
        <v>287</v>
      </c>
      <c r="X62" s="15">
        <f ca="1">IFERROR(IFERROR(VLOOKUP($W62,Regresiones!$T$6:$V$10,2,1)*$W62+VLOOKUP($W62,Regresiones!$T$6:$V$10,3,1),VLOOKUP(MIN(DatosHoy[Puntos]),Regresiones!$T$6:$V$10,2,1)*$W62+VLOOKUP(MIN(DatosHoy[Puntos]),Regresiones!$T$6:$V$10,3,1)),"NO")</f>
        <v>3692842.9859208548</v>
      </c>
      <c r="Y62" s="15">
        <f ca="1">IFERROR(IFERROR(VLOOKUP($W62,Regresiones!$W$6:$Y$10,2,1)*$W62+VLOOKUP($W62,Regresiones!$W$6:$Y$10,3,1),VLOOKUP(MIN(DatosHoy[Puntos]),Regresiones!$W$6:$Y$10,2,1)*$W62+VLOOKUP(MIN(DatosHoy[Puntos]),Regresiones!$W$6:$Y$10,3,1)),"NO")</f>
        <v>3951672.482501477</v>
      </c>
      <c r="Z62" s="15">
        <f ca="1">IFERROR(IFERROR(VLOOKUP($W62,Regresiones!$Z$6:$AB$10,2,1)*$W62+VLOOKUP($W62,Regresiones!$Z$6:$AB$10,3,1),VLOOKUP(MIN(DatosHoy[Puntos]),Regresiones!$Z$6:$AB$10,2,1)*$W62+VLOOKUP(MIN(DatosHoy[Puntos]),Regresiones!$Z$6:$AB$10,3,1)),"NO")</f>
        <v>3953224.048844202</v>
      </c>
      <c r="AA62" s="3">
        <f t="shared" ca="1" si="9"/>
        <v>0.71554625921772053</v>
      </c>
    </row>
    <row r="63" spans="2:27" x14ac:dyDescent="0.2">
      <c r="B63" s="1">
        <v>58</v>
      </c>
      <c r="C63" s="15">
        <v>2828714.68</v>
      </c>
      <c r="D63" s="15">
        <v>2828714.68</v>
      </c>
      <c r="E63" s="15">
        <v>2828714.68</v>
      </c>
      <c r="F63" s="1" t="s">
        <v>110</v>
      </c>
      <c r="G63" s="1">
        <v>268</v>
      </c>
      <c r="H63" s="1" t="str">
        <f t="shared" si="14"/>
        <v>$G$63</v>
      </c>
      <c r="I63" s="1" t="str">
        <f t="shared" si="15"/>
        <v>$C$63</v>
      </c>
      <c r="J63" s="1" t="str">
        <f t="shared" si="16"/>
        <v>$D$63</v>
      </c>
      <c r="K63" s="1" t="str">
        <f t="shared" si="17"/>
        <v>$E$63</v>
      </c>
      <c r="L63" s="15">
        <f ca="1">IFERROR(VLOOKUP($G63,Regresiones!$E$6:$I$10,4,1)*$G63+VLOOKUP($G63,Regresiones!$E$6:$I$10,5,1),"")</f>
        <v>3576560.1108854129</v>
      </c>
      <c r="M63" s="15">
        <f ca="1">IFERROR(VLOOKUP($G63,Regresiones!$J$6:$N$10,4,1)*$G63+VLOOKUP($G63,Regresiones!$J$6:$N$10,5,1),"")</f>
        <v>3590881.398418054</v>
      </c>
      <c r="N63" s="15">
        <f ca="1">IFERROR(VLOOKUP($G63,Regresiones!$O$6:$S$10,4,1)*$G63+VLOOKUP($G63,Regresiones!$O$6:$S$10,5,1),"")</f>
        <v>3590881.398418054</v>
      </c>
      <c r="O63" s="15">
        <f ca="1">IFERROR(VLOOKUP($G63,Regresiones!$T$6:$V$10,2,1)*$G63+VLOOKUP($G63,Regresiones!$T$6:$V$10,3,1),"")</f>
        <v>3490106.125495689</v>
      </c>
      <c r="P63" s="15">
        <f ca="1">IFERROR(VLOOKUP($G63,Regresiones!$W$6:$Y$10,2,1)*$G63+VLOOKUP($G63,Regresiones!$W$6:$Y$10,3,1),"")</f>
        <v>3740056.2455952121</v>
      </c>
      <c r="Q63" s="15">
        <f ca="1">IFERROR(VLOOKUP($G63,Regresiones!$Z$6:$AB$10,2,1)*$G63+VLOOKUP($G63,Regresiones!$Z$6:$AB$10,3,1),"")</f>
        <v>3741859.7757029952</v>
      </c>
      <c r="R63" s="15">
        <f>IF($W63=$W64,-1,DatosHoy[[#This Row],[G ajus PM]]-X64)</f>
        <v>-1</v>
      </c>
      <c r="S63" s="15">
        <f>IF($W63=$W64,-1,DatosHoy[[#This Row],[G+V ajus PM]]-Y64)</f>
        <v>-1</v>
      </c>
      <c r="T63" s="15">
        <f>IF($W63=$W64,-1,DatosHoy[[#This Row],[CT ajus PM]]-Z64)</f>
        <v>-1</v>
      </c>
      <c r="U63" s="15">
        <f ca="1">IFERROR(IF(DatosHoy[[#This Row],[G ajus PM]]=DatosHoy[[#This Row],[G+V ajus PM]],-1,DatosHoy[[#This Row],[G ajus PM]]-DatosHoy[[#This Row],[G+V ajus PM]]),"")</f>
        <v>-258829.49658062216</v>
      </c>
      <c r="V63" s="15">
        <f ca="1">IFERROR(IF(DatosHoy[[#This Row],[G+V ajus PM]]=DatosHoy[[#This Row],[CT ajus PM]],-1,DatosHoy[[#This Row],[G+V ajus PM]]-DatosHoy[[#This Row],[CT ajus PM]]),"")</f>
        <v>-1551.5663427249528</v>
      </c>
      <c r="W63" s="15">
        <v>287</v>
      </c>
      <c r="X63" s="15">
        <f ca="1">IFERROR(IFERROR(VLOOKUP($W63,Regresiones!$T$6:$V$10,2,1)*$W63+VLOOKUP($W63,Regresiones!$T$6:$V$10,3,1),VLOOKUP(MIN(DatosHoy[Puntos]),Regresiones!$T$6:$V$10,2,1)*$W63+VLOOKUP(MIN(DatosHoy[Puntos]),Regresiones!$T$6:$V$10,3,1)),"NO")</f>
        <v>3692842.9859208548</v>
      </c>
      <c r="Y63" s="15">
        <f ca="1">IFERROR(IFERROR(VLOOKUP($W63,Regresiones!$W$6:$Y$10,2,1)*$W63+VLOOKUP($W63,Regresiones!$W$6:$Y$10,3,1),VLOOKUP(MIN(DatosHoy[Puntos]),Regresiones!$W$6:$Y$10,2,1)*$W63+VLOOKUP(MIN(DatosHoy[Puntos]),Regresiones!$W$6:$Y$10,3,1)),"NO")</f>
        <v>3951672.482501477</v>
      </c>
      <c r="Z63" s="15">
        <f ca="1">IFERROR(IFERROR(VLOOKUP($W63,Regresiones!$Z$6:$AB$10,2,1)*$W63+VLOOKUP($W63,Regresiones!$Z$6:$AB$10,3,1),VLOOKUP(MIN(DatosHoy[Puntos]),Regresiones!$Z$6:$AB$10,2,1)*$W63+VLOOKUP(MIN(DatosHoy[Puntos]),Regresiones!$Z$6:$AB$10,3,1)),"NO")</f>
        <v>3953224.048844202</v>
      </c>
      <c r="AA63" s="3">
        <f t="shared" ca="1" si="9"/>
        <v>0.71554625921772053</v>
      </c>
    </row>
    <row r="64" spans="2:27" x14ac:dyDescent="0.2">
      <c r="B64" s="1">
        <v>59</v>
      </c>
      <c r="C64" s="15">
        <v>3353509.5000000005</v>
      </c>
      <c r="D64" s="15">
        <v>3353509.5000000005</v>
      </c>
      <c r="E64" s="15">
        <v>3353509.5000000005</v>
      </c>
      <c r="F64" s="1" t="s">
        <v>111</v>
      </c>
      <c r="G64" s="1">
        <v>273</v>
      </c>
      <c r="H64" s="1" t="str">
        <f t="shared" si="14"/>
        <v>$G$64</v>
      </c>
      <c r="I64" s="1" t="str">
        <f t="shared" si="15"/>
        <v>$C$64</v>
      </c>
      <c r="J64" s="1" t="str">
        <f t="shared" si="16"/>
        <v>$D$64</v>
      </c>
      <c r="K64" s="1" t="str">
        <f t="shared" si="17"/>
        <v>$E$64</v>
      </c>
      <c r="L64" s="15">
        <f ca="1">IFERROR(VLOOKUP($G64,Regresiones!$E$6:$I$10,4,1)*$G64+VLOOKUP($G64,Regresiones!$E$6:$I$10,5,1),"")</f>
        <v>3640255.1116732326</v>
      </c>
      <c r="M64" s="15">
        <f ca="1">IFERROR(VLOOKUP($G64,Regresiones!$J$6:$N$10,4,1)*$G64+VLOOKUP($G64,Regresiones!$J$6:$N$10,5,1),"")</f>
        <v>3655664.8265588591</v>
      </c>
      <c r="N64" s="15">
        <f ca="1">IFERROR(VLOOKUP($G64,Regresiones!$O$6:$S$10,4,1)*$G64+VLOOKUP($G64,Regresiones!$O$6:$S$10,5,1),"")</f>
        <v>3655664.8265588591</v>
      </c>
      <c r="O64" s="15">
        <f ca="1">IFERROR(VLOOKUP($G64,Regresiones!$T$6:$V$10,2,1)*$G64+VLOOKUP($G64,Regresiones!$T$6:$V$10,3,1),"")</f>
        <v>3543457.9308707328</v>
      </c>
      <c r="P64" s="15">
        <f ca="1">IFERROR(VLOOKUP($G64,Regresiones!$W$6:$Y$10,2,1)*$G64+VLOOKUP($G64,Regresiones!$W$6:$Y$10,3,1),"")</f>
        <v>3795744.7289915979</v>
      </c>
      <c r="Q64" s="15">
        <f ca="1">IFERROR(VLOOKUP($G64,Regresiones!$Z$6:$AB$10,2,1)*$G64+VLOOKUP($G64,Regresiones!$Z$6:$AB$10,3,1),"")</f>
        <v>3797481.9528454179</v>
      </c>
      <c r="R64" s="15">
        <f>IF($W64=$W65,-1,DatosHoy[[#This Row],[G ajus PM]]-X65)</f>
        <v>-1</v>
      </c>
      <c r="S64" s="15">
        <f>IF($W64=$W65,-1,DatosHoy[[#This Row],[G+V ajus PM]]-Y65)</f>
        <v>-1</v>
      </c>
      <c r="T64" s="15">
        <f>IF($W64=$W65,-1,DatosHoy[[#This Row],[CT ajus PM]]-Z65)</f>
        <v>-1</v>
      </c>
      <c r="U64" s="15">
        <f ca="1">IFERROR(IF(DatosHoy[[#This Row],[G ajus PM]]=DatosHoy[[#This Row],[G+V ajus PM]],-1,DatosHoy[[#This Row],[G ajus PM]]-DatosHoy[[#This Row],[G+V ajus PM]]),"")</f>
        <v>-258829.49658062216</v>
      </c>
      <c r="V64" s="15">
        <f ca="1">IFERROR(IF(DatosHoy[[#This Row],[G+V ajus PM]]=DatosHoy[[#This Row],[CT ajus PM]],-1,DatosHoy[[#This Row],[G+V ajus PM]]-DatosHoy[[#This Row],[CT ajus PM]]),"")</f>
        <v>-1551.5663427249528</v>
      </c>
      <c r="W64" s="15">
        <v>287</v>
      </c>
      <c r="X64" s="15">
        <f ca="1">IFERROR(IFERROR(VLOOKUP($W64,Regresiones!$T$6:$V$10,2,1)*$W64+VLOOKUP($W64,Regresiones!$T$6:$V$10,3,1),VLOOKUP(MIN(DatosHoy[Puntos]),Regresiones!$T$6:$V$10,2,1)*$W64+VLOOKUP(MIN(DatosHoy[Puntos]),Regresiones!$T$6:$V$10,3,1)),"NO")</f>
        <v>3692842.9859208548</v>
      </c>
      <c r="Y64" s="15">
        <f ca="1">IFERROR(IFERROR(VLOOKUP($W64,Regresiones!$W$6:$Y$10,2,1)*$W64+VLOOKUP($W64,Regresiones!$W$6:$Y$10,3,1),VLOOKUP(MIN(DatosHoy[Puntos]),Regresiones!$W$6:$Y$10,2,1)*$W64+VLOOKUP(MIN(DatosHoy[Puntos]),Regresiones!$W$6:$Y$10,3,1)),"NO")</f>
        <v>3951672.482501477</v>
      </c>
      <c r="Z64" s="15">
        <f ca="1">IFERROR(IFERROR(VLOOKUP($W64,Regresiones!$Z$6:$AB$10,2,1)*$W64+VLOOKUP($W64,Regresiones!$Z$6:$AB$10,3,1),VLOOKUP(MIN(DatosHoy[Puntos]),Regresiones!$Z$6:$AB$10,2,1)*$W64+VLOOKUP(MIN(DatosHoy[Puntos]),Regresiones!$Z$6:$AB$10,3,1)),"NO")</f>
        <v>3953224.048844202</v>
      </c>
      <c r="AA64" s="3">
        <f t="shared" ca="1" si="9"/>
        <v>0.84829735389788008</v>
      </c>
    </row>
    <row r="65" spans="2:27" x14ac:dyDescent="0.2">
      <c r="B65" s="1">
        <v>60</v>
      </c>
      <c r="C65" s="15">
        <v>3353509.5000000005</v>
      </c>
      <c r="D65" s="15">
        <v>3353509.5000000005</v>
      </c>
      <c r="E65" s="15">
        <v>3353509.5000000005</v>
      </c>
      <c r="F65" s="1" t="s">
        <v>111</v>
      </c>
      <c r="G65" s="1">
        <v>273</v>
      </c>
      <c r="H65" s="1" t="str">
        <f t="shared" si="14"/>
        <v>$G$65</v>
      </c>
      <c r="I65" s="1" t="str">
        <f t="shared" si="15"/>
        <v>$C$65</v>
      </c>
      <c r="J65" s="1" t="str">
        <f t="shared" si="16"/>
        <v>$D$65</v>
      </c>
      <c r="K65" s="1" t="str">
        <f t="shared" si="17"/>
        <v>$E$65</v>
      </c>
      <c r="L65" s="15">
        <f ca="1">IFERROR(VLOOKUP($G65,Regresiones!$E$6:$I$10,4,1)*$G65+VLOOKUP($G65,Regresiones!$E$6:$I$10,5,1),"")</f>
        <v>3640255.1116732326</v>
      </c>
      <c r="M65" s="15">
        <f ca="1">IFERROR(VLOOKUP($G65,Regresiones!$J$6:$N$10,4,1)*$G65+VLOOKUP($G65,Regresiones!$J$6:$N$10,5,1),"")</f>
        <v>3655664.8265588591</v>
      </c>
      <c r="N65" s="15">
        <f ca="1">IFERROR(VLOOKUP($G65,Regresiones!$O$6:$S$10,4,1)*$G65+VLOOKUP($G65,Regresiones!$O$6:$S$10,5,1),"")</f>
        <v>3655664.8265588591</v>
      </c>
      <c r="O65" s="15">
        <f ca="1">IFERROR(VLOOKUP($G65,Regresiones!$T$6:$V$10,2,1)*$G65+VLOOKUP($G65,Regresiones!$T$6:$V$10,3,1),"")</f>
        <v>3543457.9308707328</v>
      </c>
      <c r="P65" s="15">
        <f ca="1">IFERROR(VLOOKUP($G65,Regresiones!$W$6:$Y$10,2,1)*$G65+VLOOKUP($G65,Regresiones!$W$6:$Y$10,3,1),"")</f>
        <v>3795744.7289915979</v>
      </c>
      <c r="Q65" s="15">
        <f ca="1">IFERROR(VLOOKUP($G65,Regresiones!$Z$6:$AB$10,2,1)*$G65+VLOOKUP($G65,Regresiones!$Z$6:$AB$10,3,1),"")</f>
        <v>3797481.9528454179</v>
      </c>
      <c r="R65" s="15">
        <f>IF($W65=$W66,-1,DatosHoy[[#This Row],[G ajus PM]]-X66)</f>
        <v>-1</v>
      </c>
      <c r="S65" s="15">
        <f>IF($W65=$W66,-1,DatosHoy[[#This Row],[G+V ajus PM]]-Y66)</f>
        <v>-1</v>
      </c>
      <c r="T65" s="15">
        <f>IF($W65=$W66,-1,DatosHoy[[#This Row],[CT ajus PM]]-Z66)</f>
        <v>-1</v>
      </c>
      <c r="U65" s="15">
        <f ca="1">IFERROR(IF(DatosHoy[[#This Row],[G ajus PM]]=DatosHoy[[#This Row],[G+V ajus PM]],-1,DatosHoy[[#This Row],[G ajus PM]]-DatosHoy[[#This Row],[G+V ajus PM]]),"")</f>
        <v>-258829.49658062216</v>
      </c>
      <c r="V65" s="15">
        <f ca="1">IFERROR(IF(DatosHoy[[#This Row],[G+V ajus PM]]=DatosHoy[[#This Row],[CT ajus PM]],-1,DatosHoy[[#This Row],[G+V ajus PM]]-DatosHoy[[#This Row],[CT ajus PM]]),"")</f>
        <v>-1551.5663427249528</v>
      </c>
      <c r="W65" s="15">
        <v>287</v>
      </c>
      <c r="X65" s="15">
        <f ca="1">IFERROR(IFERROR(VLOOKUP($W65,Regresiones!$T$6:$V$10,2,1)*$W65+VLOOKUP($W65,Regresiones!$T$6:$V$10,3,1),VLOOKUP(MIN(DatosHoy[Puntos]),Regresiones!$T$6:$V$10,2,1)*$W65+VLOOKUP(MIN(DatosHoy[Puntos]),Regresiones!$T$6:$V$10,3,1)),"NO")</f>
        <v>3692842.9859208548</v>
      </c>
      <c r="Y65" s="15">
        <f ca="1">IFERROR(IFERROR(VLOOKUP($W65,Regresiones!$W$6:$Y$10,2,1)*$W65+VLOOKUP($W65,Regresiones!$W$6:$Y$10,3,1),VLOOKUP(MIN(DatosHoy[Puntos]),Regresiones!$W$6:$Y$10,2,1)*$W65+VLOOKUP(MIN(DatosHoy[Puntos]),Regresiones!$W$6:$Y$10,3,1)),"NO")</f>
        <v>3951672.482501477</v>
      </c>
      <c r="Z65" s="15">
        <f ca="1">IFERROR(IFERROR(VLOOKUP($W65,Regresiones!$Z$6:$AB$10,2,1)*$W65+VLOOKUP($W65,Regresiones!$Z$6:$AB$10,3,1),VLOOKUP(MIN(DatosHoy[Puntos]),Regresiones!$Z$6:$AB$10,2,1)*$W65+VLOOKUP(MIN(DatosHoy[Puntos]),Regresiones!$Z$6:$AB$10,3,1)),"NO")</f>
        <v>3953224.048844202</v>
      </c>
      <c r="AA65" s="3">
        <f t="shared" ca="1" si="9"/>
        <v>0.84829735389788008</v>
      </c>
    </row>
    <row r="66" spans="2:27" x14ac:dyDescent="0.2">
      <c r="B66" s="1">
        <v>61</v>
      </c>
      <c r="C66" s="15">
        <v>3353509.5000000005</v>
      </c>
      <c r="D66" s="15">
        <v>3353509.5000000005</v>
      </c>
      <c r="E66" s="15">
        <v>3353509.5000000005</v>
      </c>
      <c r="F66" s="1" t="s">
        <v>111</v>
      </c>
      <c r="G66" s="1">
        <v>273</v>
      </c>
      <c r="H66" s="1" t="str">
        <f t="shared" si="14"/>
        <v>$G$66</v>
      </c>
      <c r="I66" s="1" t="str">
        <f t="shared" si="15"/>
        <v>$C$66</v>
      </c>
      <c r="J66" s="1" t="str">
        <f t="shared" si="16"/>
        <v>$D$66</v>
      </c>
      <c r="K66" s="1" t="str">
        <f t="shared" si="17"/>
        <v>$E$66</v>
      </c>
      <c r="L66" s="15">
        <f ca="1">IFERROR(VLOOKUP($G66,Regresiones!$E$6:$I$10,4,1)*$G66+VLOOKUP($G66,Regresiones!$E$6:$I$10,5,1),"")</f>
        <v>3640255.1116732326</v>
      </c>
      <c r="M66" s="15">
        <f ca="1">IFERROR(VLOOKUP($G66,Regresiones!$J$6:$N$10,4,1)*$G66+VLOOKUP($G66,Regresiones!$J$6:$N$10,5,1),"")</f>
        <v>3655664.8265588591</v>
      </c>
      <c r="N66" s="15">
        <f ca="1">IFERROR(VLOOKUP($G66,Regresiones!$O$6:$S$10,4,1)*$G66+VLOOKUP($G66,Regresiones!$O$6:$S$10,5,1),"")</f>
        <v>3655664.8265588591</v>
      </c>
      <c r="O66" s="15">
        <f ca="1">IFERROR(VLOOKUP($G66,Regresiones!$T$6:$V$10,2,1)*$G66+VLOOKUP($G66,Regresiones!$T$6:$V$10,3,1),"")</f>
        <v>3543457.9308707328</v>
      </c>
      <c r="P66" s="15">
        <f ca="1">IFERROR(VLOOKUP($G66,Regresiones!$W$6:$Y$10,2,1)*$G66+VLOOKUP($G66,Regresiones!$W$6:$Y$10,3,1),"")</f>
        <v>3795744.7289915979</v>
      </c>
      <c r="Q66" s="15">
        <f ca="1">IFERROR(VLOOKUP($G66,Regresiones!$Z$6:$AB$10,2,1)*$G66+VLOOKUP($G66,Regresiones!$Z$6:$AB$10,3,1),"")</f>
        <v>3797481.9528454179</v>
      </c>
      <c r="R66" s="15">
        <f>IF($W66=$W67,-1,DatosHoy[[#This Row],[G ajus PM]]-X67)</f>
        <v>-1</v>
      </c>
      <c r="S66" s="15">
        <f>IF($W66=$W67,-1,DatosHoy[[#This Row],[G+V ajus PM]]-Y67)</f>
        <v>-1</v>
      </c>
      <c r="T66" s="15">
        <f>IF($W66=$W67,-1,DatosHoy[[#This Row],[CT ajus PM]]-Z67)</f>
        <v>-1</v>
      </c>
      <c r="U66" s="15">
        <f ca="1">IFERROR(IF(DatosHoy[[#This Row],[G ajus PM]]=DatosHoy[[#This Row],[G+V ajus PM]],-1,DatosHoy[[#This Row],[G ajus PM]]-DatosHoy[[#This Row],[G+V ajus PM]]),"")</f>
        <v>-258829.49658062216</v>
      </c>
      <c r="V66" s="15">
        <f ca="1">IFERROR(IF(DatosHoy[[#This Row],[G+V ajus PM]]=DatosHoy[[#This Row],[CT ajus PM]],-1,DatosHoy[[#This Row],[G+V ajus PM]]-DatosHoy[[#This Row],[CT ajus PM]]),"")</f>
        <v>-1551.5663427249528</v>
      </c>
      <c r="W66" s="15">
        <v>287</v>
      </c>
      <c r="X66" s="15">
        <f ca="1">IFERROR(IFERROR(VLOOKUP($W66,Regresiones!$T$6:$V$10,2,1)*$W66+VLOOKUP($W66,Regresiones!$T$6:$V$10,3,1),VLOOKUP(MIN(DatosHoy[Puntos]),Regresiones!$T$6:$V$10,2,1)*$W66+VLOOKUP(MIN(DatosHoy[Puntos]),Regresiones!$T$6:$V$10,3,1)),"NO")</f>
        <v>3692842.9859208548</v>
      </c>
      <c r="Y66" s="15">
        <f ca="1">IFERROR(IFERROR(VLOOKUP($W66,Regresiones!$W$6:$Y$10,2,1)*$W66+VLOOKUP($W66,Regresiones!$W$6:$Y$10,3,1),VLOOKUP(MIN(DatosHoy[Puntos]),Regresiones!$W$6:$Y$10,2,1)*$W66+VLOOKUP(MIN(DatosHoy[Puntos]),Regresiones!$W$6:$Y$10,3,1)),"NO")</f>
        <v>3951672.482501477</v>
      </c>
      <c r="Z66" s="15">
        <f ca="1">IFERROR(IFERROR(VLOOKUP($W66,Regresiones!$Z$6:$AB$10,2,1)*$W66+VLOOKUP($W66,Regresiones!$Z$6:$AB$10,3,1),VLOOKUP(MIN(DatosHoy[Puntos]),Regresiones!$Z$6:$AB$10,2,1)*$W66+VLOOKUP(MIN(DatosHoy[Puntos]),Regresiones!$Z$6:$AB$10,3,1)),"NO")</f>
        <v>3953224.048844202</v>
      </c>
      <c r="AA66" s="3">
        <f t="shared" ca="1" si="9"/>
        <v>0.84829735389788008</v>
      </c>
    </row>
    <row r="67" spans="2:27" x14ac:dyDescent="0.2">
      <c r="B67" s="1">
        <v>62</v>
      </c>
      <c r="C67" s="15">
        <v>3353509.5000000005</v>
      </c>
      <c r="D67" s="15">
        <v>3353509.5000000005</v>
      </c>
      <c r="E67" s="15">
        <v>3353509.5000000005</v>
      </c>
      <c r="F67" s="1" t="s">
        <v>111</v>
      </c>
      <c r="G67" s="1">
        <v>273</v>
      </c>
      <c r="H67" s="1" t="str">
        <f t="shared" si="14"/>
        <v>$G$67</v>
      </c>
      <c r="I67" s="1" t="str">
        <f t="shared" si="15"/>
        <v>$C$67</v>
      </c>
      <c r="J67" s="1" t="str">
        <f t="shared" si="16"/>
        <v>$D$67</v>
      </c>
      <c r="K67" s="1" t="str">
        <f t="shared" si="17"/>
        <v>$E$67</v>
      </c>
      <c r="L67" s="15">
        <f ca="1">IFERROR(VLOOKUP($G67,Regresiones!$E$6:$I$10,4,1)*$G67+VLOOKUP($G67,Regresiones!$E$6:$I$10,5,1),"")</f>
        <v>3640255.1116732326</v>
      </c>
      <c r="M67" s="15">
        <f ca="1">IFERROR(VLOOKUP($G67,Regresiones!$J$6:$N$10,4,1)*$G67+VLOOKUP($G67,Regresiones!$J$6:$N$10,5,1),"")</f>
        <v>3655664.8265588591</v>
      </c>
      <c r="N67" s="15">
        <f ca="1">IFERROR(VLOOKUP($G67,Regresiones!$O$6:$S$10,4,1)*$G67+VLOOKUP($G67,Regresiones!$O$6:$S$10,5,1),"")</f>
        <v>3655664.8265588591</v>
      </c>
      <c r="O67" s="15">
        <f ca="1">IFERROR(VLOOKUP($G67,Regresiones!$T$6:$V$10,2,1)*$G67+VLOOKUP($G67,Regresiones!$T$6:$V$10,3,1),"")</f>
        <v>3543457.9308707328</v>
      </c>
      <c r="P67" s="15">
        <f ca="1">IFERROR(VLOOKUP($G67,Regresiones!$W$6:$Y$10,2,1)*$G67+VLOOKUP($G67,Regresiones!$W$6:$Y$10,3,1),"")</f>
        <v>3795744.7289915979</v>
      </c>
      <c r="Q67" s="15">
        <f ca="1">IFERROR(VLOOKUP($G67,Regresiones!$Z$6:$AB$10,2,1)*$G67+VLOOKUP($G67,Regresiones!$Z$6:$AB$10,3,1),"")</f>
        <v>3797481.9528454179</v>
      </c>
      <c r="R67" s="15">
        <f>IF($W67=$W68,-1,DatosHoy[[#This Row],[G ajus PM]]-X68)</f>
        <v>-1</v>
      </c>
      <c r="S67" s="15">
        <f>IF($W67=$W68,-1,DatosHoy[[#This Row],[G+V ajus PM]]-Y68)</f>
        <v>-1</v>
      </c>
      <c r="T67" s="15">
        <f>IF($W67=$W68,-1,DatosHoy[[#This Row],[CT ajus PM]]-Z68)</f>
        <v>-1</v>
      </c>
      <c r="U67" s="15">
        <f ca="1">IFERROR(IF(DatosHoy[[#This Row],[G ajus PM]]=DatosHoy[[#This Row],[G+V ajus PM]],-1,DatosHoy[[#This Row],[G ajus PM]]-DatosHoy[[#This Row],[G+V ajus PM]]),"")</f>
        <v>-258829.49658062216</v>
      </c>
      <c r="V67" s="15">
        <f ca="1">IFERROR(IF(DatosHoy[[#This Row],[G+V ajus PM]]=DatosHoy[[#This Row],[CT ajus PM]],-1,DatosHoy[[#This Row],[G+V ajus PM]]-DatosHoy[[#This Row],[CT ajus PM]]),"")</f>
        <v>-1551.5663427249528</v>
      </c>
      <c r="W67" s="15">
        <v>287</v>
      </c>
      <c r="X67" s="15">
        <f ca="1">IFERROR(IFERROR(VLOOKUP($W67,Regresiones!$T$6:$V$10,2,1)*$W67+VLOOKUP($W67,Regresiones!$T$6:$V$10,3,1),VLOOKUP(MIN(DatosHoy[Puntos]),Regresiones!$T$6:$V$10,2,1)*$W67+VLOOKUP(MIN(DatosHoy[Puntos]),Regresiones!$T$6:$V$10,3,1)),"NO")</f>
        <v>3692842.9859208548</v>
      </c>
      <c r="Y67" s="15">
        <f ca="1">IFERROR(IFERROR(VLOOKUP($W67,Regresiones!$W$6:$Y$10,2,1)*$W67+VLOOKUP($W67,Regresiones!$W$6:$Y$10,3,1),VLOOKUP(MIN(DatosHoy[Puntos]),Regresiones!$W$6:$Y$10,2,1)*$W67+VLOOKUP(MIN(DatosHoy[Puntos]),Regresiones!$W$6:$Y$10,3,1)),"NO")</f>
        <v>3951672.482501477</v>
      </c>
      <c r="Z67" s="15">
        <f ca="1">IFERROR(IFERROR(VLOOKUP($W67,Regresiones!$Z$6:$AB$10,2,1)*$W67+VLOOKUP($W67,Regresiones!$Z$6:$AB$10,3,1),VLOOKUP(MIN(DatosHoy[Puntos]),Regresiones!$Z$6:$AB$10,2,1)*$W67+VLOOKUP(MIN(DatosHoy[Puntos]),Regresiones!$Z$6:$AB$10,3,1)),"NO")</f>
        <v>3953224.048844202</v>
      </c>
      <c r="AA67" s="3">
        <f t="shared" ca="1" si="9"/>
        <v>0.84829735389788008</v>
      </c>
    </row>
    <row r="68" spans="2:27" x14ac:dyDescent="0.2">
      <c r="B68" s="1">
        <v>63</v>
      </c>
      <c r="C68" s="15">
        <v>3353509.5000000005</v>
      </c>
      <c r="D68" s="15">
        <v>3353509.5000000005</v>
      </c>
      <c r="E68" s="15">
        <v>3353509.5000000005</v>
      </c>
      <c r="F68" s="1" t="s">
        <v>111</v>
      </c>
      <c r="G68" s="1">
        <v>273</v>
      </c>
      <c r="H68" s="1" t="str">
        <f t="shared" si="14"/>
        <v>$G$68</v>
      </c>
      <c r="I68" s="1" t="str">
        <f t="shared" si="15"/>
        <v>$C$68</v>
      </c>
      <c r="J68" s="1" t="str">
        <f t="shared" si="16"/>
        <v>$D$68</v>
      </c>
      <c r="K68" s="1" t="str">
        <f t="shared" si="17"/>
        <v>$E$68</v>
      </c>
      <c r="L68" s="15">
        <f ca="1">IFERROR(VLOOKUP($G68,Regresiones!$E$6:$I$10,4,1)*$G68+VLOOKUP($G68,Regresiones!$E$6:$I$10,5,1),"")</f>
        <v>3640255.1116732326</v>
      </c>
      <c r="M68" s="15">
        <f ca="1">IFERROR(VLOOKUP($G68,Regresiones!$J$6:$N$10,4,1)*$G68+VLOOKUP($G68,Regresiones!$J$6:$N$10,5,1),"")</f>
        <v>3655664.8265588591</v>
      </c>
      <c r="N68" s="15">
        <f ca="1">IFERROR(VLOOKUP($G68,Regresiones!$O$6:$S$10,4,1)*$G68+VLOOKUP($G68,Regresiones!$O$6:$S$10,5,1),"")</f>
        <v>3655664.8265588591</v>
      </c>
      <c r="O68" s="15">
        <f ca="1">IFERROR(VLOOKUP($G68,Regresiones!$T$6:$V$10,2,1)*$G68+VLOOKUP($G68,Regresiones!$T$6:$V$10,3,1),"")</f>
        <v>3543457.9308707328</v>
      </c>
      <c r="P68" s="15">
        <f ca="1">IFERROR(VLOOKUP($G68,Regresiones!$W$6:$Y$10,2,1)*$G68+VLOOKUP($G68,Regresiones!$W$6:$Y$10,3,1),"")</f>
        <v>3795744.7289915979</v>
      </c>
      <c r="Q68" s="15">
        <f ca="1">IFERROR(VLOOKUP($G68,Regresiones!$Z$6:$AB$10,2,1)*$G68+VLOOKUP($G68,Regresiones!$Z$6:$AB$10,3,1),"")</f>
        <v>3797481.9528454179</v>
      </c>
      <c r="R68" s="15">
        <f>IF($W68=$W69,-1,DatosHoy[[#This Row],[G ajus PM]]-X69)</f>
        <v>-1</v>
      </c>
      <c r="S68" s="15">
        <f>IF($W68=$W69,-1,DatosHoy[[#This Row],[G+V ajus PM]]-Y69)</f>
        <v>-1</v>
      </c>
      <c r="T68" s="15">
        <f>IF($W68=$W69,-1,DatosHoy[[#This Row],[CT ajus PM]]-Z69)</f>
        <v>-1</v>
      </c>
      <c r="U68" s="15">
        <f ca="1">IFERROR(IF(DatosHoy[[#This Row],[G ajus PM]]=DatosHoy[[#This Row],[G+V ajus PM]],-1,DatosHoy[[#This Row],[G ajus PM]]-DatosHoy[[#This Row],[G+V ajus PM]]),"")</f>
        <v>-258829.49658062216</v>
      </c>
      <c r="V68" s="15">
        <f ca="1">IFERROR(IF(DatosHoy[[#This Row],[G+V ajus PM]]=DatosHoy[[#This Row],[CT ajus PM]],-1,DatosHoy[[#This Row],[G+V ajus PM]]-DatosHoy[[#This Row],[CT ajus PM]]),"")</f>
        <v>-1551.5663427249528</v>
      </c>
      <c r="W68" s="15">
        <v>287</v>
      </c>
      <c r="X68" s="15">
        <f ca="1">IFERROR(IFERROR(VLOOKUP($W68,Regresiones!$T$6:$V$10,2,1)*$W68+VLOOKUP($W68,Regresiones!$T$6:$V$10,3,1),VLOOKUP(MIN(DatosHoy[Puntos]),Regresiones!$T$6:$V$10,2,1)*$W68+VLOOKUP(MIN(DatosHoy[Puntos]),Regresiones!$T$6:$V$10,3,1)),"NO")</f>
        <v>3692842.9859208548</v>
      </c>
      <c r="Y68" s="15">
        <f ca="1">IFERROR(IFERROR(VLOOKUP($W68,Regresiones!$W$6:$Y$10,2,1)*$W68+VLOOKUP($W68,Regresiones!$W$6:$Y$10,3,1),VLOOKUP(MIN(DatosHoy[Puntos]),Regresiones!$W$6:$Y$10,2,1)*$W68+VLOOKUP(MIN(DatosHoy[Puntos]),Regresiones!$W$6:$Y$10,3,1)),"NO")</f>
        <v>3951672.482501477</v>
      </c>
      <c r="Z68" s="15">
        <f ca="1">IFERROR(IFERROR(VLOOKUP($W68,Regresiones!$Z$6:$AB$10,2,1)*$W68+VLOOKUP($W68,Regresiones!$Z$6:$AB$10,3,1),VLOOKUP(MIN(DatosHoy[Puntos]),Regresiones!$Z$6:$AB$10,2,1)*$W68+VLOOKUP(MIN(DatosHoy[Puntos]),Regresiones!$Z$6:$AB$10,3,1)),"NO")</f>
        <v>3953224.048844202</v>
      </c>
      <c r="AA68" s="3">
        <f t="shared" ca="1" si="9"/>
        <v>0.84829735389788008</v>
      </c>
    </row>
    <row r="69" spans="2:27" x14ac:dyDescent="0.2">
      <c r="B69" s="1">
        <v>64</v>
      </c>
      <c r="C69" s="15">
        <v>3353509.5000000005</v>
      </c>
      <c r="D69" s="15">
        <v>3353509.5000000005</v>
      </c>
      <c r="E69" s="15">
        <v>3353509.5000000005</v>
      </c>
      <c r="F69" s="1" t="s">
        <v>111</v>
      </c>
      <c r="G69" s="1">
        <v>273</v>
      </c>
      <c r="H69" s="1" t="str">
        <f t="shared" si="14"/>
        <v>$G$69</v>
      </c>
      <c r="I69" s="1" t="str">
        <f t="shared" si="15"/>
        <v>$C$69</v>
      </c>
      <c r="J69" s="1" t="str">
        <f t="shared" si="16"/>
        <v>$D$69</v>
      </c>
      <c r="K69" s="1" t="str">
        <f t="shared" si="17"/>
        <v>$E$69</v>
      </c>
      <c r="L69" s="15">
        <f ca="1">IFERROR(VLOOKUP($G69,Regresiones!$E$6:$I$10,4,1)*$G69+VLOOKUP($G69,Regresiones!$E$6:$I$10,5,1),"")</f>
        <v>3640255.1116732326</v>
      </c>
      <c r="M69" s="15">
        <f ca="1">IFERROR(VLOOKUP($G69,Regresiones!$J$6:$N$10,4,1)*$G69+VLOOKUP($G69,Regresiones!$J$6:$N$10,5,1),"")</f>
        <v>3655664.8265588591</v>
      </c>
      <c r="N69" s="15">
        <f ca="1">IFERROR(VLOOKUP($G69,Regresiones!$O$6:$S$10,4,1)*$G69+VLOOKUP($G69,Regresiones!$O$6:$S$10,5,1),"")</f>
        <v>3655664.8265588591</v>
      </c>
      <c r="O69" s="15">
        <f ca="1">IFERROR(VLOOKUP($G69,Regresiones!$T$6:$V$10,2,1)*$G69+VLOOKUP($G69,Regresiones!$T$6:$V$10,3,1),"")</f>
        <v>3543457.9308707328</v>
      </c>
      <c r="P69" s="15">
        <f ca="1">IFERROR(VLOOKUP($G69,Regresiones!$W$6:$Y$10,2,1)*$G69+VLOOKUP($G69,Regresiones!$W$6:$Y$10,3,1),"")</f>
        <v>3795744.7289915979</v>
      </c>
      <c r="Q69" s="15">
        <f ca="1">IFERROR(VLOOKUP($G69,Regresiones!$Z$6:$AB$10,2,1)*$G69+VLOOKUP($G69,Regresiones!$Z$6:$AB$10,3,1),"")</f>
        <v>3797481.9528454179</v>
      </c>
      <c r="R69" s="15">
        <f>IF($W69=$W70,-1,DatosHoy[[#This Row],[G ajus PM]]-X70)</f>
        <v>-1</v>
      </c>
      <c r="S69" s="15">
        <f>IF($W69=$W70,-1,DatosHoy[[#This Row],[G+V ajus PM]]-Y70)</f>
        <v>-1</v>
      </c>
      <c r="T69" s="15">
        <f>IF($W69=$W70,-1,DatosHoy[[#This Row],[CT ajus PM]]-Z70)</f>
        <v>-1</v>
      </c>
      <c r="U69" s="15">
        <f ca="1">IFERROR(IF(DatosHoy[[#This Row],[G ajus PM]]=DatosHoy[[#This Row],[G+V ajus PM]],-1,DatosHoy[[#This Row],[G ajus PM]]-DatosHoy[[#This Row],[G+V ajus PM]]),"")</f>
        <v>-258829.49658062216</v>
      </c>
      <c r="V69" s="15">
        <f ca="1">IFERROR(IF(DatosHoy[[#This Row],[G+V ajus PM]]=DatosHoy[[#This Row],[CT ajus PM]],-1,DatosHoy[[#This Row],[G+V ajus PM]]-DatosHoy[[#This Row],[CT ajus PM]]),"")</f>
        <v>-1551.5663427249528</v>
      </c>
      <c r="W69" s="15">
        <v>287</v>
      </c>
      <c r="X69" s="15">
        <f ca="1">IFERROR(IFERROR(VLOOKUP($W69,Regresiones!$T$6:$V$10,2,1)*$W69+VLOOKUP($W69,Regresiones!$T$6:$V$10,3,1),VLOOKUP(MIN(DatosHoy[Puntos]),Regresiones!$T$6:$V$10,2,1)*$W69+VLOOKUP(MIN(DatosHoy[Puntos]),Regresiones!$T$6:$V$10,3,1)),"NO")</f>
        <v>3692842.9859208548</v>
      </c>
      <c r="Y69" s="15">
        <f ca="1">IFERROR(IFERROR(VLOOKUP($W69,Regresiones!$W$6:$Y$10,2,1)*$W69+VLOOKUP($W69,Regresiones!$W$6:$Y$10,3,1),VLOOKUP(MIN(DatosHoy[Puntos]),Regresiones!$W$6:$Y$10,2,1)*$W69+VLOOKUP(MIN(DatosHoy[Puntos]),Regresiones!$W$6:$Y$10,3,1)),"NO")</f>
        <v>3951672.482501477</v>
      </c>
      <c r="Z69" s="15">
        <f ca="1">IFERROR(IFERROR(VLOOKUP($W69,Regresiones!$Z$6:$AB$10,2,1)*$W69+VLOOKUP($W69,Regresiones!$Z$6:$AB$10,3,1),VLOOKUP(MIN(DatosHoy[Puntos]),Regresiones!$Z$6:$AB$10,2,1)*$W69+VLOOKUP(MIN(DatosHoy[Puntos]),Regresiones!$Z$6:$AB$10,3,1)),"NO")</f>
        <v>3953224.048844202</v>
      </c>
      <c r="AA69" s="3">
        <f t="shared" ca="1" si="9"/>
        <v>0.84829735389788008</v>
      </c>
    </row>
    <row r="70" spans="2:27" x14ac:dyDescent="0.2">
      <c r="B70" s="1">
        <v>65</v>
      </c>
      <c r="C70" s="15">
        <v>3353509.5000000005</v>
      </c>
      <c r="D70" s="15">
        <v>3353509.5000000005</v>
      </c>
      <c r="E70" s="15">
        <v>3353509.5000000005</v>
      </c>
      <c r="F70" s="1" t="s">
        <v>111</v>
      </c>
      <c r="G70" s="1">
        <v>273</v>
      </c>
      <c r="H70" s="1" t="str">
        <f t="shared" si="14"/>
        <v>$G$70</v>
      </c>
      <c r="I70" s="1" t="str">
        <f t="shared" si="15"/>
        <v>$C$70</v>
      </c>
      <c r="J70" s="1" t="str">
        <f t="shared" si="16"/>
        <v>$D$70</v>
      </c>
      <c r="K70" s="1" t="str">
        <f t="shared" si="17"/>
        <v>$E$70</v>
      </c>
      <c r="L70" s="15">
        <f ca="1">IFERROR(VLOOKUP($G70,Regresiones!$E$6:$I$10,4,1)*$G70+VLOOKUP($G70,Regresiones!$E$6:$I$10,5,1),"")</f>
        <v>3640255.1116732326</v>
      </c>
      <c r="M70" s="15">
        <f ca="1">IFERROR(VLOOKUP($G70,Regresiones!$J$6:$N$10,4,1)*$G70+VLOOKUP($G70,Regresiones!$J$6:$N$10,5,1),"")</f>
        <v>3655664.8265588591</v>
      </c>
      <c r="N70" s="15">
        <f ca="1">IFERROR(VLOOKUP($G70,Regresiones!$O$6:$S$10,4,1)*$G70+VLOOKUP($G70,Regresiones!$O$6:$S$10,5,1),"")</f>
        <v>3655664.8265588591</v>
      </c>
      <c r="O70" s="15">
        <f ca="1">IFERROR(VLOOKUP($G70,Regresiones!$T$6:$V$10,2,1)*$G70+VLOOKUP($G70,Regresiones!$T$6:$V$10,3,1),"")</f>
        <v>3543457.9308707328</v>
      </c>
      <c r="P70" s="15">
        <f ca="1">IFERROR(VLOOKUP($G70,Regresiones!$W$6:$Y$10,2,1)*$G70+VLOOKUP($G70,Regresiones!$W$6:$Y$10,3,1),"")</f>
        <v>3795744.7289915979</v>
      </c>
      <c r="Q70" s="15">
        <f ca="1">IFERROR(VLOOKUP($G70,Regresiones!$Z$6:$AB$10,2,1)*$G70+VLOOKUP($G70,Regresiones!$Z$6:$AB$10,3,1),"")</f>
        <v>3797481.9528454179</v>
      </c>
      <c r="R70" s="15">
        <f>IF($W70=$W71,-1,DatosHoy[[#This Row],[G ajus PM]]-X71)</f>
        <v>-1</v>
      </c>
      <c r="S70" s="15">
        <f>IF($W70=$W71,-1,DatosHoy[[#This Row],[G+V ajus PM]]-Y71)</f>
        <v>-1</v>
      </c>
      <c r="T70" s="15">
        <f>IF($W70=$W71,-1,DatosHoy[[#This Row],[CT ajus PM]]-Z71)</f>
        <v>-1</v>
      </c>
      <c r="U70" s="15">
        <f ca="1">IFERROR(IF(DatosHoy[[#This Row],[G ajus PM]]=DatosHoy[[#This Row],[G+V ajus PM]],-1,DatosHoy[[#This Row],[G ajus PM]]-DatosHoy[[#This Row],[G+V ajus PM]]),"")</f>
        <v>-258829.49658062216</v>
      </c>
      <c r="V70" s="15">
        <f ca="1">IFERROR(IF(DatosHoy[[#This Row],[G+V ajus PM]]=DatosHoy[[#This Row],[CT ajus PM]],-1,DatosHoy[[#This Row],[G+V ajus PM]]-DatosHoy[[#This Row],[CT ajus PM]]),"")</f>
        <v>-1551.5663427249528</v>
      </c>
      <c r="W70" s="15">
        <v>287</v>
      </c>
      <c r="X70" s="15">
        <f ca="1">IFERROR(IFERROR(VLOOKUP($W70,Regresiones!$T$6:$V$10,2,1)*$W70+VLOOKUP($W70,Regresiones!$T$6:$V$10,3,1),VLOOKUP(MIN(DatosHoy[Puntos]),Regresiones!$T$6:$V$10,2,1)*$W70+VLOOKUP(MIN(DatosHoy[Puntos]),Regresiones!$T$6:$V$10,3,1)),"NO")</f>
        <v>3692842.9859208548</v>
      </c>
      <c r="Y70" s="15">
        <f ca="1">IFERROR(IFERROR(VLOOKUP($W70,Regresiones!$W$6:$Y$10,2,1)*$W70+VLOOKUP($W70,Regresiones!$W$6:$Y$10,3,1),VLOOKUP(MIN(DatosHoy[Puntos]),Regresiones!$W$6:$Y$10,2,1)*$W70+VLOOKUP(MIN(DatosHoy[Puntos]),Regresiones!$W$6:$Y$10,3,1)),"NO")</f>
        <v>3951672.482501477</v>
      </c>
      <c r="Z70" s="15">
        <f ca="1">IFERROR(IFERROR(VLOOKUP($W70,Regresiones!$Z$6:$AB$10,2,1)*$W70+VLOOKUP($W70,Regresiones!$Z$6:$AB$10,3,1),VLOOKUP(MIN(DatosHoy[Puntos]),Regresiones!$Z$6:$AB$10,2,1)*$W70+VLOOKUP(MIN(DatosHoy[Puntos]),Regresiones!$Z$6:$AB$10,3,1)),"NO")</f>
        <v>3953224.048844202</v>
      </c>
      <c r="AA70" s="3">
        <f t="shared" ref="AA70:AA101" ca="1" si="18">IFERROR(E70/Z70,"NO")</f>
        <v>0.84829735389788008</v>
      </c>
    </row>
    <row r="71" spans="2:27" x14ac:dyDescent="0.2">
      <c r="B71" s="1">
        <v>66</v>
      </c>
      <c r="C71" s="15">
        <v>3353509.5000000005</v>
      </c>
      <c r="D71" s="15">
        <v>3353509.5000000005</v>
      </c>
      <c r="E71" s="15">
        <v>3353509.5000000005</v>
      </c>
      <c r="F71" s="1" t="s">
        <v>111</v>
      </c>
      <c r="G71" s="1">
        <v>273</v>
      </c>
      <c r="H71" s="1" t="str">
        <f t="shared" si="14"/>
        <v>$G$71</v>
      </c>
      <c r="I71" s="1" t="str">
        <f t="shared" si="15"/>
        <v>$C$71</v>
      </c>
      <c r="J71" s="1" t="str">
        <f t="shared" si="16"/>
        <v>$D$71</v>
      </c>
      <c r="K71" s="1" t="str">
        <f t="shared" si="17"/>
        <v>$E$71</v>
      </c>
      <c r="L71" s="15">
        <f ca="1">IFERROR(VLOOKUP($G71,Regresiones!$E$6:$I$10,4,1)*$G71+VLOOKUP($G71,Regresiones!$E$6:$I$10,5,1),"")</f>
        <v>3640255.1116732326</v>
      </c>
      <c r="M71" s="15">
        <f ca="1">IFERROR(VLOOKUP($G71,Regresiones!$J$6:$N$10,4,1)*$G71+VLOOKUP($G71,Regresiones!$J$6:$N$10,5,1),"")</f>
        <v>3655664.8265588591</v>
      </c>
      <c r="N71" s="15">
        <f ca="1">IFERROR(VLOOKUP($G71,Regresiones!$O$6:$S$10,4,1)*$G71+VLOOKUP($G71,Regresiones!$O$6:$S$10,5,1),"")</f>
        <v>3655664.8265588591</v>
      </c>
      <c r="O71" s="15">
        <f ca="1">IFERROR(VLOOKUP($G71,Regresiones!$T$6:$V$10,2,1)*$G71+VLOOKUP($G71,Regresiones!$T$6:$V$10,3,1),"")</f>
        <v>3543457.9308707328</v>
      </c>
      <c r="P71" s="15">
        <f ca="1">IFERROR(VLOOKUP($G71,Regresiones!$W$6:$Y$10,2,1)*$G71+VLOOKUP($G71,Regresiones!$W$6:$Y$10,3,1),"")</f>
        <v>3795744.7289915979</v>
      </c>
      <c r="Q71" s="15">
        <f ca="1">IFERROR(VLOOKUP($G71,Regresiones!$Z$6:$AB$10,2,1)*$G71+VLOOKUP($G71,Regresiones!$Z$6:$AB$10,3,1),"")</f>
        <v>3797481.9528454179</v>
      </c>
      <c r="R71" s="15">
        <f>IF($W71=$W72,-1,DatosHoy[[#This Row],[G ajus PM]]-X72)</f>
        <v>-1</v>
      </c>
      <c r="S71" s="15">
        <f>IF($W71=$W72,-1,DatosHoy[[#This Row],[G+V ajus PM]]-Y72)</f>
        <v>-1</v>
      </c>
      <c r="T71" s="15">
        <f>IF($W71=$W72,-1,DatosHoy[[#This Row],[CT ajus PM]]-Z72)</f>
        <v>-1</v>
      </c>
      <c r="U71" s="15">
        <f ca="1">IFERROR(IF(DatosHoy[[#This Row],[G ajus PM]]=DatosHoy[[#This Row],[G+V ajus PM]],-1,DatosHoy[[#This Row],[G ajus PM]]-DatosHoy[[#This Row],[G+V ajus PM]]),"")</f>
        <v>-258829.49658062216</v>
      </c>
      <c r="V71" s="15">
        <f ca="1">IFERROR(IF(DatosHoy[[#This Row],[G+V ajus PM]]=DatosHoy[[#This Row],[CT ajus PM]],-1,DatosHoy[[#This Row],[G+V ajus PM]]-DatosHoy[[#This Row],[CT ajus PM]]),"")</f>
        <v>-1551.5663427249528</v>
      </c>
      <c r="W71" s="15">
        <v>287</v>
      </c>
      <c r="X71" s="15">
        <f ca="1">IFERROR(IFERROR(VLOOKUP($W71,Regresiones!$T$6:$V$10,2,1)*$W71+VLOOKUP($W71,Regresiones!$T$6:$V$10,3,1),VLOOKUP(MIN(DatosHoy[Puntos]),Regresiones!$T$6:$V$10,2,1)*$W71+VLOOKUP(MIN(DatosHoy[Puntos]),Regresiones!$T$6:$V$10,3,1)),"NO")</f>
        <v>3692842.9859208548</v>
      </c>
      <c r="Y71" s="15">
        <f ca="1">IFERROR(IFERROR(VLOOKUP($W71,Regresiones!$W$6:$Y$10,2,1)*$W71+VLOOKUP($W71,Regresiones!$W$6:$Y$10,3,1),VLOOKUP(MIN(DatosHoy[Puntos]),Regresiones!$W$6:$Y$10,2,1)*$W71+VLOOKUP(MIN(DatosHoy[Puntos]),Regresiones!$W$6:$Y$10,3,1)),"NO")</f>
        <v>3951672.482501477</v>
      </c>
      <c r="Z71" s="15">
        <f ca="1">IFERROR(IFERROR(VLOOKUP($W71,Regresiones!$Z$6:$AB$10,2,1)*$W71+VLOOKUP($W71,Regresiones!$Z$6:$AB$10,3,1),VLOOKUP(MIN(DatosHoy[Puntos]),Regresiones!$Z$6:$AB$10,2,1)*$W71+VLOOKUP(MIN(DatosHoy[Puntos]),Regresiones!$Z$6:$AB$10,3,1)),"NO")</f>
        <v>3953224.048844202</v>
      </c>
      <c r="AA71" s="3">
        <f t="shared" ca="1" si="18"/>
        <v>0.84829735389788008</v>
      </c>
    </row>
    <row r="72" spans="2:27" x14ac:dyDescent="0.2">
      <c r="B72" s="1">
        <v>67</v>
      </c>
      <c r="C72" s="15">
        <v>3353509.5000000005</v>
      </c>
      <c r="D72" s="15">
        <v>3353509.5000000005</v>
      </c>
      <c r="E72" s="15">
        <v>3353509.5000000005</v>
      </c>
      <c r="F72" s="1" t="s">
        <v>111</v>
      </c>
      <c r="G72" s="1">
        <v>273</v>
      </c>
      <c r="H72" s="1" t="str">
        <f t="shared" si="14"/>
        <v>$G$72</v>
      </c>
      <c r="I72" s="1" t="str">
        <f t="shared" si="15"/>
        <v>$C$72</v>
      </c>
      <c r="J72" s="1" t="str">
        <f t="shared" si="16"/>
        <v>$D$72</v>
      </c>
      <c r="K72" s="1" t="str">
        <f t="shared" si="17"/>
        <v>$E$72</v>
      </c>
      <c r="L72" s="15">
        <f ca="1">IFERROR(VLOOKUP($G72,Regresiones!$E$6:$I$10,4,1)*$G72+VLOOKUP($G72,Regresiones!$E$6:$I$10,5,1),"")</f>
        <v>3640255.1116732326</v>
      </c>
      <c r="M72" s="15">
        <f ca="1">IFERROR(VLOOKUP($G72,Regresiones!$J$6:$N$10,4,1)*$G72+VLOOKUP($G72,Regresiones!$J$6:$N$10,5,1),"")</f>
        <v>3655664.8265588591</v>
      </c>
      <c r="N72" s="15">
        <f ca="1">IFERROR(VLOOKUP($G72,Regresiones!$O$6:$S$10,4,1)*$G72+VLOOKUP($G72,Regresiones!$O$6:$S$10,5,1),"")</f>
        <v>3655664.8265588591</v>
      </c>
      <c r="O72" s="15">
        <f ca="1">IFERROR(VLOOKUP($G72,Regresiones!$T$6:$V$10,2,1)*$G72+VLOOKUP($G72,Regresiones!$T$6:$V$10,3,1),"")</f>
        <v>3543457.9308707328</v>
      </c>
      <c r="P72" s="15">
        <f ca="1">IFERROR(VLOOKUP($G72,Regresiones!$W$6:$Y$10,2,1)*$G72+VLOOKUP($G72,Regresiones!$W$6:$Y$10,3,1),"")</f>
        <v>3795744.7289915979</v>
      </c>
      <c r="Q72" s="15">
        <f ca="1">IFERROR(VLOOKUP($G72,Regresiones!$Z$6:$AB$10,2,1)*$G72+VLOOKUP($G72,Regresiones!$Z$6:$AB$10,3,1),"")</f>
        <v>3797481.9528454179</v>
      </c>
      <c r="R72" s="15">
        <f>IF($W72=$W73,-1,DatosHoy[[#This Row],[G ajus PM]]-X73)</f>
        <v>-1</v>
      </c>
      <c r="S72" s="15">
        <f>IF($W72=$W73,-1,DatosHoy[[#This Row],[G+V ajus PM]]-Y73)</f>
        <v>-1</v>
      </c>
      <c r="T72" s="15">
        <f>IF($W72=$W73,-1,DatosHoy[[#This Row],[CT ajus PM]]-Z73)</f>
        <v>-1</v>
      </c>
      <c r="U72" s="15">
        <f ca="1">IFERROR(IF(DatosHoy[[#This Row],[G ajus PM]]=DatosHoy[[#This Row],[G+V ajus PM]],-1,DatosHoy[[#This Row],[G ajus PM]]-DatosHoy[[#This Row],[G+V ajus PM]]),"")</f>
        <v>-258829.49658062216</v>
      </c>
      <c r="V72" s="15">
        <f ca="1">IFERROR(IF(DatosHoy[[#This Row],[G+V ajus PM]]=DatosHoy[[#This Row],[CT ajus PM]],-1,DatosHoy[[#This Row],[G+V ajus PM]]-DatosHoy[[#This Row],[CT ajus PM]]),"")</f>
        <v>-1551.5663427249528</v>
      </c>
      <c r="W72" s="15">
        <v>287</v>
      </c>
      <c r="X72" s="15">
        <f ca="1">IFERROR(IFERROR(VLOOKUP($W72,Regresiones!$T$6:$V$10,2,1)*$W72+VLOOKUP($W72,Regresiones!$T$6:$V$10,3,1),VLOOKUP(MIN(DatosHoy[Puntos]),Regresiones!$T$6:$V$10,2,1)*$W72+VLOOKUP(MIN(DatosHoy[Puntos]),Regresiones!$T$6:$V$10,3,1)),"NO")</f>
        <v>3692842.9859208548</v>
      </c>
      <c r="Y72" s="15">
        <f ca="1">IFERROR(IFERROR(VLOOKUP($W72,Regresiones!$W$6:$Y$10,2,1)*$W72+VLOOKUP($W72,Regresiones!$W$6:$Y$10,3,1),VLOOKUP(MIN(DatosHoy[Puntos]),Regresiones!$W$6:$Y$10,2,1)*$W72+VLOOKUP(MIN(DatosHoy[Puntos]),Regresiones!$W$6:$Y$10,3,1)),"NO")</f>
        <v>3951672.482501477</v>
      </c>
      <c r="Z72" s="15">
        <f ca="1">IFERROR(IFERROR(VLOOKUP($W72,Regresiones!$Z$6:$AB$10,2,1)*$W72+VLOOKUP($W72,Regresiones!$Z$6:$AB$10,3,1),VLOOKUP(MIN(DatosHoy[Puntos]),Regresiones!$Z$6:$AB$10,2,1)*$W72+VLOOKUP(MIN(DatosHoy[Puntos]),Regresiones!$Z$6:$AB$10,3,1)),"NO")</f>
        <v>3953224.048844202</v>
      </c>
      <c r="AA72" s="3">
        <f t="shared" ca="1" si="18"/>
        <v>0.84829735389788008</v>
      </c>
    </row>
    <row r="73" spans="2:27" x14ac:dyDescent="0.2">
      <c r="B73" s="1">
        <v>68</v>
      </c>
      <c r="C73" s="15">
        <v>3353509.5000000005</v>
      </c>
      <c r="D73" s="15">
        <v>3353509.5000000005</v>
      </c>
      <c r="E73" s="15">
        <v>3353509.5000000005</v>
      </c>
      <c r="F73" s="1" t="s">
        <v>111</v>
      </c>
      <c r="G73" s="1">
        <v>273</v>
      </c>
      <c r="H73" s="1" t="str">
        <f t="shared" si="14"/>
        <v>$G$73</v>
      </c>
      <c r="I73" s="1" t="str">
        <f t="shared" si="15"/>
        <v>$C$73</v>
      </c>
      <c r="J73" s="1" t="str">
        <f t="shared" si="16"/>
        <v>$D$73</v>
      </c>
      <c r="K73" s="1" t="str">
        <f t="shared" si="17"/>
        <v>$E$73</v>
      </c>
      <c r="L73" s="15">
        <f ca="1">IFERROR(VLOOKUP($G73,Regresiones!$E$6:$I$10,4,1)*$G73+VLOOKUP($G73,Regresiones!$E$6:$I$10,5,1),"")</f>
        <v>3640255.1116732326</v>
      </c>
      <c r="M73" s="15">
        <f ca="1">IFERROR(VLOOKUP($G73,Regresiones!$J$6:$N$10,4,1)*$G73+VLOOKUP($G73,Regresiones!$J$6:$N$10,5,1),"")</f>
        <v>3655664.8265588591</v>
      </c>
      <c r="N73" s="15">
        <f ca="1">IFERROR(VLOOKUP($G73,Regresiones!$O$6:$S$10,4,1)*$G73+VLOOKUP($G73,Regresiones!$O$6:$S$10,5,1),"")</f>
        <v>3655664.8265588591</v>
      </c>
      <c r="O73" s="15">
        <f ca="1">IFERROR(VLOOKUP($G73,Regresiones!$T$6:$V$10,2,1)*$G73+VLOOKUP($G73,Regresiones!$T$6:$V$10,3,1),"")</f>
        <v>3543457.9308707328</v>
      </c>
      <c r="P73" s="15">
        <f ca="1">IFERROR(VLOOKUP($G73,Regresiones!$W$6:$Y$10,2,1)*$G73+VLOOKUP($G73,Regresiones!$W$6:$Y$10,3,1),"")</f>
        <v>3795744.7289915979</v>
      </c>
      <c r="Q73" s="15">
        <f ca="1">IFERROR(VLOOKUP($G73,Regresiones!$Z$6:$AB$10,2,1)*$G73+VLOOKUP($G73,Regresiones!$Z$6:$AB$10,3,1),"")</f>
        <v>3797481.9528454179</v>
      </c>
      <c r="R73" s="15">
        <f>IF($W73=$W74,-1,DatosHoy[[#This Row],[G ajus PM]]-X74)</f>
        <v>-1</v>
      </c>
      <c r="S73" s="15">
        <f>IF($W73=$W74,-1,DatosHoy[[#This Row],[G+V ajus PM]]-Y74)</f>
        <v>-1</v>
      </c>
      <c r="T73" s="15">
        <f>IF($W73=$W74,-1,DatosHoy[[#This Row],[CT ajus PM]]-Z74)</f>
        <v>-1</v>
      </c>
      <c r="U73" s="15">
        <f ca="1">IFERROR(IF(DatosHoy[[#This Row],[G ajus PM]]=DatosHoy[[#This Row],[G+V ajus PM]],-1,DatosHoy[[#This Row],[G ajus PM]]-DatosHoy[[#This Row],[G+V ajus PM]]),"")</f>
        <v>-258829.49658062216</v>
      </c>
      <c r="V73" s="15">
        <f ca="1">IFERROR(IF(DatosHoy[[#This Row],[G+V ajus PM]]=DatosHoy[[#This Row],[CT ajus PM]],-1,DatosHoy[[#This Row],[G+V ajus PM]]-DatosHoy[[#This Row],[CT ajus PM]]),"")</f>
        <v>-1551.5663427249528</v>
      </c>
      <c r="W73" s="15">
        <v>287</v>
      </c>
      <c r="X73" s="15">
        <f ca="1">IFERROR(IFERROR(VLOOKUP($W73,Regresiones!$T$6:$V$10,2,1)*$W73+VLOOKUP($W73,Regresiones!$T$6:$V$10,3,1),VLOOKUP(MIN(DatosHoy[Puntos]),Regresiones!$T$6:$V$10,2,1)*$W73+VLOOKUP(MIN(DatosHoy[Puntos]),Regresiones!$T$6:$V$10,3,1)),"NO")</f>
        <v>3692842.9859208548</v>
      </c>
      <c r="Y73" s="15">
        <f ca="1">IFERROR(IFERROR(VLOOKUP($W73,Regresiones!$W$6:$Y$10,2,1)*$W73+VLOOKUP($W73,Regresiones!$W$6:$Y$10,3,1),VLOOKUP(MIN(DatosHoy[Puntos]),Regresiones!$W$6:$Y$10,2,1)*$W73+VLOOKUP(MIN(DatosHoy[Puntos]),Regresiones!$W$6:$Y$10,3,1)),"NO")</f>
        <v>3951672.482501477</v>
      </c>
      <c r="Z73" s="15">
        <f ca="1">IFERROR(IFERROR(VLOOKUP($W73,Regresiones!$Z$6:$AB$10,2,1)*$W73+VLOOKUP($W73,Regresiones!$Z$6:$AB$10,3,1),VLOOKUP(MIN(DatosHoy[Puntos]),Regresiones!$Z$6:$AB$10,2,1)*$W73+VLOOKUP(MIN(DatosHoy[Puntos]),Regresiones!$Z$6:$AB$10,3,1)),"NO")</f>
        <v>3953224.048844202</v>
      </c>
      <c r="AA73" s="3">
        <f t="shared" ca="1" si="18"/>
        <v>0.84829735389788008</v>
      </c>
    </row>
    <row r="74" spans="2:27" x14ac:dyDescent="0.2">
      <c r="B74" s="1">
        <v>69</v>
      </c>
      <c r="C74" s="15">
        <v>2941675.0000000005</v>
      </c>
      <c r="D74" s="15">
        <v>2941675.0000000005</v>
      </c>
      <c r="E74" s="15">
        <v>2941675.0000000005</v>
      </c>
      <c r="F74" s="1" t="s">
        <v>112</v>
      </c>
      <c r="G74" s="1">
        <v>288</v>
      </c>
      <c r="H74" s="1" t="str">
        <f t="shared" si="14"/>
        <v>$G$74</v>
      </c>
      <c r="I74" s="1" t="str">
        <f t="shared" si="15"/>
        <v>$C$74</v>
      </c>
      <c r="J74" s="1" t="str">
        <f t="shared" si="16"/>
        <v>$D$74</v>
      </c>
      <c r="K74" s="1" t="str">
        <f t="shared" si="17"/>
        <v>$E$74</v>
      </c>
      <c r="L74" s="15">
        <f ca="1">IFERROR(VLOOKUP($G74,Regresiones!$E$6:$I$10,4,1)*$G74+VLOOKUP($G74,Regresiones!$E$6:$I$10,5,1),"")</f>
        <v>3831340.1140366923</v>
      </c>
      <c r="M74" s="15">
        <f ca="1">IFERROR(VLOOKUP($G74,Regresiones!$J$6:$N$10,4,1)*$G74+VLOOKUP($G74,Regresiones!$J$6:$N$10,5,1),"")</f>
        <v>3850015.1109812744</v>
      </c>
      <c r="N74" s="15">
        <f ca="1">IFERROR(VLOOKUP($G74,Regresiones!$O$6:$S$10,4,1)*$G74+VLOOKUP($G74,Regresiones!$O$6:$S$10,5,1),"")</f>
        <v>3850015.1109812744</v>
      </c>
      <c r="O74" s="15">
        <f ca="1">IFERROR(VLOOKUP($G74,Regresiones!$T$6:$V$10,2,1)*$G74+VLOOKUP($G74,Regresiones!$T$6:$V$10,3,1),"")</f>
        <v>3703513.3469958636</v>
      </c>
      <c r="P74" s="15">
        <f ca="1">IFERROR(VLOOKUP($G74,Regresiones!$W$6:$Y$10,2,1)*$G74+VLOOKUP($G74,Regresiones!$W$6:$Y$10,3,1),"")</f>
        <v>3962810.1791807543</v>
      </c>
      <c r="Q74" s="15">
        <f ca="1">IFERROR(VLOOKUP($G74,Regresiones!$Z$6:$AB$10,2,1)*$G74+VLOOKUP($G74,Regresiones!$Z$6:$AB$10,3,1),"")</f>
        <v>3964348.4842726868</v>
      </c>
      <c r="R74" s="15">
        <f>IF($W74=$W75,-1,DatosHoy[[#This Row],[G ajus PM]]-X75)</f>
        <v>-1</v>
      </c>
      <c r="S74" s="15">
        <f>IF($W74=$W75,-1,DatosHoy[[#This Row],[G+V ajus PM]]-Y75)</f>
        <v>-1</v>
      </c>
      <c r="T74" s="15">
        <f>IF($W74=$W75,-1,DatosHoy[[#This Row],[CT ajus PM]]-Z75)</f>
        <v>-1</v>
      </c>
      <c r="U74" s="15">
        <f ca="1">IFERROR(IF(DatosHoy[[#This Row],[G ajus PM]]=DatosHoy[[#This Row],[G+V ajus PM]],-1,DatosHoy[[#This Row],[G ajus PM]]-DatosHoy[[#This Row],[G+V ajus PM]]),"")</f>
        <v>-258829.49658062216</v>
      </c>
      <c r="V74" s="15">
        <f ca="1">IFERROR(IF(DatosHoy[[#This Row],[G+V ajus PM]]=DatosHoy[[#This Row],[CT ajus PM]],-1,DatosHoy[[#This Row],[G+V ajus PM]]-DatosHoy[[#This Row],[CT ajus PM]]),"")</f>
        <v>-1551.5663427249528</v>
      </c>
      <c r="W74" s="15">
        <v>287</v>
      </c>
      <c r="X74" s="15">
        <f ca="1">IFERROR(IFERROR(VLOOKUP($W74,Regresiones!$T$6:$V$10,2,1)*$W74+VLOOKUP($W74,Regresiones!$T$6:$V$10,3,1),VLOOKUP(MIN(DatosHoy[Puntos]),Regresiones!$T$6:$V$10,2,1)*$W74+VLOOKUP(MIN(DatosHoy[Puntos]),Regresiones!$T$6:$V$10,3,1)),"NO")</f>
        <v>3692842.9859208548</v>
      </c>
      <c r="Y74" s="15">
        <f ca="1">IFERROR(IFERROR(VLOOKUP($W74,Regresiones!$W$6:$Y$10,2,1)*$W74+VLOOKUP($W74,Regresiones!$W$6:$Y$10,3,1),VLOOKUP(MIN(DatosHoy[Puntos]),Regresiones!$W$6:$Y$10,2,1)*$W74+VLOOKUP(MIN(DatosHoy[Puntos]),Regresiones!$W$6:$Y$10,3,1)),"NO")</f>
        <v>3951672.482501477</v>
      </c>
      <c r="Z74" s="15">
        <f ca="1">IFERROR(IFERROR(VLOOKUP($W74,Regresiones!$Z$6:$AB$10,2,1)*$W74+VLOOKUP($W74,Regresiones!$Z$6:$AB$10,3,1),VLOOKUP(MIN(DatosHoy[Puntos]),Regresiones!$Z$6:$AB$10,2,1)*$W74+VLOOKUP(MIN(DatosHoy[Puntos]),Regresiones!$Z$6:$AB$10,3,1)),"NO")</f>
        <v>3953224.048844202</v>
      </c>
      <c r="AA74" s="3">
        <f t="shared" ca="1" si="18"/>
        <v>0.74412048587533342</v>
      </c>
    </row>
    <row r="75" spans="2:27" x14ac:dyDescent="0.2">
      <c r="B75" s="1">
        <v>70</v>
      </c>
      <c r="C75" s="15">
        <v>6763499.1600000001</v>
      </c>
      <c r="D75" s="15">
        <v>6763499.1600000001</v>
      </c>
      <c r="E75" s="15">
        <v>6763499.1600000001</v>
      </c>
      <c r="F75" s="1" t="s">
        <v>113</v>
      </c>
      <c r="G75" s="1">
        <v>300</v>
      </c>
      <c r="H75" s="1" t="str">
        <f t="shared" si="14"/>
        <v>$G$75</v>
      </c>
      <c r="I75" s="1" t="str">
        <f t="shared" si="15"/>
        <v>$C$75</v>
      </c>
      <c r="J75" s="1" t="str">
        <f t="shared" si="16"/>
        <v>$D$75</v>
      </c>
      <c r="K75" s="1" t="str">
        <f t="shared" si="17"/>
        <v>$E$75</v>
      </c>
      <c r="L75" s="15">
        <f ca="1">IFERROR(VLOOKUP($G75,Regresiones!$E$6:$I$10,4,1)*$G75+VLOOKUP($G75,Regresiones!$E$6:$I$10,5,1),"")</f>
        <v>3984208.1159274601</v>
      </c>
      <c r="M75" s="15">
        <f ca="1">IFERROR(VLOOKUP($G75,Regresiones!$J$6:$N$10,4,1)*$G75+VLOOKUP($G75,Regresiones!$J$6:$N$10,5,1),"")</f>
        <v>4005495.3385192063</v>
      </c>
      <c r="N75" s="15">
        <f ca="1">IFERROR(VLOOKUP($G75,Regresiones!$O$6:$S$10,4,1)*$G75+VLOOKUP($G75,Regresiones!$O$6:$S$10,5,1),"")</f>
        <v>4005495.3385192063</v>
      </c>
      <c r="O75" s="15">
        <f ca="1">IFERROR(VLOOKUP($G75,Regresiones!$T$6:$V$10,2,1)*$G75+VLOOKUP($G75,Regresiones!$T$6:$V$10,3,1),"")</f>
        <v>3831557.6798959682</v>
      </c>
      <c r="P75" s="15">
        <f ca="1">IFERROR(VLOOKUP($G75,Regresiones!$W$6:$Y$10,2,1)*$G75+VLOOKUP($G75,Regresiones!$W$6:$Y$10,3,1),"")</f>
        <v>4096462.5393320792</v>
      </c>
      <c r="Q75" s="15">
        <f ca="1">IFERROR(VLOOKUP($G75,Regresiones!$Z$6:$AB$10,2,1)*$G75+VLOOKUP($G75,Regresiones!$Z$6:$AB$10,3,1),"")</f>
        <v>4097841.7094145017</v>
      </c>
      <c r="R75" s="15">
        <f>IF($W75=$W76,-1,DatosHoy[[#This Row],[G ajus PM]]-X76)</f>
        <v>-1</v>
      </c>
      <c r="S75" s="15">
        <f>IF($W75=$W76,-1,DatosHoy[[#This Row],[G+V ajus PM]]-Y76)</f>
        <v>-1</v>
      </c>
      <c r="T75" s="15">
        <f>IF($W75=$W76,-1,DatosHoy[[#This Row],[CT ajus PM]]-Z76)</f>
        <v>-1</v>
      </c>
      <c r="U75" s="15">
        <f ca="1">IFERROR(IF(DatosHoy[[#This Row],[G ajus PM]]=DatosHoy[[#This Row],[G+V ajus PM]],-1,DatosHoy[[#This Row],[G ajus PM]]-DatosHoy[[#This Row],[G+V ajus PM]]),"")</f>
        <v>-258829.49658062216</v>
      </c>
      <c r="V75" s="15">
        <f ca="1">IFERROR(IF(DatosHoy[[#This Row],[G+V ajus PM]]=DatosHoy[[#This Row],[CT ajus PM]],-1,DatosHoy[[#This Row],[G+V ajus PM]]-DatosHoy[[#This Row],[CT ajus PM]]),"")</f>
        <v>-1551.5663427249528</v>
      </c>
      <c r="W75" s="15">
        <v>287</v>
      </c>
      <c r="X75" s="15">
        <f ca="1">IFERROR(IFERROR(VLOOKUP($W75,Regresiones!$T$6:$V$10,2,1)*$W75+VLOOKUP($W75,Regresiones!$T$6:$V$10,3,1),VLOOKUP(MIN(DatosHoy[Puntos]),Regresiones!$T$6:$V$10,2,1)*$W75+VLOOKUP(MIN(DatosHoy[Puntos]),Regresiones!$T$6:$V$10,3,1)),"NO")</f>
        <v>3692842.9859208548</v>
      </c>
      <c r="Y75" s="15">
        <f ca="1">IFERROR(IFERROR(VLOOKUP($W75,Regresiones!$W$6:$Y$10,2,1)*$W75+VLOOKUP($W75,Regresiones!$W$6:$Y$10,3,1),VLOOKUP(MIN(DatosHoy[Puntos]),Regresiones!$W$6:$Y$10,2,1)*$W75+VLOOKUP(MIN(DatosHoy[Puntos]),Regresiones!$W$6:$Y$10,3,1)),"NO")</f>
        <v>3951672.482501477</v>
      </c>
      <c r="Z75" s="15">
        <f ca="1">IFERROR(IFERROR(VLOOKUP($W75,Regresiones!$Z$6:$AB$10,2,1)*$W75+VLOOKUP($W75,Regresiones!$Z$6:$AB$10,3,1),VLOOKUP(MIN(DatosHoy[Puntos]),Regresiones!$Z$6:$AB$10,2,1)*$W75+VLOOKUP(MIN(DatosHoy[Puntos]),Regresiones!$Z$6:$AB$10,3,1)),"NO")</f>
        <v>3953224.048844202</v>
      </c>
      <c r="AA75" s="3">
        <f t="shared" ca="1" si="18"/>
        <v>1.7108818211245664</v>
      </c>
    </row>
    <row r="76" spans="2:27" x14ac:dyDescent="0.2">
      <c r="B76" s="1">
        <v>71</v>
      </c>
      <c r="C76" s="15">
        <v>4471346</v>
      </c>
      <c r="D76" s="15">
        <v>4471346</v>
      </c>
      <c r="E76" s="15">
        <v>4471346</v>
      </c>
      <c r="F76" s="1" t="s">
        <v>114</v>
      </c>
      <c r="G76" s="1">
        <v>301</v>
      </c>
      <c r="H76" s="1" t="str">
        <f t="shared" si="14"/>
        <v>$G$76</v>
      </c>
      <c r="I76" s="1" t="str">
        <f t="shared" si="15"/>
        <v>$C$76</v>
      </c>
      <c r="J76" s="1" t="str">
        <f t="shared" si="16"/>
        <v>$D$76</v>
      </c>
      <c r="K76" s="1" t="str">
        <f t="shared" si="17"/>
        <v>$E$76</v>
      </c>
      <c r="L76" s="15">
        <f ca="1">IFERROR(VLOOKUP($G76,Regresiones!$E$6:$I$10,4,1)*$G76+VLOOKUP($G76,Regresiones!$E$6:$I$10,5,1),"")</f>
        <v>3996947.1160850241</v>
      </c>
      <c r="M76" s="15">
        <f ca="1">IFERROR(VLOOKUP($G76,Regresiones!$J$6:$N$10,4,1)*$G76+VLOOKUP($G76,Regresiones!$J$6:$N$10,5,1),"")</f>
        <v>4018452.0241473676</v>
      </c>
      <c r="N76" s="15">
        <f ca="1">IFERROR(VLOOKUP($G76,Regresiones!$O$6:$S$10,4,1)*$G76+VLOOKUP($G76,Regresiones!$O$6:$S$10,5,1),"")</f>
        <v>4018452.0241473676</v>
      </c>
      <c r="O76" s="15">
        <f ca="1">IFERROR(VLOOKUP($G76,Regresiones!$T$6:$V$10,2,1)*$G76+VLOOKUP($G76,Regresiones!$T$6:$V$10,3,1),"")</f>
        <v>3842228.0409709769</v>
      </c>
      <c r="P76" s="15">
        <f ca="1">IFERROR(VLOOKUP($G76,Regresiones!$W$6:$Y$10,2,1)*$G76+VLOOKUP($G76,Regresiones!$W$6:$Y$10,3,1),"")</f>
        <v>4107600.2360113566</v>
      </c>
      <c r="Q76" s="15">
        <f ca="1">IFERROR(VLOOKUP($G76,Regresiones!$Z$6:$AB$10,2,1)*$G76+VLOOKUP($G76,Regresiones!$Z$6:$AB$10,3,1),"")</f>
        <v>4108966.144842986</v>
      </c>
      <c r="R76" s="15">
        <f>IF($W76=$W77,-1,DatosHoy[[#This Row],[G ajus PM]]-X77)</f>
        <v>-1</v>
      </c>
      <c r="S76" s="15">
        <f>IF($W76=$W77,-1,DatosHoy[[#This Row],[G+V ajus PM]]-Y77)</f>
        <v>-1</v>
      </c>
      <c r="T76" s="15">
        <f>IF($W76=$W77,-1,DatosHoy[[#This Row],[CT ajus PM]]-Z77)</f>
        <v>-1</v>
      </c>
      <c r="U76" s="15">
        <f ca="1">IFERROR(IF(DatosHoy[[#This Row],[G ajus PM]]=DatosHoy[[#This Row],[G+V ajus PM]],-1,DatosHoy[[#This Row],[G ajus PM]]-DatosHoy[[#This Row],[G+V ajus PM]]),"")</f>
        <v>-258829.49658062216</v>
      </c>
      <c r="V76" s="15">
        <f ca="1">IFERROR(IF(DatosHoy[[#This Row],[G+V ajus PM]]=DatosHoy[[#This Row],[CT ajus PM]],-1,DatosHoy[[#This Row],[G+V ajus PM]]-DatosHoy[[#This Row],[CT ajus PM]]),"")</f>
        <v>-1551.5663427249528</v>
      </c>
      <c r="W76" s="15">
        <v>287</v>
      </c>
      <c r="X76" s="15">
        <f ca="1">IFERROR(IFERROR(VLOOKUP($W76,Regresiones!$T$6:$V$10,2,1)*$W76+VLOOKUP($W76,Regresiones!$T$6:$V$10,3,1),VLOOKUP(MIN(DatosHoy[Puntos]),Regresiones!$T$6:$V$10,2,1)*$W76+VLOOKUP(MIN(DatosHoy[Puntos]),Regresiones!$T$6:$V$10,3,1)),"NO")</f>
        <v>3692842.9859208548</v>
      </c>
      <c r="Y76" s="15">
        <f ca="1">IFERROR(IFERROR(VLOOKUP($W76,Regresiones!$W$6:$Y$10,2,1)*$W76+VLOOKUP($W76,Regresiones!$W$6:$Y$10,3,1),VLOOKUP(MIN(DatosHoy[Puntos]),Regresiones!$W$6:$Y$10,2,1)*$W76+VLOOKUP(MIN(DatosHoy[Puntos]),Regresiones!$W$6:$Y$10,3,1)),"NO")</f>
        <v>3951672.482501477</v>
      </c>
      <c r="Z76" s="15">
        <f ca="1">IFERROR(IFERROR(VLOOKUP($W76,Regresiones!$Z$6:$AB$10,2,1)*$W76+VLOOKUP($W76,Regresiones!$Z$6:$AB$10,3,1),VLOOKUP(MIN(DatosHoy[Puntos]),Regresiones!$Z$6:$AB$10,2,1)*$W76+VLOOKUP(MIN(DatosHoy[Puntos]),Regresiones!$Z$6:$AB$10,3,1)),"NO")</f>
        <v>3953224.048844202</v>
      </c>
      <c r="AA76" s="3">
        <f t="shared" ca="1" si="18"/>
        <v>1.1310631385305066</v>
      </c>
    </row>
    <row r="77" spans="2:27" x14ac:dyDescent="0.2">
      <c r="B77" s="1">
        <v>72</v>
      </c>
      <c r="C77" s="15">
        <v>2828714.68</v>
      </c>
      <c r="D77" s="15">
        <v>2828714.68</v>
      </c>
      <c r="E77" s="15">
        <v>2828714.68</v>
      </c>
      <c r="F77" s="1" t="s">
        <v>115</v>
      </c>
      <c r="G77" s="1">
        <v>304</v>
      </c>
      <c r="H77" s="1" t="str">
        <f t="shared" si="14"/>
        <v>$G$77</v>
      </c>
      <c r="I77" s="1" t="str">
        <f t="shared" si="15"/>
        <v>$C$77</v>
      </c>
      <c r="J77" s="1" t="str">
        <f t="shared" si="16"/>
        <v>$D$77</v>
      </c>
      <c r="K77" s="1" t="str">
        <f t="shared" si="17"/>
        <v>$E$77</v>
      </c>
      <c r="L77" s="15">
        <f ca="1">IFERROR(VLOOKUP($G77,Regresiones!$E$6:$I$10,4,1)*$G77+VLOOKUP($G77,Regresiones!$E$6:$I$10,5,1),"")</f>
        <v>4035164.1165577159</v>
      </c>
      <c r="M77" s="15">
        <f ca="1">IFERROR(VLOOKUP($G77,Regresiones!$J$6:$N$10,4,1)*$G77+VLOOKUP($G77,Regresiones!$J$6:$N$10,5,1),"")</f>
        <v>4057322.0810318505</v>
      </c>
      <c r="N77" s="15">
        <f ca="1">IFERROR(VLOOKUP($G77,Regresiones!$O$6:$S$10,4,1)*$G77+VLOOKUP($G77,Regresiones!$O$6:$S$10,5,1),"")</f>
        <v>4057322.0810318505</v>
      </c>
      <c r="O77" s="15">
        <f ca="1">IFERROR(VLOOKUP($G77,Regresiones!$T$6:$V$10,2,1)*$G77+VLOOKUP($G77,Regresiones!$T$6:$V$10,3,1),"")</f>
        <v>3874239.1241960027</v>
      </c>
      <c r="P77" s="15">
        <f ca="1">IFERROR(VLOOKUP($G77,Regresiones!$W$6:$Y$10,2,1)*$G77+VLOOKUP($G77,Regresiones!$W$6:$Y$10,3,1),"")</f>
        <v>4141013.3260491877</v>
      </c>
      <c r="Q77" s="15">
        <f ca="1">IFERROR(VLOOKUP($G77,Regresiones!$Z$6:$AB$10,2,1)*$G77+VLOOKUP($G77,Regresiones!$Z$6:$AB$10,3,1),"")</f>
        <v>4142339.45112844</v>
      </c>
      <c r="R77" s="15">
        <f>IF($W77=$W78,-1,DatosHoy[[#This Row],[G ajus PM]]-X78)</f>
        <v>-1</v>
      </c>
      <c r="S77" s="15">
        <f>IF($W77=$W78,-1,DatosHoy[[#This Row],[G+V ajus PM]]-Y78)</f>
        <v>-1</v>
      </c>
      <c r="T77" s="15">
        <f>IF($W77=$W78,-1,DatosHoy[[#This Row],[CT ajus PM]]-Z78)</f>
        <v>-1</v>
      </c>
      <c r="U77" s="15">
        <f ca="1">IFERROR(IF(DatosHoy[[#This Row],[G ajus PM]]=DatosHoy[[#This Row],[G+V ajus PM]],-1,DatosHoy[[#This Row],[G ajus PM]]-DatosHoy[[#This Row],[G+V ajus PM]]),"")</f>
        <v>-258829.49658062216</v>
      </c>
      <c r="V77" s="15">
        <f ca="1">IFERROR(IF(DatosHoy[[#This Row],[G+V ajus PM]]=DatosHoy[[#This Row],[CT ajus PM]],-1,DatosHoy[[#This Row],[G+V ajus PM]]-DatosHoy[[#This Row],[CT ajus PM]]),"")</f>
        <v>-1551.5663427249528</v>
      </c>
      <c r="W77" s="15">
        <v>287</v>
      </c>
      <c r="X77" s="15">
        <f ca="1">IFERROR(IFERROR(VLOOKUP($W77,Regresiones!$T$6:$V$10,2,1)*$W77+VLOOKUP($W77,Regresiones!$T$6:$V$10,3,1),VLOOKUP(MIN(DatosHoy[Puntos]),Regresiones!$T$6:$V$10,2,1)*$W77+VLOOKUP(MIN(DatosHoy[Puntos]),Regresiones!$T$6:$V$10,3,1)),"NO")</f>
        <v>3692842.9859208548</v>
      </c>
      <c r="Y77" s="15">
        <f ca="1">IFERROR(IFERROR(VLOOKUP($W77,Regresiones!$W$6:$Y$10,2,1)*$W77+VLOOKUP($W77,Regresiones!$W$6:$Y$10,3,1),VLOOKUP(MIN(DatosHoy[Puntos]),Regresiones!$W$6:$Y$10,2,1)*$W77+VLOOKUP(MIN(DatosHoy[Puntos]),Regresiones!$W$6:$Y$10,3,1)),"NO")</f>
        <v>3951672.482501477</v>
      </c>
      <c r="Z77" s="15">
        <f ca="1">IFERROR(IFERROR(VLOOKUP($W77,Regresiones!$Z$6:$AB$10,2,1)*$W77+VLOOKUP($W77,Regresiones!$Z$6:$AB$10,3,1),VLOOKUP(MIN(DatosHoy[Puntos]),Regresiones!$Z$6:$AB$10,2,1)*$W77+VLOOKUP(MIN(DatosHoy[Puntos]),Regresiones!$Z$6:$AB$10,3,1)),"NO")</f>
        <v>3953224.048844202</v>
      </c>
      <c r="AA77" s="3">
        <f t="shared" ca="1" si="18"/>
        <v>0.71554625921772053</v>
      </c>
    </row>
    <row r="78" spans="2:27" x14ac:dyDescent="0.2">
      <c r="B78" s="1">
        <v>73</v>
      </c>
      <c r="C78" s="15">
        <v>2828714.68</v>
      </c>
      <c r="D78" s="15">
        <v>2828714.68</v>
      </c>
      <c r="E78" s="15">
        <v>2828714.68</v>
      </c>
      <c r="F78" s="1" t="s">
        <v>115</v>
      </c>
      <c r="G78" s="1">
        <v>304</v>
      </c>
      <c r="H78" s="1" t="str">
        <f t="shared" si="14"/>
        <v>$G$78</v>
      </c>
      <c r="I78" s="1" t="str">
        <f t="shared" si="15"/>
        <v>$C$78</v>
      </c>
      <c r="J78" s="1" t="str">
        <f t="shared" si="16"/>
        <v>$D$78</v>
      </c>
      <c r="K78" s="1" t="str">
        <f t="shared" si="17"/>
        <v>$E$78</v>
      </c>
      <c r="L78" s="15">
        <f ca="1">IFERROR(VLOOKUP($G78,Regresiones!$E$6:$I$10,4,1)*$G78+VLOOKUP($G78,Regresiones!$E$6:$I$10,5,1),"")</f>
        <v>4035164.1165577159</v>
      </c>
      <c r="M78" s="15">
        <f ca="1">IFERROR(VLOOKUP($G78,Regresiones!$J$6:$N$10,4,1)*$G78+VLOOKUP($G78,Regresiones!$J$6:$N$10,5,1),"")</f>
        <v>4057322.0810318505</v>
      </c>
      <c r="N78" s="15">
        <f ca="1">IFERROR(VLOOKUP($G78,Regresiones!$O$6:$S$10,4,1)*$G78+VLOOKUP($G78,Regresiones!$O$6:$S$10,5,1),"")</f>
        <v>4057322.0810318505</v>
      </c>
      <c r="O78" s="15">
        <f ca="1">IFERROR(VLOOKUP($G78,Regresiones!$T$6:$V$10,2,1)*$G78+VLOOKUP($G78,Regresiones!$T$6:$V$10,3,1),"")</f>
        <v>3874239.1241960027</v>
      </c>
      <c r="P78" s="15">
        <f ca="1">IFERROR(VLOOKUP($G78,Regresiones!$W$6:$Y$10,2,1)*$G78+VLOOKUP($G78,Regresiones!$W$6:$Y$10,3,1),"")</f>
        <v>4141013.3260491877</v>
      </c>
      <c r="Q78" s="15">
        <f ca="1">IFERROR(VLOOKUP($G78,Regresiones!$Z$6:$AB$10,2,1)*$G78+VLOOKUP($G78,Regresiones!$Z$6:$AB$10,3,1),"")</f>
        <v>4142339.45112844</v>
      </c>
      <c r="R78" s="15">
        <f ca="1">IF($W78=$W79,-1,DatosHoy[[#This Row],[G ajus PM]]-X79)</f>
        <v>-458825.52622537501</v>
      </c>
      <c r="S78" s="15">
        <f ca="1">IF($W78=$W79,-1,DatosHoy[[#This Row],[G+V ajus PM]]-Y79)</f>
        <v>-478920.95720891468</v>
      </c>
      <c r="T78" s="15">
        <f ca="1">IF($W78=$W79,-1,DatosHoy[[#This Row],[CT ajus PM]]-Z79)</f>
        <v>-478350.72342483653</v>
      </c>
      <c r="U78" s="15">
        <f ca="1">IFERROR(IF(DatosHoy[[#This Row],[G ajus PM]]=DatosHoy[[#This Row],[G+V ajus PM]],-1,DatosHoy[[#This Row],[G ajus PM]]-DatosHoy[[#This Row],[G+V ajus PM]]),"")</f>
        <v>-258829.49658062216</v>
      </c>
      <c r="V78" s="15">
        <f ca="1">IFERROR(IF(DatosHoy[[#This Row],[G+V ajus PM]]=DatosHoy[[#This Row],[CT ajus PM]],-1,DatosHoy[[#This Row],[G+V ajus PM]]-DatosHoy[[#This Row],[CT ajus PM]]),"")</f>
        <v>-1551.5663427249528</v>
      </c>
      <c r="W78" s="15">
        <v>287</v>
      </c>
      <c r="X78" s="15">
        <f ca="1">IFERROR(IFERROR(VLOOKUP($W78,Regresiones!$T$6:$V$10,2,1)*$W78+VLOOKUP($W78,Regresiones!$T$6:$V$10,3,1),VLOOKUP(MIN(DatosHoy[Puntos]),Regresiones!$T$6:$V$10,2,1)*$W78+VLOOKUP(MIN(DatosHoy[Puntos]),Regresiones!$T$6:$V$10,3,1)),"NO")</f>
        <v>3692842.9859208548</v>
      </c>
      <c r="Y78" s="15">
        <f ca="1">IFERROR(IFERROR(VLOOKUP($W78,Regresiones!$W$6:$Y$10,2,1)*$W78+VLOOKUP($W78,Regresiones!$W$6:$Y$10,3,1),VLOOKUP(MIN(DatosHoy[Puntos]),Regresiones!$W$6:$Y$10,2,1)*$W78+VLOOKUP(MIN(DatosHoy[Puntos]),Regresiones!$W$6:$Y$10,3,1)),"NO")</f>
        <v>3951672.482501477</v>
      </c>
      <c r="Z78" s="15">
        <f ca="1">IFERROR(IFERROR(VLOOKUP($W78,Regresiones!$Z$6:$AB$10,2,1)*$W78+VLOOKUP($W78,Regresiones!$Z$6:$AB$10,3,1),VLOOKUP(MIN(DatosHoy[Puntos]),Regresiones!$Z$6:$AB$10,2,1)*$W78+VLOOKUP(MIN(DatosHoy[Puntos]),Regresiones!$Z$6:$AB$10,3,1)),"NO")</f>
        <v>3953224.048844202</v>
      </c>
      <c r="AA78" s="3">
        <f t="shared" ca="1" si="18"/>
        <v>0.71554625921772053</v>
      </c>
    </row>
    <row r="79" spans="2:27" x14ac:dyDescent="0.2">
      <c r="B79" s="1">
        <v>74</v>
      </c>
      <c r="C79" s="15">
        <v>4457225.96</v>
      </c>
      <c r="D79" s="15">
        <v>4457225.96</v>
      </c>
      <c r="E79" s="15">
        <v>4457225.96</v>
      </c>
      <c r="F79" s="1" t="s">
        <v>116</v>
      </c>
      <c r="G79" s="1">
        <v>339</v>
      </c>
      <c r="H79" s="1" t="str">
        <f t="shared" si="14"/>
        <v>$G$79</v>
      </c>
      <c r="I79" s="1" t="str">
        <f t="shared" si="15"/>
        <v>$C$79</v>
      </c>
      <c r="J79" s="1" t="str">
        <f t="shared" si="16"/>
        <v>$D$79</v>
      </c>
      <c r="K79" s="1" t="str">
        <f t="shared" si="17"/>
        <v>$E$79</v>
      </c>
      <c r="L79" s="15">
        <f ca="1">IFERROR(VLOOKUP($G79,Regresiones!$E$6:$I$10,4,1)*$G79+VLOOKUP($G79,Regresiones!$E$6:$I$10,5,1),"")</f>
        <v>4481029.1220724545</v>
      </c>
      <c r="M79" s="15">
        <f ca="1">IFERROR(VLOOKUP($G79,Regresiones!$J$6:$N$10,4,1)*$G79+VLOOKUP($G79,Regresiones!$J$6:$N$10,5,1),"")</f>
        <v>4510806.0780174863</v>
      </c>
      <c r="N79" s="15">
        <f ca="1">IFERROR(VLOOKUP($G79,Regresiones!$O$6:$S$10,4,1)*$G79+VLOOKUP($G79,Regresiones!$O$6:$S$10,5,1),"")</f>
        <v>4510806.0780174863</v>
      </c>
      <c r="O79" s="15">
        <f ca="1">IFERROR(VLOOKUP($G79,Regresiones!$T$6:$V$10,2,1)*$G79+VLOOKUP($G79,Regresiones!$T$6:$V$10,3,1),"")</f>
        <v>4247701.7618213082</v>
      </c>
      <c r="P79" s="15">
        <f ca="1">IFERROR(VLOOKUP($G79,Regresiones!$W$6:$Y$10,2,1)*$G79+VLOOKUP($G79,Regresiones!$W$6:$Y$10,3,1),"")</f>
        <v>4530832.7098238859</v>
      </c>
      <c r="Q79" s="15">
        <f ca="1">IFERROR(VLOOKUP($G79,Regresiones!$Z$6:$AB$10,2,1)*$G79+VLOOKUP($G79,Regresiones!$Z$6:$AB$10,3,1),"")</f>
        <v>4531694.6911254004</v>
      </c>
      <c r="R79" s="15">
        <f>IF($W79=$W80,-1,DatosHoy[[#This Row],[G ajus PM]]-X80)</f>
        <v>-1</v>
      </c>
      <c r="S79" s="15">
        <f>IF($W79=$W80,-1,DatosHoy[[#This Row],[G+V ajus PM]]-Y80)</f>
        <v>-1</v>
      </c>
      <c r="T79" s="15">
        <f>IF($W79=$W80,-1,DatosHoy[[#This Row],[CT ajus PM]]-Z80)</f>
        <v>-1</v>
      </c>
      <c r="U79" s="15">
        <f ca="1">IFERROR(IF(DatosHoy[[#This Row],[G ajus PM]]=DatosHoy[[#This Row],[G+V ajus PM]],-1,DatosHoy[[#This Row],[G ajus PM]]-DatosHoy[[#This Row],[G+V ajus PM]]),"")</f>
        <v>-278924.92756416183</v>
      </c>
      <c r="V79" s="15">
        <f ca="1">IFERROR(IF(DatosHoy[[#This Row],[G+V ajus PM]]=DatosHoy[[#This Row],[CT ajus PM]],-1,DatosHoy[[#This Row],[G+V ajus PM]]-DatosHoy[[#This Row],[CT ajus PM]]),"")</f>
        <v>-981.33255864679813</v>
      </c>
      <c r="W79" s="15">
        <v>330</v>
      </c>
      <c r="X79" s="15">
        <f ca="1">IFERROR(IFERROR(VLOOKUP($W79,Regresiones!$T$6:$V$10,2,1)*$W79+VLOOKUP($W79,Regresiones!$T$6:$V$10,3,1),VLOOKUP(MIN(DatosHoy[Puntos]),Regresiones!$T$6:$V$10,2,1)*$W79+VLOOKUP(MIN(DatosHoy[Puntos]),Regresiones!$T$6:$V$10,3,1)),"NO")</f>
        <v>4151668.5121462299</v>
      </c>
      <c r="Y79" s="15">
        <f ca="1">IFERROR(IFERROR(VLOOKUP($W79,Regresiones!$W$6:$Y$10,2,1)*$W79+VLOOKUP($W79,Regresiones!$W$6:$Y$10,3,1),VLOOKUP(MIN(DatosHoy[Puntos]),Regresiones!$W$6:$Y$10,2,1)*$W79+VLOOKUP(MIN(DatosHoy[Puntos]),Regresiones!$W$6:$Y$10,3,1)),"NO")</f>
        <v>4430593.4397103917</v>
      </c>
      <c r="Z79" s="15">
        <f ca="1">IFERROR(IFERROR(VLOOKUP($W79,Regresiones!$Z$6:$AB$10,2,1)*$W79+VLOOKUP($W79,Regresiones!$Z$6:$AB$10,3,1),VLOOKUP(MIN(DatosHoy[Puntos]),Regresiones!$Z$6:$AB$10,2,1)*$W79+VLOOKUP(MIN(DatosHoy[Puntos]),Regresiones!$Z$6:$AB$10,3,1)),"NO")</f>
        <v>4431574.7722690385</v>
      </c>
      <c r="AA79" s="3">
        <f t="shared" ca="1" si="18"/>
        <v>1.0057882782191729</v>
      </c>
    </row>
    <row r="80" spans="2:27" x14ac:dyDescent="0.2">
      <c r="B80" s="1">
        <v>75</v>
      </c>
      <c r="C80" s="15">
        <v>3177009.0000000005</v>
      </c>
      <c r="D80" s="15">
        <v>4353679</v>
      </c>
      <c r="E80" s="15">
        <v>4353679</v>
      </c>
      <c r="F80" s="1" t="s">
        <v>117</v>
      </c>
      <c r="G80" s="1">
        <v>351</v>
      </c>
      <c r="H80" s="1" t="str">
        <f t="shared" si="14"/>
        <v>$G$80</v>
      </c>
      <c r="I80" s="1" t="str">
        <f t="shared" si="15"/>
        <v>$C$80</v>
      </c>
      <c r="J80" s="1" t="str">
        <f t="shared" si="16"/>
        <v>$D$80</v>
      </c>
      <c r="K80" s="1" t="str">
        <f t="shared" si="17"/>
        <v>$E$80</v>
      </c>
      <c r="L80" s="15">
        <f ca="1">IFERROR(VLOOKUP($G80,Regresiones!$E$6:$I$10,4,1)*$G80+VLOOKUP($G80,Regresiones!$E$6:$I$10,5,1),"")</f>
        <v>4633897.1239632219</v>
      </c>
      <c r="M80" s="15">
        <f ca="1">IFERROR(VLOOKUP($G80,Regresiones!$J$6:$N$10,4,1)*$G80+VLOOKUP($G80,Regresiones!$J$6:$N$10,5,1),"")</f>
        <v>4666286.3055554181</v>
      </c>
      <c r="N80" s="15">
        <f ca="1">IFERROR(VLOOKUP($G80,Regresiones!$O$6:$S$10,4,1)*$G80+VLOOKUP($G80,Regresiones!$O$6:$S$10,5,1),"")</f>
        <v>4666286.3055554181</v>
      </c>
      <c r="O80" s="15">
        <f ca="1">IFERROR(VLOOKUP($G80,Regresiones!$T$6:$V$10,2,1)*$G80+VLOOKUP($G80,Regresiones!$T$6:$V$10,3,1),"")</f>
        <v>4375746.0947214123</v>
      </c>
      <c r="P80" s="15">
        <f ca="1">IFERROR(VLOOKUP($G80,Regresiones!$W$6:$Y$10,2,1)*$G80+VLOOKUP($G80,Regresiones!$W$6:$Y$10,3,1),"")</f>
        <v>4664485.0699752104</v>
      </c>
      <c r="Q80" s="15">
        <f ca="1">IFERROR(VLOOKUP($G80,Regresiones!$Z$6:$AB$10,2,1)*$G80+VLOOKUP($G80,Regresiones!$Z$6:$AB$10,3,1),"")</f>
        <v>4665187.9162672143</v>
      </c>
      <c r="R80" s="15">
        <f ca="1">IF($W80=$W81,-1,DatosHoy[[#This Row],[G ajus PM]]-X81)</f>
        <v>-522847.69267542753</v>
      </c>
      <c r="S80" s="15">
        <f ca="1">IF($W80=$W81,-1,DatosHoy[[#This Row],[G+V ajus PM]]-Y81)</f>
        <v>-545747.13728457782</v>
      </c>
      <c r="T80" s="15">
        <f ca="1">IF($W80=$W81,-1,DatosHoy[[#This Row],[CT ajus PM]]-Z81)</f>
        <v>-545097.33599574398</v>
      </c>
      <c r="U80" s="15">
        <f ca="1">IFERROR(IF(DatosHoy[[#This Row],[G ajus PM]]=DatosHoy[[#This Row],[G+V ajus PM]],-1,DatosHoy[[#This Row],[G ajus PM]]-DatosHoy[[#This Row],[G+V ajus PM]]),"")</f>
        <v>-278924.92756416183</v>
      </c>
      <c r="V80" s="15">
        <f ca="1">IFERROR(IF(DatosHoy[[#This Row],[G+V ajus PM]]=DatosHoy[[#This Row],[CT ajus PM]],-1,DatosHoy[[#This Row],[G+V ajus PM]]-DatosHoy[[#This Row],[CT ajus PM]]),"")</f>
        <v>-981.33255864679813</v>
      </c>
      <c r="W80" s="15">
        <v>330</v>
      </c>
      <c r="X80" s="15">
        <f ca="1">IFERROR(IFERROR(VLOOKUP($W80,Regresiones!$T$6:$V$10,2,1)*$W80+VLOOKUP($W80,Regresiones!$T$6:$V$10,3,1),VLOOKUP(MIN(DatosHoy[Puntos]),Regresiones!$T$6:$V$10,2,1)*$W80+VLOOKUP(MIN(DatosHoy[Puntos]),Regresiones!$T$6:$V$10,3,1)),"NO")</f>
        <v>4151668.5121462299</v>
      </c>
      <c r="Y80" s="15">
        <f ca="1">IFERROR(IFERROR(VLOOKUP($W80,Regresiones!$W$6:$Y$10,2,1)*$W80+VLOOKUP($W80,Regresiones!$W$6:$Y$10,3,1),VLOOKUP(MIN(DatosHoy[Puntos]),Regresiones!$W$6:$Y$10,2,1)*$W80+VLOOKUP(MIN(DatosHoy[Puntos]),Regresiones!$W$6:$Y$10,3,1)),"NO")</f>
        <v>4430593.4397103917</v>
      </c>
      <c r="Z80" s="15">
        <f ca="1">IFERROR(IFERROR(VLOOKUP($W80,Regresiones!$Z$6:$AB$10,2,1)*$W80+VLOOKUP($W80,Regresiones!$Z$6:$AB$10,3,1),VLOOKUP(MIN(DatosHoy[Puntos]),Regresiones!$Z$6:$AB$10,2,1)*$W80+VLOOKUP(MIN(DatosHoy[Puntos]),Regresiones!$Z$6:$AB$10,3,1)),"NO")</f>
        <v>4431574.7722690385</v>
      </c>
      <c r="AA80" s="3">
        <f t="shared" ca="1" si="18"/>
        <v>0.98242255264280365</v>
      </c>
    </row>
    <row r="81" spans="2:27" x14ac:dyDescent="0.2">
      <c r="B81" s="1">
        <v>76</v>
      </c>
      <c r="C81" s="15">
        <v>3218192.45</v>
      </c>
      <c r="D81" s="15">
        <v>3218192.45</v>
      </c>
      <c r="E81" s="15">
        <v>3218192.45</v>
      </c>
      <c r="F81" s="1" t="s">
        <v>118</v>
      </c>
      <c r="G81" s="1">
        <v>357</v>
      </c>
      <c r="H81" s="1" t="str">
        <f t="shared" si="14"/>
        <v>$G$81</v>
      </c>
      <c r="I81" s="1" t="str">
        <f t="shared" si="15"/>
        <v>$C$81</v>
      </c>
      <c r="J81" s="1" t="str">
        <f t="shared" si="16"/>
        <v>$D$81</v>
      </c>
      <c r="K81" s="1" t="str">
        <f t="shared" si="17"/>
        <v>$E$81</v>
      </c>
      <c r="L81" s="15">
        <f ca="1">IFERROR(VLOOKUP($G81,Regresiones!$E$6:$I$10,4,1)*$G81+VLOOKUP($G81,Regresiones!$E$6:$I$10,5,1),"")</f>
        <v>4710331.1249086056</v>
      </c>
      <c r="M81" s="15">
        <f ca="1">IFERROR(VLOOKUP($G81,Regresiones!$J$6:$N$10,4,1)*$G81+VLOOKUP($G81,Regresiones!$J$6:$N$10,5,1),"")</f>
        <v>4744026.4193243841</v>
      </c>
      <c r="N81" s="15">
        <f ca="1">IFERROR(VLOOKUP($G81,Regresiones!$O$6:$S$10,4,1)*$G81+VLOOKUP($G81,Regresiones!$O$6:$S$10,5,1),"")</f>
        <v>4744026.4193243841</v>
      </c>
      <c r="O81" s="15">
        <f ca="1">IFERROR(VLOOKUP($G81,Regresiones!$T$6:$V$10,2,1)*$G81+VLOOKUP($G81,Regresiones!$T$6:$V$10,3,1),"")</f>
        <v>4439768.2611714657</v>
      </c>
      <c r="P81" s="15">
        <f ca="1">IFERROR(VLOOKUP($G81,Regresiones!$W$6:$Y$10,2,1)*$G81+VLOOKUP($G81,Regresiones!$W$6:$Y$10,3,1),"")</f>
        <v>4731311.2500508735</v>
      </c>
      <c r="Q81" s="15">
        <f ca="1">IFERROR(VLOOKUP($G81,Regresiones!$Z$6:$AB$10,2,1)*$G81+VLOOKUP($G81,Regresiones!$Z$6:$AB$10,3,1),"")</f>
        <v>4731934.5288381223</v>
      </c>
      <c r="R81" s="15">
        <f>IF($W81=$W82,-1,DatosHoy[[#This Row],[G ajus PM]]-X82)</f>
        <v>-1</v>
      </c>
      <c r="S81" s="15">
        <f>IF($W81=$W82,-1,DatosHoy[[#This Row],[G+V ajus PM]]-Y82)</f>
        <v>-1</v>
      </c>
      <c r="T81" s="15">
        <f>IF($W81=$W82,-1,DatosHoy[[#This Row],[CT ajus PM]]-Z82)</f>
        <v>-1</v>
      </c>
      <c r="U81" s="15">
        <f ca="1">IFERROR(IF(DatosHoy[[#This Row],[G ajus PM]]=DatosHoy[[#This Row],[G+V ajus PM]],-1,DatosHoy[[#This Row],[G ajus PM]]-DatosHoy[[#This Row],[G+V ajus PM]]),"")</f>
        <v>-301824.37217331212</v>
      </c>
      <c r="V81" s="15">
        <f ca="1">IFERROR(IF(DatosHoy[[#This Row],[G+V ajus PM]]=DatosHoy[[#This Row],[CT ajus PM]],-1,DatosHoy[[#This Row],[G+V ajus PM]]-DatosHoy[[#This Row],[CT ajus PM]]),"")</f>
        <v>-331.53126981295645</v>
      </c>
      <c r="W81" s="15">
        <v>379</v>
      </c>
      <c r="X81" s="15">
        <f ca="1">IFERROR(IFERROR(VLOOKUP($W81,Regresiones!$T$6:$V$10,2,1)*$W81+VLOOKUP($W81,Regresiones!$T$6:$V$10,3,1),VLOOKUP(MIN(DatosHoy[Puntos]),Regresiones!$T$6:$V$10,2,1)*$W81+VLOOKUP(MIN(DatosHoy[Puntos]),Regresiones!$T$6:$V$10,3,1)),"NO")</f>
        <v>4674516.2048216574</v>
      </c>
      <c r="Y81" s="15">
        <f ca="1">IFERROR(IFERROR(VLOOKUP($W81,Regresiones!$W$6:$Y$10,2,1)*$W81+VLOOKUP($W81,Regresiones!$W$6:$Y$10,3,1),VLOOKUP(MIN(DatosHoy[Puntos]),Regresiones!$W$6:$Y$10,2,1)*$W81+VLOOKUP(MIN(DatosHoy[Puntos]),Regresiones!$W$6:$Y$10,3,1)),"NO")</f>
        <v>4976340.5769949695</v>
      </c>
      <c r="Z81" s="15">
        <f ca="1">IFERROR(IFERROR(VLOOKUP($W81,Regresiones!$Z$6:$AB$10,2,1)*$W81+VLOOKUP($W81,Regresiones!$Z$6:$AB$10,3,1),VLOOKUP(MIN(DatosHoy[Puntos]),Regresiones!$Z$6:$AB$10,2,1)*$W81+VLOOKUP(MIN(DatosHoy[Puntos]),Regresiones!$Z$6:$AB$10,3,1)),"NO")</f>
        <v>4976672.1082647825</v>
      </c>
      <c r="AA81" s="3">
        <f t="shared" ca="1" si="18"/>
        <v>0.6466555119545716</v>
      </c>
    </row>
    <row r="82" spans="2:27" x14ac:dyDescent="0.2">
      <c r="B82" s="1">
        <v>77</v>
      </c>
      <c r="C82" s="15">
        <v>4236012</v>
      </c>
      <c r="D82" s="15">
        <v>4236012</v>
      </c>
      <c r="E82" s="15">
        <v>4236012</v>
      </c>
      <c r="F82" s="1" t="s">
        <v>119</v>
      </c>
      <c r="G82" s="1">
        <v>362</v>
      </c>
      <c r="H82" s="1" t="str">
        <f t="shared" si="14"/>
        <v>$G$82</v>
      </c>
      <c r="I82" s="1" t="str">
        <f t="shared" si="15"/>
        <v>$C$82</v>
      </c>
      <c r="J82" s="1" t="str">
        <f t="shared" si="16"/>
        <v>$D$82</v>
      </c>
      <c r="K82" s="1" t="str">
        <f t="shared" si="17"/>
        <v>$E$82</v>
      </c>
      <c r="L82" s="15">
        <f ca="1">IFERROR(VLOOKUP($G82,Regresiones!$E$6:$I$10,4,1)*$G82+VLOOKUP($G82,Regresiones!$E$6:$I$10,5,1),"")</f>
        <v>4774026.1256964263</v>
      </c>
      <c r="M82" s="15">
        <f ca="1">IFERROR(VLOOKUP($G82,Regresiones!$J$6:$N$10,4,1)*$G82+VLOOKUP($G82,Regresiones!$J$6:$N$10,5,1),"")</f>
        <v>4808809.8474651892</v>
      </c>
      <c r="N82" s="15">
        <f ca="1">IFERROR(VLOOKUP($G82,Regresiones!$O$6:$S$10,4,1)*$G82+VLOOKUP($G82,Regresiones!$O$6:$S$10,5,1),"")</f>
        <v>4808809.8474651892</v>
      </c>
      <c r="O82" s="15">
        <f ca="1">IFERROR(VLOOKUP($G82,Regresiones!$T$6:$V$10,2,1)*$G82+VLOOKUP($G82,Regresiones!$T$6:$V$10,3,1),"")</f>
        <v>4493120.066546509</v>
      </c>
      <c r="P82" s="15">
        <f ca="1">IFERROR(VLOOKUP($G82,Regresiones!$W$6:$Y$10,2,1)*$G82+VLOOKUP($G82,Regresiones!$W$6:$Y$10,3,1),"")</f>
        <v>4786999.7334472593</v>
      </c>
      <c r="Q82" s="15">
        <f ca="1">IFERROR(VLOOKUP($G82,Regresiones!$Z$6:$AB$10,2,1)*$G82+VLOOKUP($G82,Regresiones!$Z$6:$AB$10,3,1),"")</f>
        <v>4787556.7059805449</v>
      </c>
      <c r="R82" s="15">
        <f>IF($W82=$W83,-1,DatosHoy[[#This Row],[G ajus PM]]-X83)</f>
        <v>-1</v>
      </c>
      <c r="S82" s="15">
        <f>IF($W82=$W83,-1,DatosHoy[[#This Row],[G+V ajus PM]]-Y83)</f>
        <v>-1</v>
      </c>
      <c r="T82" s="15">
        <f>IF($W82=$W83,-1,DatosHoy[[#This Row],[CT ajus PM]]-Z83)</f>
        <v>-1</v>
      </c>
      <c r="U82" s="15">
        <f ca="1">IFERROR(IF(DatosHoy[[#This Row],[G ajus PM]]=DatosHoy[[#This Row],[G+V ajus PM]],-1,DatosHoy[[#This Row],[G ajus PM]]-DatosHoy[[#This Row],[G+V ajus PM]]),"")</f>
        <v>-301824.37217331212</v>
      </c>
      <c r="V82" s="15">
        <f ca="1">IFERROR(IF(DatosHoy[[#This Row],[G+V ajus PM]]=DatosHoy[[#This Row],[CT ajus PM]],-1,DatosHoy[[#This Row],[G+V ajus PM]]-DatosHoy[[#This Row],[CT ajus PM]]),"")</f>
        <v>-331.53126981295645</v>
      </c>
      <c r="W82" s="15">
        <v>379</v>
      </c>
      <c r="X82" s="15">
        <f ca="1">IFERROR(IFERROR(VLOOKUP($W82,Regresiones!$T$6:$V$10,2,1)*$W82+VLOOKUP($W82,Regresiones!$T$6:$V$10,3,1),VLOOKUP(MIN(DatosHoy[Puntos]),Regresiones!$T$6:$V$10,2,1)*$W82+VLOOKUP(MIN(DatosHoy[Puntos]),Regresiones!$T$6:$V$10,3,1)),"NO")</f>
        <v>4674516.2048216574</v>
      </c>
      <c r="Y82" s="15">
        <f ca="1">IFERROR(IFERROR(VLOOKUP($W82,Regresiones!$W$6:$Y$10,2,1)*$W82+VLOOKUP($W82,Regresiones!$W$6:$Y$10,3,1),VLOOKUP(MIN(DatosHoy[Puntos]),Regresiones!$W$6:$Y$10,2,1)*$W82+VLOOKUP(MIN(DatosHoy[Puntos]),Regresiones!$W$6:$Y$10,3,1)),"NO")</f>
        <v>4976340.5769949695</v>
      </c>
      <c r="Z82" s="15">
        <f ca="1">IFERROR(IFERROR(VLOOKUP($W82,Regresiones!$Z$6:$AB$10,2,1)*$W82+VLOOKUP($W82,Regresiones!$Z$6:$AB$10,3,1),VLOOKUP(MIN(DatosHoy[Puntos]),Regresiones!$Z$6:$AB$10,2,1)*$W82+VLOOKUP(MIN(DatosHoy[Puntos]),Regresiones!$Z$6:$AB$10,3,1)),"NO")</f>
        <v>4976672.1082647825</v>
      </c>
      <c r="AA82" s="3">
        <f t="shared" ca="1" si="18"/>
        <v>0.85117361719797358</v>
      </c>
    </row>
    <row r="83" spans="2:27" x14ac:dyDescent="0.2">
      <c r="B83" s="1">
        <v>78</v>
      </c>
      <c r="C83" s="15">
        <v>5072624.37</v>
      </c>
      <c r="D83" s="15">
        <v>5072624.37</v>
      </c>
      <c r="E83" s="15">
        <v>5072624.37</v>
      </c>
      <c r="F83" s="1" t="s">
        <v>120</v>
      </c>
      <c r="G83" s="1">
        <v>370</v>
      </c>
      <c r="H83" s="1" t="str">
        <f t="shared" si="14"/>
        <v>$G$83</v>
      </c>
      <c r="I83" s="1" t="str">
        <f t="shared" si="15"/>
        <v>$C$83</v>
      </c>
      <c r="J83" s="1" t="str">
        <f t="shared" si="16"/>
        <v>$D$83</v>
      </c>
      <c r="K83" s="1" t="str">
        <f t="shared" si="17"/>
        <v>$E$83</v>
      </c>
      <c r="L83" s="15">
        <f ca="1">IFERROR(VLOOKUP($G83,Regresiones!$E$6:$I$10,4,1)*$G83+VLOOKUP($G83,Regresiones!$E$6:$I$10,5,1),"")</f>
        <v>4875938.1269569378</v>
      </c>
      <c r="M83" s="15">
        <f ca="1">IFERROR(VLOOKUP($G83,Regresiones!$J$6:$N$10,4,1)*$G83+VLOOKUP($G83,Regresiones!$J$6:$N$10,5,1),"")</f>
        <v>4912463.3324904768</v>
      </c>
      <c r="N83" s="15">
        <f ca="1">IFERROR(VLOOKUP($G83,Regresiones!$O$6:$S$10,4,1)*$G83+VLOOKUP($G83,Regresiones!$O$6:$S$10,5,1),"")</f>
        <v>4912463.3324904768</v>
      </c>
      <c r="O83" s="15">
        <f ca="1">IFERROR(VLOOKUP($G83,Regresiones!$T$6:$V$10,2,1)*$G83+VLOOKUP($G83,Regresiones!$T$6:$V$10,3,1),"")</f>
        <v>4578482.9551465791</v>
      </c>
      <c r="P83" s="15">
        <f ca="1">IFERROR(VLOOKUP($G83,Regresiones!$W$6:$Y$10,2,1)*$G83+VLOOKUP($G83,Regresiones!$W$6:$Y$10,3,1),"")</f>
        <v>4876101.3068814762</v>
      </c>
      <c r="Q83" s="15">
        <f ca="1">IFERROR(VLOOKUP($G83,Regresiones!$Z$6:$AB$10,2,1)*$G83+VLOOKUP($G83,Regresiones!$Z$6:$AB$10,3,1),"")</f>
        <v>4876552.1894084215</v>
      </c>
      <c r="R83" s="15">
        <f>IF($W83=$W84,-1,DatosHoy[[#This Row],[G ajus PM]]-X84)</f>
        <v>-1</v>
      </c>
      <c r="S83" s="15">
        <f>IF($W83=$W84,-1,DatosHoy[[#This Row],[G+V ajus PM]]-Y84)</f>
        <v>-1</v>
      </c>
      <c r="T83" s="15">
        <f>IF($W83=$W84,-1,DatosHoy[[#This Row],[CT ajus PM]]-Z84)</f>
        <v>-1</v>
      </c>
      <c r="U83" s="15">
        <f ca="1">IFERROR(IF(DatosHoy[[#This Row],[G ajus PM]]=DatosHoy[[#This Row],[G+V ajus PM]],-1,DatosHoy[[#This Row],[G ajus PM]]-DatosHoy[[#This Row],[G+V ajus PM]]),"")</f>
        <v>-301824.37217331212</v>
      </c>
      <c r="V83" s="15">
        <f ca="1">IFERROR(IF(DatosHoy[[#This Row],[G+V ajus PM]]=DatosHoy[[#This Row],[CT ajus PM]],-1,DatosHoy[[#This Row],[G+V ajus PM]]-DatosHoy[[#This Row],[CT ajus PM]]),"")</f>
        <v>-331.53126981295645</v>
      </c>
      <c r="W83" s="15">
        <v>379</v>
      </c>
      <c r="X83" s="15">
        <f ca="1">IFERROR(IFERROR(VLOOKUP($W83,Regresiones!$T$6:$V$10,2,1)*$W83+VLOOKUP($W83,Regresiones!$T$6:$V$10,3,1),VLOOKUP(MIN(DatosHoy[Puntos]),Regresiones!$T$6:$V$10,2,1)*$W83+VLOOKUP(MIN(DatosHoy[Puntos]),Regresiones!$T$6:$V$10,3,1)),"NO")</f>
        <v>4674516.2048216574</v>
      </c>
      <c r="Y83" s="15">
        <f ca="1">IFERROR(IFERROR(VLOOKUP($W83,Regresiones!$W$6:$Y$10,2,1)*$W83+VLOOKUP($W83,Regresiones!$W$6:$Y$10,3,1),VLOOKUP(MIN(DatosHoy[Puntos]),Regresiones!$W$6:$Y$10,2,1)*$W83+VLOOKUP(MIN(DatosHoy[Puntos]),Regresiones!$W$6:$Y$10,3,1)),"NO")</f>
        <v>4976340.5769949695</v>
      </c>
      <c r="Z83" s="15">
        <f ca="1">IFERROR(IFERROR(VLOOKUP($W83,Regresiones!$Z$6:$AB$10,2,1)*$W83+VLOOKUP($W83,Regresiones!$Z$6:$AB$10,3,1),VLOOKUP(MIN(DatosHoy[Puntos]),Regresiones!$Z$6:$AB$10,2,1)*$W83+VLOOKUP(MIN(DatosHoy[Puntos]),Regresiones!$Z$6:$AB$10,3,1)),"NO")</f>
        <v>4976672.1082647825</v>
      </c>
      <c r="AA83" s="3">
        <f t="shared" ca="1" si="18"/>
        <v>1.0192804065945733</v>
      </c>
    </row>
    <row r="84" spans="2:27" x14ac:dyDescent="0.2">
      <c r="B84" s="1">
        <v>79</v>
      </c>
      <c r="C84" s="15">
        <v>7441261.080000001</v>
      </c>
      <c r="D84" s="15">
        <v>7441261.080000001</v>
      </c>
      <c r="E84" s="15">
        <v>7441261.080000001</v>
      </c>
      <c r="F84" s="1" t="s">
        <v>121</v>
      </c>
      <c r="G84" s="1">
        <v>370</v>
      </c>
      <c r="H84" s="1" t="str">
        <f t="shared" si="14"/>
        <v>$G$84</v>
      </c>
      <c r="I84" s="1" t="str">
        <f t="shared" si="15"/>
        <v>$C$84</v>
      </c>
      <c r="J84" s="1" t="str">
        <f t="shared" si="16"/>
        <v>$D$84</v>
      </c>
      <c r="K84" s="1" t="str">
        <f t="shared" si="17"/>
        <v>$E$84</v>
      </c>
      <c r="L84" s="15">
        <f ca="1">IFERROR(VLOOKUP($G84,Regresiones!$E$6:$I$10,4,1)*$G84+VLOOKUP($G84,Regresiones!$E$6:$I$10,5,1),"")</f>
        <v>4875938.1269569378</v>
      </c>
      <c r="M84" s="15">
        <f ca="1">IFERROR(VLOOKUP($G84,Regresiones!$J$6:$N$10,4,1)*$G84+VLOOKUP($G84,Regresiones!$J$6:$N$10,5,1),"")</f>
        <v>4912463.3324904768</v>
      </c>
      <c r="N84" s="15">
        <f ca="1">IFERROR(VLOOKUP($G84,Regresiones!$O$6:$S$10,4,1)*$G84+VLOOKUP($G84,Regresiones!$O$6:$S$10,5,1),"")</f>
        <v>4912463.3324904768</v>
      </c>
      <c r="O84" s="15">
        <f ca="1">IFERROR(VLOOKUP($G84,Regresiones!$T$6:$V$10,2,1)*$G84+VLOOKUP($G84,Regresiones!$T$6:$V$10,3,1),"")</f>
        <v>4578482.9551465791</v>
      </c>
      <c r="P84" s="15">
        <f ca="1">IFERROR(VLOOKUP($G84,Regresiones!$W$6:$Y$10,2,1)*$G84+VLOOKUP($G84,Regresiones!$W$6:$Y$10,3,1),"")</f>
        <v>4876101.3068814762</v>
      </c>
      <c r="Q84" s="15">
        <f ca="1">IFERROR(VLOOKUP($G84,Regresiones!$Z$6:$AB$10,2,1)*$G84+VLOOKUP($G84,Regresiones!$Z$6:$AB$10,3,1),"")</f>
        <v>4876552.1894084215</v>
      </c>
      <c r="R84" s="15">
        <f>IF($W84=$W85,-1,DatosHoy[[#This Row],[G ajus PM]]-X85)</f>
        <v>-1</v>
      </c>
      <c r="S84" s="15">
        <f>IF($W84=$W85,-1,DatosHoy[[#This Row],[G+V ajus PM]]-Y85)</f>
        <v>-1</v>
      </c>
      <c r="T84" s="15">
        <f>IF($W84=$W85,-1,DatosHoy[[#This Row],[CT ajus PM]]-Z85)</f>
        <v>-1</v>
      </c>
      <c r="U84" s="15">
        <f ca="1">IFERROR(IF(DatosHoy[[#This Row],[G ajus PM]]=DatosHoy[[#This Row],[G+V ajus PM]],-1,DatosHoy[[#This Row],[G ajus PM]]-DatosHoy[[#This Row],[G+V ajus PM]]),"")</f>
        <v>-301824.37217331212</v>
      </c>
      <c r="V84" s="15">
        <f ca="1">IFERROR(IF(DatosHoy[[#This Row],[G+V ajus PM]]=DatosHoy[[#This Row],[CT ajus PM]],-1,DatosHoy[[#This Row],[G+V ajus PM]]-DatosHoy[[#This Row],[CT ajus PM]]),"")</f>
        <v>-331.53126981295645</v>
      </c>
      <c r="W84" s="15">
        <v>379</v>
      </c>
      <c r="X84" s="15">
        <f ca="1">IFERROR(IFERROR(VLOOKUP($W84,Regresiones!$T$6:$V$10,2,1)*$W84+VLOOKUP($W84,Regresiones!$T$6:$V$10,3,1),VLOOKUP(MIN(DatosHoy[Puntos]),Regresiones!$T$6:$V$10,2,1)*$W84+VLOOKUP(MIN(DatosHoy[Puntos]),Regresiones!$T$6:$V$10,3,1)),"NO")</f>
        <v>4674516.2048216574</v>
      </c>
      <c r="Y84" s="15">
        <f ca="1">IFERROR(IFERROR(VLOOKUP($W84,Regresiones!$W$6:$Y$10,2,1)*$W84+VLOOKUP($W84,Regresiones!$W$6:$Y$10,3,1),VLOOKUP(MIN(DatosHoy[Puntos]),Regresiones!$W$6:$Y$10,2,1)*$W84+VLOOKUP(MIN(DatosHoy[Puntos]),Regresiones!$W$6:$Y$10,3,1)),"NO")</f>
        <v>4976340.5769949695</v>
      </c>
      <c r="Z84" s="15">
        <f ca="1">IFERROR(IFERROR(VLOOKUP($W84,Regresiones!$Z$6:$AB$10,2,1)*$W84+VLOOKUP($W84,Regresiones!$Z$6:$AB$10,3,1),VLOOKUP(MIN(DatosHoy[Puntos]),Regresiones!$Z$6:$AB$10,2,1)*$W84+VLOOKUP(MIN(DatosHoy[Puntos]),Regresiones!$Z$6:$AB$10,3,1)),"NO")</f>
        <v>4976672.1082647825</v>
      </c>
      <c r="AA84" s="3">
        <f t="shared" ca="1" si="18"/>
        <v>1.4952283208777737</v>
      </c>
    </row>
    <row r="85" spans="2:27" x14ac:dyDescent="0.2">
      <c r="B85" s="1">
        <v>80</v>
      </c>
      <c r="C85" s="15">
        <v>5424448.7000000002</v>
      </c>
      <c r="D85" s="15">
        <v>5424448.7000000002</v>
      </c>
      <c r="E85" s="15">
        <v>5424448.7000000002</v>
      </c>
      <c r="F85" s="1" t="s">
        <v>122</v>
      </c>
      <c r="G85" s="1">
        <v>376</v>
      </c>
      <c r="H85" s="1" t="str">
        <f t="shared" si="14"/>
        <v>$G$85</v>
      </c>
      <c r="I85" s="1" t="str">
        <f t="shared" si="15"/>
        <v>$C$85</v>
      </c>
      <c r="J85" s="1" t="str">
        <f t="shared" si="16"/>
        <v>$D$85</v>
      </c>
      <c r="K85" s="1" t="str">
        <f t="shared" si="17"/>
        <v>$E$85</v>
      </c>
      <c r="L85" s="15">
        <f ca="1">IFERROR(VLOOKUP($G85,Regresiones!$E$6:$I$10,4,1)*$G85+VLOOKUP($G85,Regresiones!$E$6:$I$10,5,1),"")</f>
        <v>4952372.1279023215</v>
      </c>
      <c r="M85" s="15">
        <f ca="1">IFERROR(VLOOKUP($G85,Regresiones!$J$6:$N$10,4,1)*$G85+VLOOKUP($G85,Regresiones!$J$6:$N$10,5,1),"")</f>
        <v>4990203.4462594427</v>
      </c>
      <c r="N85" s="15">
        <f ca="1">IFERROR(VLOOKUP($G85,Regresiones!$O$6:$S$10,4,1)*$G85+VLOOKUP($G85,Regresiones!$O$6:$S$10,5,1),"")</f>
        <v>4990203.4462594427</v>
      </c>
      <c r="O85" s="15">
        <f ca="1">IFERROR(VLOOKUP($G85,Regresiones!$T$6:$V$10,2,1)*$G85+VLOOKUP($G85,Regresiones!$T$6:$V$10,3,1),"")</f>
        <v>4642505.1215966307</v>
      </c>
      <c r="P85" s="15">
        <f ca="1">IFERROR(VLOOKUP($G85,Regresiones!$W$6:$Y$10,2,1)*$G85+VLOOKUP($G85,Regresiones!$W$6:$Y$10,3,1),"")</f>
        <v>4942927.4869571384</v>
      </c>
      <c r="Q85" s="15">
        <f ca="1">IFERROR(VLOOKUP($G85,Regresiones!$Z$6:$AB$10,2,1)*$G85+VLOOKUP($G85,Regresiones!$Z$6:$AB$10,3,1),"")</f>
        <v>4943298.8019793294</v>
      </c>
      <c r="R85" s="15">
        <f>IF($W85=$W86,-1,DatosHoy[[#This Row],[G ajus PM]]-X86)</f>
        <v>-1</v>
      </c>
      <c r="S85" s="15">
        <f>IF($W85=$W86,-1,DatosHoy[[#This Row],[G+V ajus PM]]-Y86)</f>
        <v>-1</v>
      </c>
      <c r="T85" s="15">
        <f>IF($W85=$W86,-1,DatosHoy[[#This Row],[CT ajus PM]]-Z86)</f>
        <v>-1</v>
      </c>
      <c r="U85" s="15">
        <f ca="1">IFERROR(IF(DatosHoy[[#This Row],[G ajus PM]]=DatosHoy[[#This Row],[G+V ajus PM]],-1,DatosHoy[[#This Row],[G ajus PM]]-DatosHoy[[#This Row],[G+V ajus PM]]),"")</f>
        <v>-301824.37217331212</v>
      </c>
      <c r="V85" s="15">
        <f ca="1">IFERROR(IF(DatosHoy[[#This Row],[G+V ajus PM]]=DatosHoy[[#This Row],[CT ajus PM]],-1,DatosHoy[[#This Row],[G+V ajus PM]]-DatosHoy[[#This Row],[CT ajus PM]]),"")</f>
        <v>-331.53126981295645</v>
      </c>
      <c r="W85" s="15">
        <v>379</v>
      </c>
      <c r="X85" s="15">
        <f ca="1">IFERROR(IFERROR(VLOOKUP($W85,Regresiones!$T$6:$V$10,2,1)*$W85+VLOOKUP($W85,Regresiones!$T$6:$V$10,3,1),VLOOKUP(MIN(DatosHoy[Puntos]),Regresiones!$T$6:$V$10,2,1)*$W85+VLOOKUP(MIN(DatosHoy[Puntos]),Regresiones!$T$6:$V$10,3,1)),"NO")</f>
        <v>4674516.2048216574</v>
      </c>
      <c r="Y85" s="15">
        <f ca="1">IFERROR(IFERROR(VLOOKUP($W85,Regresiones!$W$6:$Y$10,2,1)*$W85+VLOOKUP($W85,Regresiones!$W$6:$Y$10,3,1),VLOOKUP(MIN(DatosHoy[Puntos]),Regresiones!$W$6:$Y$10,2,1)*$W85+VLOOKUP(MIN(DatosHoy[Puntos]),Regresiones!$W$6:$Y$10,3,1)),"NO")</f>
        <v>4976340.5769949695</v>
      </c>
      <c r="Z85" s="15">
        <f ca="1">IFERROR(IFERROR(VLOOKUP($W85,Regresiones!$Z$6:$AB$10,2,1)*$W85+VLOOKUP($W85,Regresiones!$Z$6:$AB$10,3,1),VLOOKUP(MIN(DatosHoy[Puntos]),Regresiones!$Z$6:$AB$10,2,1)*$W85+VLOOKUP(MIN(DatosHoy[Puntos]),Regresiones!$Z$6:$AB$10,3,1)),"NO")</f>
        <v>4976672.1082647825</v>
      </c>
      <c r="AA85" s="3">
        <f t="shared" ca="1" si="18"/>
        <v>1.0899751042451828</v>
      </c>
    </row>
    <row r="86" spans="2:27" x14ac:dyDescent="0.2">
      <c r="B86" s="1">
        <v>81</v>
      </c>
      <c r="C86" s="15">
        <v>4745510.1100000003</v>
      </c>
      <c r="D86" s="15">
        <v>4745510.1100000003</v>
      </c>
      <c r="E86" s="15">
        <v>4745510.1100000003</v>
      </c>
      <c r="F86" s="1" t="s">
        <v>123</v>
      </c>
      <c r="G86" s="1">
        <v>376</v>
      </c>
      <c r="H86" s="1" t="str">
        <f t="shared" si="14"/>
        <v>$G$86</v>
      </c>
      <c r="I86" s="1" t="str">
        <f t="shared" si="15"/>
        <v>$C$86</v>
      </c>
      <c r="J86" s="1" t="str">
        <f t="shared" si="16"/>
        <v>$D$86</v>
      </c>
      <c r="K86" s="1" t="str">
        <f t="shared" si="17"/>
        <v>$E$86</v>
      </c>
      <c r="L86" s="15">
        <f ca="1">IFERROR(VLOOKUP($G86,Regresiones!$E$6:$I$10,4,1)*$G86+VLOOKUP($G86,Regresiones!$E$6:$I$10,5,1),"")</f>
        <v>4952372.1279023215</v>
      </c>
      <c r="M86" s="15">
        <f ca="1">IFERROR(VLOOKUP($G86,Regresiones!$J$6:$N$10,4,1)*$G86+VLOOKUP($G86,Regresiones!$J$6:$N$10,5,1),"")</f>
        <v>4990203.4462594427</v>
      </c>
      <c r="N86" s="15">
        <f ca="1">IFERROR(VLOOKUP($G86,Regresiones!$O$6:$S$10,4,1)*$G86+VLOOKUP($G86,Regresiones!$O$6:$S$10,5,1),"")</f>
        <v>4990203.4462594427</v>
      </c>
      <c r="O86" s="15">
        <f ca="1">IFERROR(VLOOKUP($G86,Regresiones!$T$6:$V$10,2,1)*$G86+VLOOKUP($G86,Regresiones!$T$6:$V$10,3,1),"")</f>
        <v>4642505.1215966307</v>
      </c>
      <c r="P86" s="15">
        <f ca="1">IFERROR(VLOOKUP($G86,Regresiones!$W$6:$Y$10,2,1)*$G86+VLOOKUP($G86,Regresiones!$W$6:$Y$10,3,1),"")</f>
        <v>4942927.4869571384</v>
      </c>
      <c r="Q86" s="15">
        <f ca="1">IFERROR(VLOOKUP($G86,Regresiones!$Z$6:$AB$10,2,1)*$G86+VLOOKUP($G86,Regresiones!$Z$6:$AB$10,3,1),"")</f>
        <v>4943298.8019793294</v>
      </c>
      <c r="R86" s="15">
        <f>IF($W86=$W87,-1,DatosHoy[[#This Row],[G ajus PM]]-X87)</f>
        <v>-1</v>
      </c>
      <c r="S86" s="15">
        <f>IF($W86=$W87,-1,DatosHoy[[#This Row],[G+V ajus PM]]-Y87)</f>
        <v>-1</v>
      </c>
      <c r="T86" s="15">
        <f>IF($W86=$W87,-1,DatosHoy[[#This Row],[CT ajus PM]]-Z87)</f>
        <v>-1</v>
      </c>
      <c r="U86" s="15">
        <f ca="1">IFERROR(IF(DatosHoy[[#This Row],[G ajus PM]]=DatosHoy[[#This Row],[G+V ajus PM]],-1,DatosHoy[[#This Row],[G ajus PM]]-DatosHoy[[#This Row],[G+V ajus PM]]),"")</f>
        <v>-301824.37217331212</v>
      </c>
      <c r="V86" s="15">
        <f ca="1">IFERROR(IF(DatosHoy[[#This Row],[G+V ajus PM]]=DatosHoy[[#This Row],[CT ajus PM]],-1,DatosHoy[[#This Row],[G+V ajus PM]]-DatosHoy[[#This Row],[CT ajus PM]]),"")</f>
        <v>-331.53126981295645</v>
      </c>
      <c r="W86" s="15">
        <v>379</v>
      </c>
      <c r="X86" s="15">
        <f ca="1">IFERROR(IFERROR(VLOOKUP($W86,Regresiones!$T$6:$V$10,2,1)*$W86+VLOOKUP($W86,Regresiones!$T$6:$V$10,3,1),VLOOKUP(MIN(DatosHoy[Puntos]),Regresiones!$T$6:$V$10,2,1)*$W86+VLOOKUP(MIN(DatosHoy[Puntos]),Regresiones!$T$6:$V$10,3,1)),"NO")</f>
        <v>4674516.2048216574</v>
      </c>
      <c r="Y86" s="15">
        <f ca="1">IFERROR(IFERROR(VLOOKUP($W86,Regresiones!$W$6:$Y$10,2,1)*$W86+VLOOKUP($W86,Regresiones!$W$6:$Y$10,3,1),VLOOKUP(MIN(DatosHoy[Puntos]),Regresiones!$W$6:$Y$10,2,1)*$W86+VLOOKUP(MIN(DatosHoy[Puntos]),Regresiones!$W$6:$Y$10,3,1)),"NO")</f>
        <v>4976340.5769949695</v>
      </c>
      <c r="Z86" s="15">
        <f ca="1">IFERROR(IFERROR(VLOOKUP($W86,Regresiones!$Z$6:$AB$10,2,1)*$W86+VLOOKUP($W86,Regresiones!$Z$6:$AB$10,3,1),VLOOKUP(MIN(DatosHoy[Puntos]),Regresiones!$Z$6:$AB$10,2,1)*$W86+VLOOKUP(MIN(DatosHoy[Puntos]),Regresiones!$Z$6:$AB$10,3,1)),"NO")</f>
        <v>4976672.1082647825</v>
      </c>
      <c r="AA86" s="3">
        <f t="shared" ca="1" si="18"/>
        <v>0.95355088837761881</v>
      </c>
    </row>
    <row r="87" spans="2:27" x14ac:dyDescent="0.2">
      <c r="B87" s="1">
        <v>82</v>
      </c>
      <c r="C87" s="15">
        <v>9295693</v>
      </c>
      <c r="D87" s="15">
        <v>9295693</v>
      </c>
      <c r="E87" s="15">
        <v>9295693</v>
      </c>
      <c r="F87" s="1" t="s">
        <v>124</v>
      </c>
      <c r="G87" s="1">
        <v>381</v>
      </c>
      <c r="H87" s="1" t="str">
        <f t="shared" si="14"/>
        <v>$G$87</v>
      </c>
      <c r="I87" s="1" t="str">
        <f t="shared" si="15"/>
        <v>$C$87</v>
      </c>
      <c r="J87" s="1" t="str">
        <f t="shared" si="16"/>
        <v>$D$87</v>
      </c>
      <c r="K87" s="1" t="str">
        <f t="shared" si="17"/>
        <v>$E$87</v>
      </c>
      <c r="L87" s="15">
        <f ca="1">IFERROR(VLOOKUP($G87,Regresiones!$E$6:$I$10,4,1)*$G87+VLOOKUP($G87,Regresiones!$E$6:$I$10,5,1),"")</f>
        <v>5016067.1286901422</v>
      </c>
      <c r="M87" s="15">
        <f ca="1">IFERROR(VLOOKUP($G87,Regresiones!$J$6:$N$10,4,1)*$G87+VLOOKUP($G87,Regresiones!$J$6:$N$10,5,1),"")</f>
        <v>5054986.8744002478</v>
      </c>
      <c r="N87" s="15">
        <f ca="1">IFERROR(VLOOKUP($G87,Regresiones!$O$6:$S$10,4,1)*$G87+VLOOKUP($G87,Regresiones!$O$6:$S$10,5,1),"")</f>
        <v>5054986.8744002478</v>
      </c>
      <c r="O87" s="15">
        <f ca="1">IFERROR(VLOOKUP($G87,Regresiones!$T$6:$V$10,2,1)*$G87+VLOOKUP($G87,Regresiones!$T$6:$V$10,3,1),"")</f>
        <v>4695856.926971674</v>
      </c>
      <c r="P87" s="15">
        <f ca="1">IFERROR(VLOOKUP($G87,Regresiones!$W$6:$Y$10,2,1)*$G87+VLOOKUP($G87,Regresiones!$W$6:$Y$10,3,1),"")</f>
        <v>4998615.9703535242</v>
      </c>
      <c r="Q87" s="15">
        <f ca="1">IFERROR(VLOOKUP($G87,Regresiones!$Z$6:$AB$10,2,1)*$G87+VLOOKUP($G87,Regresiones!$Z$6:$AB$10,3,1),"")</f>
        <v>4998920.9791217521</v>
      </c>
      <c r="R87" s="15">
        <f>IF($W87=$W88,-1,DatosHoy[[#This Row],[G ajus PM]]-X88)</f>
        <v>-1</v>
      </c>
      <c r="S87" s="15">
        <f>IF($W87=$W88,-1,DatosHoy[[#This Row],[G+V ajus PM]]-Y88)</f>
        <v>-1</v>
      </c>
      <c r="T87" s="15">
        <f>IF($W87=$W88,-1,DatosHoy[[#This Row],[CT ajus PM]]-Z88)</f>
        <v>-1</v>
      </c>
      <c r="U87" s="15">
        <f ca="1">IFERROR(IF(DatosHoy[[#This Row],[G ajus PM]]=DatosHoy[[#This Row],[G+V ajus PM]],-1,DatosHoy[[#This Row],[G ajus PM]]-DatosHoy[[#This Row],[G+V ajus PM]]),"")</f>
        <v>-301824.37217331212</v>
      </c>
      <c r="V87" s="15">
        <f ca="1">IFERROR(IF(DatosHoy[[#This Row],[G+V ajus PM]]=DatosHoy[[#This Row],[CT ajus PM]],-1,DatosHoy[[#This Row],[G+V ajus PM]]-DatosHoy[[#This Row],[CT ajus PM]]),"")</f>
        <v>-331.53126981295645</v>
      </c>
      <c r="W87" s="15">
        <v>379</v>
      </c>
      <c r="X87" s="15">
        <f ca="1">IFERROR(IFERROR(VLOOKUP($W87,Regresiones!$T$6:$V$10,2,1)*$W87+VLOOKUP($W87,Regresiones!$T$6:$V$10,3,1),VLOOKUP(MIN(DatosHoy[Puntos]),Regresiones!$T$6:$V$10,2,1)*$W87+VLOOKUP(MIN(DatosHoy[Puntos]),Regresiones!$T$6:$V$10,3,1)),"NO")</f>
        <v>4674516.2048216574</v>
      </c>
      <c r="Y87" s="15">
        <f ca="1">IFERROR(IFERROR(VLOOKUP($W87,Regresiones!$W$6:$Y$10,2,1)*$W87+VLOOKUP($W87,Regresiones!$W$6:$Y$10,3,1),VLOOKUP(MIN(DatosHoy[Puntos]),Regresiones!$W$6:$Y$10,2,1)*$W87+VLOOKUP(MIN(DatosHoy[Puntos]),Regresiones!$W$6:$Y$10,3,1)),"NO")</f>
        <v>4976340.5769949695</v>
      </c>
      <c r="Z87" s="15">
        <f ca="1">IFERROR(IFERROR(VLOOKUP($W87,Regresiones!$Z$6:$AB$10,2,1)*$W87+VLOOKUP($W87,Regresiones!$Z$6:$AB$10,3,1),VLOOKUP(MIN(DatosHoy[Puntos]),Regresiones!$Z$6:$AB$10,2,1)*$W87+VLOOKUP(MIN(DatosHoy[Puntos]),Regresiones!$Z$6:$AB$10,3,1)),"NO")</f>
        <v>4976672.1082647825</v>
      </c>
      <c r="AA87" s="3">
        <f t="shared" ca="1" si="18"/>
        <v>1.8678532155177754</v>
      </c>
    </row>
    <row r="88" spans="2:27" x14ac:dyDescent="0.2">
      <c r="B88" s="1">
        <v>83</v>
      </c>
      <c r="C88" s="15">
        <v>5356201.8400000008</v>
      </c>
      <c r="D88" s="15">
        <v>5356201.8400000008</v>
      </c>
      <c r="E88" s="15">
        <v>5356201.8400000008</v>
      </c>
      <c r="F88" s="1" t="s">
        <v>125</v>
      </c>
      <c r="G88" s="1">
        <v>384</v>
      </c>
      <c r="H88" s="1" t="str">
        <f t="shared" si="14"/>
        <v>$G$88</v>
      </c>
      <c r="I88" s="1" t="str">
        <f t="shared" si="15"/>
        <v>$C$88</v>
      </c>
      <c r="J88" s="1" t="str">
        <f t="shared" si="16"/>
        <v>$D$88</v>
      </c>
      <c r="K88" s="1" t="str">
        <f t="shared" si="17"/>
        <v>$E$88</v>
      </c>
      <c r="L88" s="15">
        <f ca="1">IFERROR(VLOOKUP($G88,Regresiones!$E$6:$I$10,4,1)*$G88+VLOOKUP($G88,Regresiones!$E$6:$I$10,5,1),"")</f>
        <v>5054284.1291628331</v>
      </c>
      <c r="M88" s="15">
        <f ca="1">IFERROR(VLOOKUP($G88,Regresiones!$J$6:$N$10,4,1)*$G88+VLOOKUP($G88,Regresiones!$J$6:$N$10,5,1),"")</f>
        <v>5093856.9312847313</v>
      </c>
      <c r="N88" s="15">
        <f ca="1">IFERROR(VLOOKUP($G88,Regresiones!$O$6:$S$10,4,1)*$G88+VLOOKUP($G88,Regresiones!$O$6:$S$10,5,1),"")</f>
        <v>5093856.9312847313</v>
      </c>
      <c r="O88" s="15">
        <f ca="1">IFERROR(VLOOKUP($G88,Regresiones!$T$6:$V$10,2,1)*$G88+VLOOKUP($G88,Regresiones!$T$6:$V$10,3,1),"")</f>
        <v>4727868.0101967007</v>
      </c>
      <c r="P88" s="15">
        <f ca="1">IFERROR(VLOOKUP($G88,Regresiones!$W$6:$Y$10,2,1)*$G88+VLOOKUP($G88,Regresiones!$W$6:$Y$10,3,1),"")</f>
        <v>5032029.0603913553</v>
      </c>
      <c r="Q88" s="15">
        <f ca="1">IFERROR(VLOOKUP($G88,Regresiones!$Z$6:$AB$10,2,1)*$G88+VLOOKUP($G88,Regresiones!$Z$6:$AB$10,3,1),"")</f>
        <v>5032294.2854072051</v>
      </c>
      <c r="R88" s="15">
        <f>IF($W88=$W89,-1,DatosHoy[[#This Row],[G ajus PM]]-X89)</f>
        <v>-1</v>
      </c>
      <c r="S88" s="15">
        <f>IF($W88=$W89,-1,DatosHoy[[#This Row],[G+V ajus PM]]-Y89)</f>
        <v>-1</v>
      </c>
      <c r="T88" s="15">
        <f>IF($W88=$W89,-1,DatosHoy[[#This Row],[CT ajus PM]]-Z89)</f>
        <v>-1</v>
      </c>
      <c r="U88" s="15">
        <f ca="1">IFERROR(IF(DatosHoy[[#This Row],[G ajus PM]]=DatosHoy[[#This Row],[G+V ajus PM]],-1,DatosHoy[[#This Row],[G ajus PM]]-DatosHoy[[#This Row],[G+V ajus PM]]),"")</f>
        <v>-301824.37217331212</v>
      </c>
      <c r="V88" s="15">
        <f ca="1">IFERROR(IF(DatosHoy[[#This Row],[G+V ajus PM]]=DatosHoy[[#This Row],[CT ajus PM]],-1,DatosHoy[[#This Row],[G+V ajus PM]]-DatosHoy[[#This Row],[CT ajus PM]]),"")</f>
        <v>-331.53126981295645</v>
      </c>
      <c r="W88" s="15">
        <v>379</v>
      </c>
      <c r="X88" s="15">
        <f ca="1">IFERROR(IFERROR(VLOOKUP($W88,Regresiones!$T$6:$V$10,2,1)*$W88+VLOOKUP($W88,Regresiones!$T$6:$V$10,3,1),VLOOKUP(MIN(DatosHoy[Puntos]),Regresiones!$T$6:$V$10,2,1)*$W88+VLOOKUP(MIN(DatosHoy[Puntos]),Regresiones!$T$6:$V$10,3,1)),"NO")</f>
        <v>4674516.2048216574</v>
      </c>
      <c r="Y88" s="15">
        <f ca="1">IFERROR(IFERROR(VLOOKUP($W88,Regresiones!$W$6:$Y$10,2,1)*$W88+VLOOKUP($W88,Regresiones!$W$6:$Y$10,3,1),VLOOKUP(MIN(DatosHoy[Puntos]),Regresiones!$W$6:$Y$10,2,1)*$W88+VLOOKUP(MIN(DatosHoy[Puntos]),Regresiones!$W$6:$Y$10,3,1)),"NO")</f>
        <v>4976340.5769949695</v>
      </c>
      <c r="Z88" s="15">
        <f ca="1">IFERROR(IFERROR(VLOOKUP($W88,Regresiones!$Z$6:$AB$10,2,1)*$W88+VLOOKUP($W88,Regresiones!$Z$6:$AB$10,3,1),VLOOKUP(MIN(DatosHoy[Puntos]),Regresiones!$Z$6:$AB$10,2,1)*$W88+VLOOKUP(MIN(DatosHoy[Puntos]),Regresiones!$Z$6:$AB$10,3,1)),"NO")</f>
        <v>4976672.1082647825</v>
      </c>
      <c r="AA88" s="3">
        <f t="shared" ca="1" si="18"/>
        <v>1.0762617515236601</v>
      </c>
    </row>
    <row r="89" spans="2:27" x14ac:dyDescent="0.2">
      <c r="B89" s="1">
        <v>84</v>
      </c>
      <c r="C89" s="15">
        <v>4457225.96</v>
      </c>
      <c r="D89" s="15">
        <v>4457225.96</v>
      </c>
      <c r="E89" s="15">
        <v>4457225.96</v>
      </c>
      <c r="F89" s="1" t="s">
        <v>126</v>
      </c>
      <c r="G89" s="1">
        <v>384</v>
      </c>
      <c r="H89" s="1" t="str">
        <f t="shared" si="14"/>
        <v>$G$89</v>
      </c>
      <c r="I89" s="1" t="str">
        <f t="shared" si="15"/>
        <v>$C$89</v>
      </c>
      <c r="J89" s="1" t="str">
        <f t="shared" si="16"/>
        <v>$D$89</v>
      </c>
      <c r="K89" s="1" t="str">
        <f t="shared" si="17"/>
        <v>$E$89</v>
      </c>
      <c r="L89" s="15">
        <f ca="1">IFERROR(VLOOKUP($G89,Regresiones!$E$6:$I$10,4,1)*$G89+VLOOKUP($G89,Regresiones!$E$6:$I$10,5,1),"")</f>
        <v>5054284.1291628331</v>
      </c>
      <c r="M89" s="15">
        <f ca="1">IFERROR(VLOOKUP($G89,Regresiones!$J$6:$N$10,4,1)*$G89+VLOOKUP($G89,Regresiones!$J$6:$N$10,5,1),"")</f>
        <v>5093856.9312847313</v>
      </c>
      <c r="N89" s="15">
        <f ca="1">IFERROR(VLOOKUP($G89,Regresiones!$O$6:$S$10,4,1)*$G89+VLOOKUP($G89,Regresiones!$O$6:$S$10,5,1),"")</f>
        <v>5093856.9312847313</v>
      </c>
      <c r="O89" s="15">
        <f ca="1">IFERROR(VLOOKUP($G89,Regresiones!$T$6:$V$10,2,1)*$G89+VLOOKUP($G89,Regresiones!$T$6:$V$10,3,1),"")</f>
        <v>4727868.0101967007</v>
      </c>
      <c r="P89" s="15">
        <f ca="1">IFERROR(VLOOKUP($G89,Regresiones!$W$6:$Y$10,2,1)*$G89+VLOOKUP($G89,Regresiones!$W$6:$Y$10,3,1),"")</f>
        <v>5032029.0603913553</v>
      </c>
      <c r="Q89" s="15">
        <f ca="1">IFERROR(VLOOKUP($G89,Regresiones!$Z$6:$AB$10,2,1)*$G89+VLOOKUP($G89,Regresiones!$Z$6:$AB$10,3,1),"")</f>
        <v>5032294.2854072051</v>
      </c>
      <c r="R89" s="15">
        <f>IF($W89=$W90,-1,DatosHoy[[#This Row],[G ajus PM]]-X90)</f>
        <v>-1</v>
      </c>
      <c r="S89" s="15">
        <f>IF($W89=$W90,-1,DatosHoy[[#This Row],[G+V ajus PM]]-Y90)</f>
        <v>-1</v>
      </c>
      <c r="T89" s="15">
        <f>IF($W89=$W90,-1,DatosHoy[[#This Row],[CT ajus PM]]-Z90)</f>
        <v>-1</v>
      </c>
      <c r="U89" s="15">
        <f ca="1">IFERROR(IF(DatosHoy[[#This Row],[G ajus PM]]=DatosHoy[[#This Row],[G+V ajus PM]],-1,DatosHoy[[#This Row],[G ajus PM]]-DatosHoy[[#This Row],[G+V ajus PM]]),"")</f>
        <v>-301824.37217331212</v>
      </c>
      <c r="V89" s="15">
        <f ca="1">IFERROR(IF(DatosHoy[[#This Row],[G+V ajus PM]]=DatosHoy[[#This Row],[CT ajus PM]],-1,DatosHoy[[#This Row],[G+V ajus PM]]-DatosHoy[[#This Row],[CT ajus PM]]),"")</f>
        <v>-331.53126981295645</v>
      </c>
      <c r="W89" s="15">
        <v>379</v>
      </c>
      <c r="X89" s="15">
        <f ca="1">IFERROR(IFERROR(VLOOKUP($W89,Regresiones!$T$6:$V$10,2,1)*$W89+VLOOKUP($W89,Regresiones!$T$6:$V$10,3,1),VLOOKUP(MIN(DatosHoy[Puntos]),Regresiones!$T$6:$V$10,2,1)*$W89+VLOOKUP(MIN(DatosHoy[Puntos]),Regresiones!$T$6:$V$10,3,1)),"NO")</f>
        <v>4674516.2048216574</v>
      </c>
      <c r="Y89" s="15">
        <f ca="1">IFERROR(IFERROR(VLOOKUP($W89,Regresiones!$W$6:$Y$10,2,1)*$W89+VLOOKUP($W89,Regresiones!$W$6:$Y$10,3,1),VLOOKUP(MIN(DatosHoy[Puntos]),Regresiones!$W$6:$Y$10,2,1)*$W89+VLOOKUP(MIN(DatosHoy[Puntos]),Regresiones!$W$6:$Y$10,3,1)),"NO")</f>
        <v>4976340.5769949695</v>
      </c>
      <c r="Z89" s="15">
        <f ca="1">IFERROR(IFERROR(VLOOKUP($W89,Regresiones!$Z$6:$AB$10,2,1)*$W89+VLOOKUP($W89,Regresiones!$Z$6:$AB$10,3,1),VLOOKUP(MIN(DatosHoy[Puntos]),Regresiones!$Z$6:$AB$10,2,1)*$W89+VLOOKUP(MIN(DatosHoy[Puntos]),Regresiones!$Z$6:$AB$10,3,1)),"NO")</f>
        <v>4976672.1082647825</v>
      </c>
      <c r="AA89" s="3">
        <f t="shared" ca="1" si="18"/>
        <v>0.89562379498497879</v>
      </c>
    </row>
    <row r="90" spans="2:27" x14ac:dyDescent="0.2">
      <c r="B90" s="1">
        <v>85</v>
      </c>
      <c r="C90" s="15">
        <v>4745510.1100000003</v>
      </c>
      <c r="D90" s="15">
        <v>4745510.1100000003</v>
      </c>
      <c r="E90" s="15">
        <v>4745510.1100000003</v>
      </c>
      <c r="F90" s="1" t="s">
        <v>127</v>
      </c>
      <c r="G90" s="1">
        <v>396</v>
      </c>
      <c r="H90" s="1" t="str">
        <f t="shared" si="14"/>
        <v>$G$90</v>
      </c>
      <c r="I90" s="1" t="str">
        <f t="shared" si="15"/>
        <v>$C$90</v>
      </c>
      <c r="J90" s="1" t="str">
        <f t="shared" si="16"/>
        <v>$D$90</v>
      </c>
      <c r="K90" s="1" t="str">
        <f t="shared" si="17"/>
        <v>$E$90</v>
      </c>
      <c r="L90" s="15">
        <f ca="1">IFERROR(VLOOKUP($G90,Regresiones!$E$6:$I$10,4,1)*$G90+VLOOKUP($G90,Regresiones!$E$6:$I$10,5,1),"")</f>
        <v>5207152.1310536023</v>
      </c>
      <c r="M90" s="15">
        <f ca="1">IFERROR(VLOOKUP($G90,Regresiones!$J$6:$N$10,4,1)*$G90+VLOOKUP($G90,Regresiones!$J$6:$N$10,5,1),"")</f>
        <v>5249337.1588226631</v>
      </c>
      <c r="N90" s="15">
        <f ca="1">IFERROR(VLOOKUP($G90,Regresiones!$O$6:$S$10,4,1)*$G90+VLOOKUP($G90,Regresiones!$O$6:$S$10,5,1),"")</f>
        <v>5249337.1588226631</v>
      </c>
      <c r="O90" s="15">
        <f ca="1">IFERROR(VLOOKUP($G90,Regresiones!$T$6:$V$10,2,1)*$G90+VLOOKUP($G90,Regresiones!$T$6:$V$10,3,1),"")</f>
        <v>4855912.3430968048</v>
      </c>
      <c r="P90" s="15">
        <f ca="1">IFERROR(VLOOKUP($G90,Regresiones!$W$6:$Y$10,2,1)*$G90+VLOOKUP($G90,Regresiones!$W$6:$Y$10,3,1),"")</f>
        <v>5165681.4205426797</v>
      </c>
      <c r="Q90" s="15">
        <f ca="1">IFERROR(VLOOKUP($G90,Regresiones!$Z$6:$AB$10,2,1)*$G90+VLOOKUP($G90,Regresiones!$Z$6:$AB$10,3,1),"")</f>
        <v>5165787.51054902</v>
      </c>
      <c r="R90" s="15">
        <f>IF($W90=$W91,-1,DatosHoy[[#This Row],[G ajus PM]]-X91)</f>
        <v>-1</v>
      </c>
      <c r="S90" s="15">
        <f>IF($W90=$W91,-1,DatosHoy[[#This Row],[G+V ajus PM]]-Y91)</f>
        <v>-1</v>
      </c>
      <c r="T90" s="15">
        <f>IF($W90=$W91,-1,DatosHoy[[#This Row],[CT ajus PM]]-Z91)</f>
        <v>-1</v>
      </c>
      <c r="U90" s="15">
        <f ca="1">IFERROR(IF(DatosHoy[[#This Row],[G ajus PM]]=DatosHoy[[#This Row],[G+V ajus PM]],-1,DatosHoy[[#This Row],[G ajus PM]]-DatosHoy[[#This Row],[G+V ajus PM]]),"")</f>
        <v>-301824.37217331212</v>
      </c>
      <c r="V90" s="15">
        <f ca="1">IFERROR(IF(DatosHoy[[#This Row],[G+V ajus PM]]=DatosHoy[[#This Row],[CT ajus PM]],-1,DatosHoy[[#This Row],[G+V ajus PM]]-DatosHoy[[#This Row],[CT ajus PM]]),"")</f>
        <v>-331.53126981295645</v>
      </c>
      <c r="W90" s="15">
        <v>379</v>
      </c>
      <c r="X90" s="15">
        <f ca="1">IFERROR(IFERROR(VLOOKUP($W90,Regresiones!$T$6:$V$10,2,1)*$W90+VLOOKUP($W90,Regresiones!$T$6:$V$10,3,1),VLOOKUP(MIN(DatosHoy[Puntos]),Regresiones!$T$6:$V$10,2,1)*$W90+VLOOKUP(MIN(DatosHoy[Puntos]),Regresiones!$T$6:$V$10,3,1)),"NO")</f>
        <v>4674516.2048216574</v>
      </c>
      <c r="Y90" s="15">
        <f ca="1">IFERROR(IFERROR(VLOOKUP($W90,Regresiones!$W$6:$Y$10,2,1)*$W90+VLOOKUP($W90,Regresiones!$W$6:$Y$10,3,1),VLOOKUP(MIN(DatosHoy[Puntos]),Regresiones!$W$6:$Y$10,2,1)*$W90+VLOOKUP(MIN(DatosHoy[Puntos]),Regresiones!$W$6:$Y$10,3,1)),"NO")</f>
        <v>4976340.5769949695</v>
      </c>
      <c r="Z90" s="15">
        <f ca="1">IFERROR(IFERROR(VLOOKUP($W90,Regresiones!$Z$6:$AB$10,2,1)*$W90+VLOOKUP($W90,Regresiones!$Z$6:$AB$10,3,1),VLOOKUP(MIN(DatosHoy[Puntos]),Regresiones!$Z$6:$AB$10,2,1)*$W90+VLOOKUP(MIN(DatosHoy[Puntos]),Regresiones!$Z$6:$AB$10,3,1)),"NO")</f>
        <v>4976672.1082647825</v>
      </c>
      <c r="AA90" s="3">
        <f t="shared" ca="1" si="18"/>
        <v>0.95355088837761881</v>
      </c>
    </row>
    <row r="91" spans="2:27" x14ac:dyDescent="0.2">
      <c r="B91" s="1">
        <v>86</v>
      </c>
      <c r="C91" s="15">
        <v>4745510.1100000003</v>
      </c>
      <c r="D91" s="15">
        <v>4745510.1100000003</v>
      </c>
      <c r="E91" s="15">
        <v>4745510.1100000003</v>
      </c>
      <c r="F91" s="1" t="s">
        <v>127</v>
      </c>
      <c r="G91" s="1">
        <v>396</v>
      </c>
      <c r="H91" s="1" t="str">
        <f t="shared" si="14"/>
        <v>$G$91</v>
      </c>
      <c r="I91" s="1" t="str">
        <f t="shared" si="15"/>
        <v>$C$91</v>
      </c>
      <c r="J91" s="1" t="str">
        <f t="shared" si="16"/>
        <v>$D$91</v>
      </c>
      <c r="K91" s="1" t="str">
        <f t="shared" si="17"/>
        <v>$E$91</v>
      </c>
      <c r="L91" s="15">
        <f ca="1">IFERROR(VLOOKUP($G91,Regresiones!$E$6:$I$10,4,1)*$G91+VLOOKUP($G91,Regresiones!$E$6:$I$10,5,1),"")</f>
        <v>5207152.1310536023</v>
      </c>
      <c r="M91" s="15">
        <f ca="1">IFERROR(VLOOKUP($G91,Regresiones!$J$6:$N$10,4,1)*$G91+VLOOKUP($G91,Regresiones!$J$6:$N$10,5,1),"")</f>
        <v>5249337.1588226631</v>
      </c>
      <c r="N91" s="15">
        <f ca="1">IFERROR(VLOOKUP($G91,Regresiones!$O$6:$S$10,4,1)*$G91+VLOOKUP($G91,Regresiones!$O$6:$S$10,5,1),"")</f>
        <v>5249337.1588226631</v>
      </c>
      <c r="O91" s="15">
        <f ca="1">IFERROR(VLOOKUP($G91,Regresiones!$T$6:$V$10,2,1)*$G91+VLOOKUP($G91,Regresiones!$T$6:$V$10,3,1),"")</f>
        <v>4855912.3430968048</v>
      </c>
      <c r="P91" s="15">
        <f ca="1">IFERROR(VLOOKUP($G91,Regresiones!$W$6:$Y$10,2,1)*$G91+VLOOKUP($G91,Regresiones!$W$6:$Y$10,3,1),"")</f>
        <v>5165681.4205426797</v>
      </c>
      <c r="Q91" s="15">
        <f ca="1">IFERROR(VLOOKUP($G91,Regresiones!$Z$6:$AB$10,2,1)*$G91+VLOOKUP($G91,Regresiones!$Z$6:$AB$10,3,1),"")</f>
        <v>5165787.51054902</v>
      </c>
      <c r="R91" s="15">
        <f>IF($W91=$W92,-1,DatosHoy[[#This Row],[G ajus PM]]-X92)</f>
        <v>-1</v>
      </c>
      <c r="S91" s="15">
        <f>IF($W91=$W92,-1,DatosHoy[[#This Row],[G+V ajus PM]]-Y92)</f>
        <v>-1</v>
      </c>
      <c r="T91" s="15">
        <f>IF($W91=$W92,-1,DatosHoy[[#This Row],[CT ajus PM]]-Z92)</f>
        <v>-1</v>
      </c>
      <c r="U91" s="15">
        <f ca="1">IFERROR(IF(DatosHoy[[#This Row],[G ajus PM]]=DatosHoy[[#This Row],[G+V ajus PM]],-1,DatosHoy[[#This Row],[G ajus PM]]-DatosHoy[[#This Row],[G+V ajus PM]]),"")</f>
        <v>-301824.37217331212</v>
      </c>
      <c r="V91" s="15">
        <f ca="1">IFERROR(IF(DatosHoy[[#This Row],[G+V ajus PM]]=DatosHoy[[#This Row],[CT ajus PM]],-1,DatosHoy[[#This Row],[G+V ajus PM]]-DatosHoy[[#This Row],[CT ajus PM]]),"")</f>
        <v>-331.53126981295645</v>
      </c>
      <c r="W91" s="15">
        <v>379</v>
      </c>
      <c r="X91" s="15">
        <f ca="1">IFERROR(IFERROR(VLOOKUP($W91,Regresiones!$T$6:$V$10,2,1)*$W91+VLOOKUP($W91,Regresiones!$T$6:$V$10,3,1),VLOOKUP(MIN(DatosHoy[Puntos]),Regresiones!$T$6:$V$10,2,1)*$W91+VLOOKUP(MIN(DatosHoy[Puntos]),Regresiones!$T$6:$V$10,3,1)),"NO")</f>
        <v>4674516.2048216574</v>
      </c>
      <c r="Y91" s="15">
        <f ca="1">IFERROR(IFERROR(VLOOKUP($W91,Regresiones!$W$6:$Y$10,2,1)*$W91+VLOOKUP($W91,Regresiones!$W$6:$Y$10,3,1),VLOOKUP(MIN(DatosHoy[Puntos]),Regresiones!$W$6:$Y$10,2,1)*$W91+VLOOKUP(MIN(DatosHoy[Puntos]),Regresiones!$W$6:$Y$10,3,1)),"NO")</f>
        <v>4976340.5769949695</v>
      </c>
      <c r="Z91" s="15">
        <f ca="1">IFERROR(IFERROR(VLOOKUP($W91,Regresiones!$Z$6:$AB$10,2,1)*$W91+VLOOKUP($W91,Regresiones!$Z$6:$AB$10,3,1),VLOOKUP(MIN(DatosHoy[Puntos]),Regresiones!$Z$6:$AB$10,2,1)*$W91+VLOOKUP(MIN(DatosHoy[Puntos]),Regresiones!$Z$6:$AB$10,3,1)),"NO")</f>
        <v>4976672.1082647825</v>
      </c>
      <c r="AA91" s="3">
        <f t="shared" ca="1" si="18"/>
        <v>0.95355088837761881</v>
      </c>
    </row>
    <row r="92" spans="2:27" x14ac:dyDescent="0.2">
      <c r="B92" s="1">
        <v>87</v>
      </c>
      <c r="C92" s="15">
        <v>4745510.1100000003</v>
      </c>
      <c r="D92" s="15">
        <v>4745510.1100000003</v>
      </c>
      <c r="E92" s="15">
        <v>4745510.1100000003</v>
      </c>
      <c r="F92" s="1" t="s">
        <v>127</v>
      </c>
      <c r="G92" s="1">
        <v>396</v>
      </c>
      <c r="H92" s="1" t="str">
        <f t="shared" si="14"/>
        <v>$G$92</v>
      </c>
      <c r="I92" s="1" t="str">
        <f t="shared" si="15"/>
        <v>$C$92</v>
      </c>
      <c r="J92" s="1" t="str">
        <f t="shared" si="16"/>
        <v>$D$92</v>
      </c>
      <c r="K92" s="1" t="str">
        <f t="shared" si="17"/>
        <v>$E$92</v>
      </c>
      <c r="L92" s="15">
        <f ca="1">IFERROR(VLOOKUP($G92,Regresiones!$E$6:$I$10,4,1)*$G92+VLOOKUP($G92,Regresiones!$E$6:$I$10,5,1),"")</f>
        <v>5207152.1310536023</v>
      </c>
      <c r="M92" s="15">
        <f ca="1">IFERROR(VLOOKUP($G92,Regresiones!$J$6:$N$10,4,1)*$G92+VLOOKUP($G92,Regresiones!$J$6:$N$10,5,1),"")</f>
        <v>5249337.1588226631</v>
      </c>
      <c r="N92" s="15">
        <f ca="1">IFERROR(VLOOKUP($G92,Regresiones!$O$6:$S$10,4,1)*$G92+VLOOKUP($G92,Regresiones!$O$6:$S$10,5,1),"")</f>
        <v>5249337.1588226631</v>
      </c>
      <c r="O92" s="15">
        <f ca="1">IFERROR(VLOOKUP($G92,Regresiones!$T$6:$V$10,2,1)*$G92+VLOOKUP($G92,Regresiones!$T$6:$V$10,3,1),"")</f>
        <v>4855912.3430968048</v>
      </c>
      <c r="P92" s="15">
        <f ca="1">IFERROR(VLOOKUP($G92,Regresiones!$W$6:$Y$10,2,1)*$G92+VLOOKUP($G92,Regresiones!$W$6:$Y$10,3,1),"")</f>
        <v>5165681.4205426797</v>
      </c>
      <c r="Q92" s="15">
        <f ca="1">IFERROR(VLOOKUP($G92,Regresiones!$Z$6:$AB$10,2,1)*$G92+VLOOKUP($G92,Regresiones!$Z$6:$AB$10,3,1),"")</f>
        <v>5165787.51054902</v>
      </c>
      <c r="R92" s="15">
        <f>IF($W92=$W93,-1,DatosHoy[[#This Row],[G ajus PM]]-X93)</f>
        <v>-1</v>
      </c>
      <c r="S92" s="15">
        <f>IF($W92=$W93,-1,DatosHoy[[#This Row],[G+V ajus PM]]-Y93)</f>
        <v>-1</v>
      </c>
      <c r="T92" s="15">
        <f>IF($W92=$W93,-1,DatosHoy[[#This Row],[CT ajus PM]]-Z93)</f>
        <v>-1</v>
      </c>
      <c r="U92" s="15">
        <f ca="1">IFERROR(IF(DatosHoy[[#This Row],[G ajus PM]]=DatosHoy[[#This Row],[G+V ajus PM]],-1,DatosHoy[[#This Row],[G ajus PM]]-DatosHoy[[#This Row],[G+V ajus PM]]),"")</f>
        <v>-301824.37217331212</v>
      </c>
      <c r="V92" s="15">
        <f ca="1">IFERROR(IF(DatosHoy[[#This Row],[G+V ajus PM]]=DatosHoy[[#This Row],[CT ajus PM]],-1,DatosHoy[[#This Row],[G+V ajus PM]]-DatosHoy[[#This Row],[CT ajus PM]]),"")</f>
        <v>-331.53126981295645</v>
      </c>
      <c r="W92" s="15">
        <v>379</v>
      </c>
      <c r="X92" s="15">
        <f ca="1">IFERROR(IFERROR(VLOOKUP($W92,Regresiones!$T$6:$V$10,2,1)*$W92+VLOOKUP($W92,Regresiones!$T$6:$V$10,3,1),VLOOKUP(MIN(DatosHoy[Puntos]),Regresiones!$T$6:$V$10,2,1)*$W92+VLOOKUP(MIN(DatosHoy[Puntos]),Regresiones!$T$6:$V$10,3,1)),"NO")</f>
        <v>4674516.2048216574</v>
      </c>
      <c r="Y92" s="15">
        <f ca="1">IFERROR(IFERROR(VLOOKUP($W92,Regresiones!$W$6:$Y$10,2,1)*$W92+VLOOKUP($W92,Regresiones!$W$6:$Y$10,3,1),VLOOKUP(MIN(DatosHoy[Puntos]),Regresiones!$W$6:$Y$10,2,1)*$W92+VLOOKUP(MIN(DatosHoy[Puntos]),Regresiones!$W$6:$Y$10,3,1)),"NO")</f>
        <v>4976340.5769949695</v>
      </c>
      <c r="Z92" s="15">
        <f ca="1">IFERROR(IFERROR(VLOOKUP($W92,Regresiones!$Z$6:$AB$10,2,1)*$W92+VLOOKUP($W92,Regresiones!$Z$6:$AB$10,3,1),VLOOKUP(MIN(DatosHoy[Puntos]),Regresiones!$Z$6:$AB$10,2,1)*$W92+VLOOKUP(MIN(DatosHoy[Puntos]),Regresiones!$Z$6:$AB$10,3,1)),"NO")</f>
        <v>4976672.1082647825</v>
      </c>
      <c r="AA92" s="3">
        <f t="shared" ca="1" si="18"/>
        <v>0.95355088837761881</v>
      </c>
    </row>
    <row r="93" spans="2:27" x14ac:dyDescent="0.2">
      <c r="B93" s="1">
        <v>88</v>
      </c>
      <c r="C93" s="15">
        <v>4745510.1100000003</v>
      </c>
      <c r="D93" s="15">
        <v>4745510.1100000003</v>
      </c>
      <c r="E93" s="15">
        <v>4745510.1100000003</v>
      </c>
      <c r="F93" s="1" t="s">
        <v>127</v>
      </c>
      <c r="G93" s="1">
        <v>396</v>
      </c>
      <c r="H93" s="1" t="str">
        <f t="shared" si="14"/>
        <v>$G$93</v>
      </c>
      <c r="I93" s="1" t="str">
        <f t="shared" si="15"/>
        <v>$C$93</v>
      </c>
      <c r="J93" s="1" t="str">
        <f t="shared" si="16"/>
        <v>$D$93</v>
      </c>
      <c r="K93" s="1" t="str">
        <f t="shared" si="17"/>
        <v>$E$93</v>
      </c>
      <c r="L93" s="15">
        <f ca="1">IFERROR(VLOOKUP($G93,Regresiones!$E$6:$I$10,4,1)*$G93+VLOOKUP($G93,Regresiones!$E$6:$I$10,5,1),"")</f>
        <v>5207152.1310536023</v>
      </c>
      <c r="M93" s="15">
        <f ca="1">IFERROR(VLOOKUP($G93,Regresiones!$J$6:$N$10,4,1)*$G93+VLOOKUP($G93,Regresiones!$J$6:$N$10,5,1),"")</f>
        <v>5249337.1588226631</v>
      </c>
      <c r="N93" s="15">
        <f ca="1">IFERROR(VLOOKUP($G93,Regresiones!$O$6:$S$10,4,1)*$G93+VLOOKUP($G93,Regresiones!$O$6:$S$10,5,1),"")</f>
        <v>5249337.1588226631</v>
      </c>
      <c r="O93" s="15">
        <f ca="1">IFERROR(VLOOKUP($G93,Regresiones!$T$6:$V$10,2,1)*$G93+VLOOKUP($G93,Regresiones!$T$6:$V$10,3,1),"")</f>
        <v>4855912.3430968048</v>
      </c>
      <c r="P93" s="15">
        <f ca="1">IFERROR(VLOOKUP($G93,Regresiones!$W$6:$Y$10,2,1)*$G93+VLOOKUP($G93,Regresiones!$W$6:$Y$10,3,1),"")</f>
        <v>5165681.4205426797</v>
      </c>
      <c r="Q93" s="15">
        <f ca="1">IFERROR(VLOOKUP($G93,Regresiones!$Z$6:$AB$10,2,1)*$G93+VLOOKUP($G93,Regresiones!$Z$6:$AB$10,3,1),"")</f>
        <v>5165787.51054902</v>
      </c>
      <c r="R93" s="15">
        <f>IF($W93=$W94,-1,DatosHoy[[#This Row],[G ajus PM]]-X94)</f>
        <v>-1</v>
      </c>
      <c r="S93" s="15">
        <f>IF($W93=$W94,-1,DatosHoy[[#This Row],[G+V ajus PM]]-Y94)</f>
        <v>-1</v>
      </c>
      <c r="T93" s="15">
        <f>IF($W93=$W94,-1,DatosHoy[[#This Row],[CT ajus PM]]-Z94)</f>
        <v>-1</v>
      </c>
      <c r="U93" s="15">
        <f ca="1">IFERROR(IF(DatosHoy[[#This Row],[G ajus PM]]=DatosHoy[[#This Row],[G+V ajus PM]],-1,DatosHoy[[#This Row],[G ajus PM]]-DatosHoy[[#This Row],[G+V ajus PM]]),"")</f>
        <v>-301824.37217331212</v>
      </c>
      <c r="V93" s="15">
        <f ca="1">IFERROR(IF(DatosHoy[[#This Row],[G+V ajus PM]]=DatosHoy[[#This Row],[CT ajus PM]],-1,DatosHoy[[#This Row],[G+V ajus PM]]-DatosHoy[[#This Row],[CT ajus PM]]),"")</f>
        <v>-331.53126981295645</v>
      </c>
      <c r="W93" s="15">
        <v>379</v>
      </c>
      <c r="X93" s="15">
        <f ca="1">IFERROR(IFERROR(VLOOKUP($W93,Regresiones!$T$6:$V$10,2,1)*$W93+VLOOKUP($W93,Regresiones!$T$6:$V$10,3,1),VLOOKUP(MIN(DatosHoy[Puntos]),Regresiones!$T$6:$V$10,2,1)*$W93+VLOOKUP(MIN(DatosHoy[Puntos]),Regresiones!$T$6:$V$10,3,1)),"NO")</f>
        <v>4674516.2048216574</v>
      </c>
      <c r="Y93" s="15">
        <f ca="1">IFERROR(IFERROR(VLOOKUP($W93,Regresiones!$W$6:$Y$10,2,1)*$W93+VLOOKUP($W93,Regresiones!$W$6:$Y$10,3,1),VLOOKUP(MIN(DatosHoy[Puntos]),Regresiones!$W$6:$Y$10,2,1)*$W93+VLOOKUP(MIN(DatosHoy[Puntos]),Regresiones!$W$6:$Y$10,3,1)),"NO")</f>
        <v>4976340.5769949695</v>
      </c>
      <c r="Z93" s="15">
        <f ca="1">IFERROR(IFERROR(VLOOKUP($W93,Regresiones!$Z$6:$AB$10,2,1)*$W93+VLOOKUP($W93,Regresiones!$Z$6:$AB$10,3,1),VLOOKUP(MIN(DatosHoy[Puntos]),Regresiones!$Z$6:$AB$10,2,1)*$W93+VLOOKUP(MIN(DatosHoy[Puntos]),Regresiones!$Z$6:$AB$10,3,1)),"NO")</f>
        <v>4976672.1082647825</v>
      </c>
      <c r="AA93" s="3">
        <f t="shared" ca="1" si="18"/>
        <v>0.95355088837761881</v>
      </c>
    </row>
    <row r="94" spans="2:27" x14ac:dyDescent="0.2">
      <c r="B94" s="1">
        <v>89</v>
      </c>
      <c r="C94" s="15">
        <v>4745510.1100000003</v>
      </c>
      <c r="D94" s="15">
        <v>4745510.1100000003</v>
      </c>
      <c r="E94" s="15">
        <v>4745510.1100000003</v>
      </c>
      <c r="F94" s="1" t="s">
        <v>127</v>
      </c>
      <c r="G94" s="1">
        <v>396</v>
      </c>
      <c r="H94" s="1" t="str">
        <f t="shared" si="14"/>
        <v>$G$94</v>
      </c>
      <c r="I94" s="1" t="str">
        <f t="shared" si="15"/>
        <v>$C$94</v>
      </c>
      <c r="J94" s="1" t="str">
        <f t="shared" si="16"/>
        <v>$D$94</v>
      </c>
      <c r="K94" s="1" t="str">
        <f t="shared" si="17"/>
        <v>$E$94</v>
      </c>
      <c r="L94" s="15">
        <f ca="1">IFERROR(VLOOKUP($G94,Regresiones!$E$6:$I$10,4,1)*$G94+VLOOKUP($G94,Regresiones!$E$6:$I$10,5,1),"")</f>
        <v>5207152.1310536023</v>
      </c>
      <c r="M94" s="15">
        <f ca="1">IFERROR(VLOOKUP($G94,Regresiones!$J$6:$N$10,4,1)*$G94+VLOOKUP($G94,Regresiones!$J$6:$N$10,5,1),"")</f>
        <v>5249337.1588226631</v>
      </c>
      <c r="N94" s="15">
        <f ca="1">IFERROR(VLOOKUP($G94,Regresiones!$O$6:$S$10,4,1)*$G94+VLOOKUP($G94,Regresiones!$O$6:$S$10,5,1),"")</f>
        <v>5249337.1588226631</v>
      </c>
      <c r="O94" s="15">
        <f ca="1">IFERROR(VLOOKUP($G94,Regresiones!$T$6:$V$10,2,1)*$G94+VLOOKUP($G94,Regresiones!$T$6:$V$10,3,1),"")</f>
        <v>4855912.3430968048</v>
      </c>
      <c r="P94" s="15">
        <f ca="1">IFERROR(VLOOKUP($G94,Regresiones!$W$6:$Y$10,2,1)*$G94+VLOOKUP($G94,Regresiones!$W$6:$Y$10,3,1),"")</f>
        <v>5165681.4205426797</v>
      </c>
      <c r="Q94" s="15">
        <f ca="1">IFERROR(VLOOKUP($G94,Regresiones!$Z$6:$AB$10,2,1)*$G94+VLOOKUP($G94,Regresiones!$Z$6:$AB$10,3,1),"")</f>
        <v>5165787.51054902</v>
      </c>
      <c r="R94" s="15">
        <f>IF($W94=$W95,-1,DatosHoy[[#This Row],[G ajus PM]]-X95)</f>
        <v>-1</v>
      </c>
      <c r="S94" s="15">
        <f>IF($W94=$W95,-1,DatosHoy[[#This Row],[G+V ajus PM]]-Y95)</f>
        <v>-1</v>
      </c>
      <c r="T94" s="15">
        <f>IF($W94=$W95,-1,DatosHoy[[#This Row],[CT ajus PM]]-Z95)</f>
        <v>-1</v>
      </c>
      <c r="U94" s="15">
        <f ca="1">IFERROR(IF(DatosHoy[[#This Row],[G ajus PM]]=DatosHoy[[#This Row],[G+V ajus PM]],-1,DatosHoy[[#This Row],[G ajus PM]]-DatosHoy[[#This Row],[G+V ajus PM]]),"")</f>
        <v>-301824.37217331212</v>
      </c>
      <c r="V94" s="15">
        <f ca="1">IFERROR(IF(DatosHoy[[#This Row],[G+V ajus PM]]=DatosHoy[[#This Row],[CT ajus PM]],-1,DatosHoy[[#This Row],[G+V ajus PM]]-DatosHoy[[#This Row],[CT ajus PM]]),"")</f>
        <v>-331.53126981295645</v>
      </c>
      <c r="W94" s="15">
        <v>379</v>
      </c>
      <c r="X94" s="15">
        <f ca="1">IFERROR(IFERROR(VLOOKUP($W94,Regresiones!$T$6:$V$10,2,1)*$W94+VLOOKUP($W94,Regresiones!$T$6:$V$10,3,1),VLOOKUP(MIN(DatosHoy[Puntos]),Regresiones!$T$6:$V$10,2,1)*$W94+VLOOKUP(MIN(DatosHoy[Puntos]),Regresiones!$T$6:$V$10,3,1)),"NO")</f>
        <v>4674516.2048216574</v>
      </c>
      <c r="Y94" s="15">
        <f ca="1">IFERROR(IFERROR(VLOOKUP($W94,Regresiones!$W$6:$Y$10,2,1)*$W94+VLOOKUP($W94,Regresiones!$W$6:$Y$10,3,1),VLOOKUP(MIN(DatosHoy[Puntos]),Regresiones!$W$6:$Y$10,2,1)*$W94+VLOOKUP(MIN(DatosHoy[Puntos]),Regresiones!$W$6:$Y$10,3,1)),"NO")</f>
        <v>4976340.5769949695</v>
      </c>
      <c r="Z94" s="15">
        <f ca="1">IFERROR(IFERROR(VLOOKUP($W94,Regresiones!$Z$6:$AB$10,2,1)*$W94+VLOOKUP($W94,Regresiones!$Z$6:$AB$10,3,1),VLOOKUP(MIN(DatosHoy[Puntos]),Regresiones!$Z$6:$AB$10,2,1)*$W94+VLOOKUP(MIN(DatosHoy[Puntos]),Regresiones!$Z$6:$AB$10,3,1)),"NO")</f>
        <v>4976672.1082647825</v>
      </c>
      <c r="AA94" s="3">
        <f t="shared" ca="1" si="18"/>
        <v>0.95355088837761881</v>
      </c>
    </row>
    <row r="95" spans="2:27" x14ac:dyDescent="0.2">
      <c r="B95" s="1">
        <v>90</v>
      </c>
      <c r="C95" s="15">
        <v>4745510.1100000003</v>
      </c>
      <c r="D95" s="15">
        <v>4745510.1100000003</v>
      </c>
      <c r="E95" s="15">
        <v>4745510.1100000003</v>
      </c>
      <c r="F95" s="1" t="s">
        <v>127</v>
      </c>
      <c r="G95" s="1">
        <v>396</v>
      </c>
      <c r="H95" s="1" t="str">
        <f t="shared" si="14"/>
        <v>$G$95</v>
      </c>
      <c r="I95" s="1" t="str">
        <f t="shared" si="15"/>
        <v>$C$95</v>
      </c>
      <c r="J95" s="1" t="str">
        <f t="shared" si="16"/>
        <v>$D$95</v>
      </c>
      <c r="K95" s="1" t="str">
        <f t="shared" si="17"/>
        <v>$E$95</v>
      </c>
      <c r="L95" s="15">
        <f ca="1">IFERROR(VLOOKUP($G95,Regresiones!$E$6:$I$10,4,1)*$G95+VLOOKUP($G95,Regresiones!$E$6:$I$10,5,1),"")</f>
        <v>5207152.1310536023</v>
      </c>
      <c r="M95" s="15">
        <f ca="1">IFERROR(VLOOKUP($G95,Regresiones!$J$6:$N$10,4,1)*$G95+VLOOKUP($G95,Regresiones!$J$6:$N$10,5,1),"")</f>
        <v>5249337.1588226631</v>
      </c>
      <c r="N95" s="15">
        <f ca="1">IFERROR(VLOOKUP($G95,Regresiones!$O$6:$S$10,4,1)*$G95+VLOOKUP($G95,Regresiones!$O$6:$S$10,5,1),"")</f>
        <v>5249337.1588226631</v>
      </c>
      <c r="O95" s="15">
        <f ca="1">IFERROR(VLOOKUP($G95,Regresiones!$T$6:$V$10,2,1)*$G95+VLOOKUP($G95,Regresiones!$T$6:$V$10,3,1),"")</f>
        <v>4855912.3430968048</v>
      </c>
      <c r="P95" s="15">
        <f ca="1">IFERROR(VLOOKUP($G95,Regresiones!$W$6:$Y$10,2,1)*$G95+VLOOKUP($G95,Regresiones!$W$6:$Y$10,3,1),"")</f>
        <v>5165681.4205426797</v>
      </c>
      <c r="Q95" s="15">
        <f ca="1">IFERROR(VLOOKUP($G95,Regresiones!$Z$6:$AB$10,2,1)*$G95+VLOOKUP($G95,Regresiones!$Z$6:$AB$10,3,1),"")</f>
        <v>5165787.51054902</v>
      </c>
      <c r="R95" s="15">
        <f>IF($W95=$W96,-1,DatosHoy[[#This Row],[G ajus PM]]-X96)</f>
        <v>-1</v>
      </c>
      <c r="S95" s="15">
        <f>IF($W95=$W96,-1,DatosHoy[[#This Row],[G+V ajus PM]]-Y96)</f>
        <v>-1</v>
      </c>
      <c r="T95" s="15">
        <f>IF($W95=$W96,-1,DatosHoy[[#This Row],[CT ajus PM]]-Z96)</f>
        <v>-1</v>
      </c>
      <c r="U95" s="15">
        <f ca="1">IFERROR(IF(DatosHoy[[#This Row],[G ajus PM]]=DatosHoy[[#This Row],[G+V ajus PM]],-1,DatosHoy[[#This Row],[G ajus PM]]-DatosHoy[[#This Row],[G+V ajus PM]]),"")</f>
        <v>-301824.37217331212</v>
      </c>
      <c r="V95" s="15">
        <f ca="1">IFERROR(IF(DatosHoy[[#This Row],[G+V ajus PM]]=DatosHoy[[#This Row],[CT ajus PM]],-1,DatosHoy[[#This Row],[G+V ajus PM]]-DatosHoy[[#This Row],[CT ajus PM]]),"")</f>
        <v>-331.53126981295645</v>
      </c>
      <c r="W95" s="15">
        <v>379</v>
      </c>
      <c r="X95" s="15">
        <f ca="1">IFERROR(IFERROR(VLOOKUP($W95,Regresiones!$T$6:$V$10,2,1)*$W95+VLOOKUP($W95,Regresiones!$T$6:$V$10,3,1),VLOOKUP(MIN(DatosHoy[Puntos]),Regresiones!$T$6:$V$10,2,1)*$W95+VLOOKUP(MIN(DatosHoy[Puntos]),Regresiones!$T$6:$V$10,3,1)),"NO")</f>
        <v>4674516.2048216574</v>
      </c>
      <c r="Y95" s="15">
        <f ca="1">IFERROR(IFERROR(VLOOKUP($W95,Regresiones!$W$6:$Y$10,2,1)*$W95+VLOOKUP($W95,Regresiones!$W$6:$Y$10,3,1),VLOOKUP(MIN(DatosHoy[Puntos]),Regresiones!$W$6:$Y$10,2,1)*$W95+VLOOKUP(MIN(DatosHoy[Puntos]),Regresiones!$W$6:$Y$10,3,1)),"NO")</f>
        <v>4976340.5769949695</v>
      </c>
      <c r="Z95" s="15">
        <f ca="1">IFERROR(IFERROR(VLOOKUP($W95,Regresiones!$Z$6:$AB$10,2,1)*$W95+VLOOKUP($W95,Regresiones!$Z$6:$AB$10,3,1),VLOOKUP(MIN(DatosHoy[Puntos]),Regresiones!$Z$6:$AB$10,2,1)*$W95+VLOOKUP(MIN(DatosHoy[Puntos]),Regresiones!$Z$6:$AB$10,3,1)),"NO")</f>
        <v>4976672.1082647825</v>
      </c>
      <c r="AA95" s="3">
        <f t="shared" ca="1" si="18"/>
        <v>0.95355088837761881</v>
      </c>
    </row>
    <row r="96" spans="2:27" x14ac:dyDescent="0.2">
      <c r="B96" s="1">
        <v>91</v>
      </c>
      <c r="C96" s="15">
        <v>4745510.1100000003</v>
      </c>
      <c r="D96" s="15">
        <v>4745510.1100000003</v>
      </c>
      <c r="E96" s="15">
        <v>4745510.1100000003</v>
      </c>
      <c r="F96" s="1" t="s">
        <v>127</v>
      </c>
      <c r="G96" s="1">
        <v>396</v>
      </c>
      <c r="H96" s="1" t="str">
        <f t="shared" si="14"/>
        <v>$G$96</v>
      </c>
      <c r="I96" s="1" t="str">
        <f t="shared" si="15"/>
        <v>$C$96</v>
      </c>
      <c r="J96" s="1" t="str">
        <f t="shared" si="16"/>
        <v>$D$96</v>
      </c>
      <c r="K96" s="1" t="str">
        <f t="shared" si="17"/>
        <v>$E$96</v>
      </c>
      <c r="L96" s="15">
        <f ca="1">IFERROR(VLOOKUP($G96,Regresiones!$E$6:$I$10,4,1)*$G96+VLOOKUP($G96,Regresiones!$E$6:$I$10,5,1),"")</f>
        <v>5207152.1310536023</v>
      </c>
      <c r="M96" s="15">
        <f ca="1">IFERROR(VLOOKUP($G96,Regresiones!$J$6:$N$10,4,1)*$G96+VLOOKUP($G96,Regresiones!$J$6:$N$10,5,1),"")</f>
        <v>5249337.1588226631</v>
      </c>
      <c r="N96" s="15">
        <f ca="1">IFERROR(VLOOKUP($G96,Regresiones!$O$6:$S$10,4,1)*$G96+VLOOKUP($G96,Regresiones!$O$6:$S$10,5,1),"")</f>
        <v>5249337.1588226631</v>
      </c>
      <c r="O96" s="15">
        <f ca="1">IFERROR(VLOOKUP($G96,Regresiones!$T$6:$V$10,2,1)*$G96+VLOOKUP($G96,Regresiones!$T$6:$V$10,3,1),"")</f>
        <v>4855912.3430968048</v>
      </c>
      <c r="P96" s="15">
        <f ca="1">IFERROR(VLOOKUP($G96,Regresiones!$W$6:$Y$10,2,1)*$G96+VLOOKUP($G96,Regresiones!$W$6:$Y$10,3,1),"")</f>
        <v>5165681.4205426797</v>
      </c>
      <c r="Q96" s="15">
        <f ca="1">IFERROR(VLOOKUP($G96,Regresiones!$Z$6:$AB$10,2,1)*$G96+VLOOKUP($G96,Regresiones!$Z$6:$AB$10,3,1),"")</f>
        <v>5165787.51054902</v>
      </c>
      <c r="R96" s="15">
        <f>IF($W96=$W97,-1,DatosHoy[[#This Row],[G ajus PM]]-X97)</f>
        <v>-1</v>
      </c>
      <c r="S96" s="15">
        <f>IF($W96=$W97,-1,DatosHoy[[#This Row],[G+V ajus PM]]-Y97)</f>
        <v>-1</v>
      </c>
      <c r="T96" s="15">
        <f>IF($W96=$W97,-1,DatosHoy[[#This Row],[CT ajus PM]]-Z97)</f>
        <v>-1</v>
      </c>
      <c r="U96" s="15">
        <f ca="1">IFERROR(IF(DatosHoy[[#This Row],[G ajus PM]]=DatosHoy[[#This Row],[G+V ajus PM]],-1,DatosHoy[[#This Row],[G ajus PM]]-DatosHoy[[#This Row],[G+V ajus PM]]),"")</f>
        <v>-301824.37217331212</v>
      </c>
      <c r="V96" s="15">
        <f ca="1">IFERROR(IF(DatosHoy[[#This Row],[G+V ajus PM]]=DatosHoy[[#This Row],[CT ajus PM]],-1,DatosHoy[[#This Row],[G+V ajus PM]]-DatosHoy[[#This Row],[CT ajus PM]]),"")</f>
        <v>-331.53126981295645</v>
      </c>
      <c r="W96" s="15">
        <v>379</v>
      </c>
      <c r="X96" s="15">
        <f ca="1">IFERROR(IFERROR(VLOOKUP($W96,Regresiones!$T$6:$V$10,2,1)*$W96+VLOOKUP($W96,Regresiones!$T$6:$V$10,3,1),VLOOKUP(MIN(DatosHoy[Puntos]),Regresiones!$T$6:$V$10,2,1)*$W96+VLOOKUP(MIN(DatosHoy[Puntos]),Regresiones!$T$6:$V$10,3,1)),"NO")</f>
        <v>4674516.2048216574</v>
      </c>
      <c r="Y96" s="15">
        <f ca="1">IFERROR(IFERROR(VLOOKUP($W96,Regresiones!$W$6:$Y$10,2,1)*$W96+VLOOKUP($W96,Regresiones!$W$6:$Y$10,3,1),VLOOKUP(MIN(DatosHoy[Puntos]),Regresiones!$W$6:$Y$10,2,1)*$W96+VLOOKUP(MIN(DatosHoy[Puntos]),Regresiones!$W$6:$Y$10,3,1)),"NO")</f>
        <v>4976340.5769949695</v>
      </c>
      <c r="Z96" s="15">
        <f ca="1">IFERROR(IFERROR(VLOOKUP($W96,Regresiones!$Z$6:$AB$10,2,1)*$W96+VLOOKUP($W96,Regresiones!$Z$6:$AB$10,3,1),VLOOKUP(MIN(DatosHoy[Puntos]),Regresiones!$Z$6:$AB$10,2,1)*$W96+VLOOKUP(MIN(DatosHoy[Puntos]),Regresiones!$Z$6:$AB$10,3,1)),"NO")</f>
        <v>4976672.1082647825</v>
      </c>
      <c r="AA96" s="3">
        <f t="shared" ca="1" si="18"/>
        <v>0.95355088837761881</v>
      </c>
    </row>
    <row r="97" spans="2:27" x14ac:dyDescent="0.2">
      <c r="B97" s="1">
        <v>92</v>
      </c>
      <c r="C97" s="15">
        <v>6561111.9200000009</v>
      </c>
      <c r="D97" s="15">
        <v>6561111.9200000009</v>
      </c>
      <c r="E97" s="15">
        <v>6561111.9200000009</v>
      </c>
      <c r="F97" s="1" t="s">
        <v>128</v>
      </c>
      <c r="G97" s="1">
        <v>399</v>
      </c>
      <c r="H97" s="1" t="str">
        <f t="shared" si="14"/>
        <v>$G$97</v>
      </c>
      <c r="I97" s="1" t="str">
        <f t="shared" si="15"/>
        <v>$C$97</v>
      </c>
      <c r="J97" s="1" t="str">
        <f t="shared" si="16"/>
        <v>$D$97</v>
      </c>
      <c r="K97" s="1" t="str">
        <f t="shared" si="17"/>
        <v>$E$97</v>
      </c>
      <c r="L97" s="15">
        <f ca="1">IFERROR(VLOOKUP($G97,Regresiones!$E$6:$I$10,4,1)*$G97+VLOOKUP($G97,Regresiones!$E$6:$I$10,5,1),"")</f>
        <v>5245369.1315262932</v>
      </c>
      <c r="M97" s="15">
        <f ca="1">IFERROR(VLOOKUP($G97,Regresiones!$J$6:$N$10,4,1)*$G97+VLOOKUP($G97,Regresiones!$J$6:$N$10,5,1),"")</f>
        <v>5288207.2157071466</v>
      </c>
      <c r="N97" s="15">
        <f ca="1">IFERROR(VLOOKUP($G97,Regresiones!$O$6:$S$10,4,1)*$G97+VLOOKUP($G97,Regresiones!$O$6:$S$10,5,1),"")</f>
        <v>5288207.2157071466</v>
      </c>
      <c r="O97" s="15">
        <f ca="1">IFERROR(VLOOKUP($G97,Regresiones!$T$6:$V$10,2,1)*$G97+VLOOKUP($G97,Regresiones!$T$6:$V$10,3,1),"")</f>
        <v>4887923.4263218315</v>
      </c>
      <c r="P97" s="15">
        <f ca="1">IFERROR(VLOOKUP($G97,Regresiones!$W$6:$Y$10,2,1)*$G97+VLOOKUP($G97,Regresiones!$W$6:$Y$10,3,1),"")</f>
        <v>5199094.5105805118</v>
      </c>
      <c r="Q97" s="15">
        <f ca="1">IFERROR(VLOOKUP($G97,Regresiones!$Z$6:$AB$10,2,1)*$G97+VLOOKUP($G97,Regresiones!$Z$6:$AB$10,3,1),"")</f>
        <v>5199160.816834474</v>
      </c>
      <c r="R97" s="15">
        <f>IF($W97=$W98,-1,DatosHoy[[#This Row],[G ajus PM]]-X98)</f>
        <v>-1</v>
      </c>
      <c r="S97" s="15">
        <f>IF($W97=$W98,-1,DatosHoy[[#This Row],[G+V ajus PM]]-Y98)</f>
        <v>-1</v>
      </c>
      <c r="T97" s="15">
        <f>IF($W97=$W98,-1,DatosHoy[[#This Row],[CT ajus PM]]-Z98)</f>
        <v>-1</v>
      </c>
      <c r="U97" s="15">
        <f ca="1">IFERROR(IF(DatosHoy[[#This Row],[G ajus PM]]=DatosHoy[[#This Row],[G+V ajus PM]],-1,DatosHoy[[#This Row],[G ajus PM]]-DatosHoy[[#This Row],[G+V ajus PM]]),"")</f>
        <v>-301824.37217331212</v>
      </c>
      <c r="V97" s="15">
        <f ca="1">IFERROR(IF(DatosHoy[[#This Row],[G+V ajus PM]]=DatosHoy[[#This Row],[CT ajus PM]],-1,DatosHoy[[#This Row],[G+V ajus PM]]-DatosHoy[[#This Row],[CT ajus PM]]),"")</f>
        <v>-331.53126981295645</v>
      </c>
      <c r="W97" s="15">
        <v>379</v>
      </c>
      <c r="X97" s="15">
        <f ca="1">IFERROR(IFERROR(VLOOKUP($W97,Regresiones!$T$6:$V$10,2,1)*$W97+VLOOKUP($W97,Regresiones!$T$6:$V$10,3,1),VLOOKUP(MIN(DatosHoy[Puntos]),Regresiones!$T$6:$V$10,2,1)*$W97+VLOOKUP(MIN(DatosHoy[Puntos]),Regresiones!$T$6:$V$10,3,1)),"NO")</f>
        <v>4674516.2048216574</v>
      </c>
      <c r="Y97" s="15">
        <f ca="1">IFERROR(IFERROR(VLOOKUP($W97,Regresiones!$W$6:$Y$10,2,1)*$W97+VLOOKUP($W97,Regresiones!$W$6:$Y$10,3,1),VLOOKUP(MIN(DatosHoy[Puntos]),Regresiones!$W$6:$Y$10,2,1)*$W97+VLOOKUP(MIN(DatosHoy[Puntos]),Regresiones!$W$6:$Y$10,3,1)),"NO")</f>
        <v>4976340.5769949695</v>
      </c>
      <c r="Z97" s="15">
        <f ca="1">IFERROR(IFERROR(VLOOKUP($W97,Regresiones!$Z$6:$AB$10,2,1)*$W97+VLOOKUP($W97,Regresiones!$Z$6:$AB$10,3,1),VLOOKUP(MIN(DatosHoy[Puntos]),Regresiones!$Z$6:$AB$10,2,1)*$W97+VLOOKUP(MIN(DatosHoy[Puntos]),Regresiones!$Z$6:$AB$10,3,1)),"NO")</f>
        <v>4976672.1082647825</v>
      </c>
      <c r="AA97" s="3">
        <f t="shared" ca="1" si="18"/>
        <v>1.3183733581933059</v>
      </c>
    </row>
    <row r="98" spans="2:27" x14ac:dyDescent="0.2">
      <c r="B98" s="1">
        <v>93</v>
      </c>
      <c r="C98" s="15">
        <v>6471685.0000000009</v>
      </c>
      <c r="D98" s="15">
        <v>6471685.0000000009</v>
      </c>
      <c r="E98" s="15">
        <v>6471685.0000000009</v>
      </c>
      <c r="F98" s="1" t="s">
        <v>129</v>
      </c>
      <c r="G98" s="1">
        <v>404</v>
      </c>
      <c r="H98" s="1" t="str">
        <f t="shared" si="14"/>
        <v>$G$98</v>
      </c>
      <c r="I98" s="1" t="str">
        <f t="shared" si="15"/>
        <v>$C$98</v>
      </c>
      <c r="J98" s="1" t="str">
        <f t="shared" si="16"/>
        <v>$D$98</v>
      </c>
      <c r="K98" s="1" t="str">
        <f t="shared" si="17"/>
        <v>$E$98</v>
      </c>
      <c r="L98" s="15">
        <f ca="1">IFERROR(VLOOKUP($G98,Regresiones!$E$6:$I$10,4,1)*$G98+VLOOKUP($G98,Regresiones!$E$6:$I$10,5,1),"")</f>
        <v>4941275.2316968748</v>
      </c>
      <c r="M98" s="15">
        <f ca="1">IFERROR(VLOOKUP($G98,Regresiones!$J$6:$N$10,4,1)*$G98+VLOOKUP($G98,Regresiones!$J$6:$N$10,5,1),"")</f>
        <v>5254782.9939768966</v>
      </c>
      <c r="N98" s="15">
        <f ca="1">IFERROR(VLOOKUP($G98,Regresiones!$O$6:$S$10,4,1)*$G98+VLOOKUP($G98,Regresiones!$O$6:$S$10,5,1),"")</f>
        <v>5254782.9939768966</v>
      </c>
      <c r="O98" s="15">
        <f ca="1">IFERROR(VLOOKUP($G98,Regresiones!$T$6:$V$10,2,1)*$G98+VLOOKUP($G98,Regresiones!$T$6:$V$10,3,1),"")</f>
        <v>4941275.2316968758</v>
      </c>
      <c r="P98" s="15">
        <f ca="1">IFERROR(VLOOKUP($G98,Regresiones!$W$6:$Y$10,2,1)*$G98+VLOOKUP($G98,Regresiones!$W$6:$Y$10,3,1),"")</f>
        <v>5254782.9939768966</v>
      </c>
      <c r="Q98" s="15">
        <f ca="1">IFERROR(VLOOKUP($G98,Regresiones!$Z$6:$AB$10,2,1)*$G98+VLOOKUP($G98,Regresiones!$Z$6:$AB$10,3,1),"")</f>
        <v>5254782.9939768976</v>
      </c>
      <c r="R98" s="15">
        <f ca="1">IF($W98=$W99,-1,DatosHoy[[#This Row],[G ajus PM]]-X99)</f>
        <v>-848433.01137559302</v>
      </c>
      <c r="S98" s="15">
        <f ca="1">IF($W98=$W99,-1,DatosHoy[[#This Row],[G+V ajus PM]]-Y99)</f>
        <v>-808154.58033252321</v>
      </c>
      <c r="T98" s="15">
        <f ca="1">IF($W98=$W99,-1,DatosHoy[[#This Row],[CT ajus PM]]-Z99)</f>
        <v>-812033.51783389505</v>
      </c>
      <c r="U98" s="15">
        <f ca="1">IFERROR(IF(DatosHoy[[#This Row],[G ajus PM]]=DatosHoy[[#This Row],[G+V ajus PM]],-1,DatosHoy[[#This Row],[G ajus PM]]-DatosHoy[[#This Row],[G+V ajus PM]]),"")</f>
        <v>-301824.37217331212</v>
      </c>
      <c r="V98" s="15">
        <f ca="1">IFERROR(IF(DatosHoy[[#This Row],[G+V ajus PM]]=DatosHoy[[#This Row],[CT ajus PM]],-1,DatosHoy[[#This Row],[G+V ajus PM]]-DatosHoy[[#This Row],[CT ajus PM]]),"")</f>
        <v>-331.53126981295645</v>
      </c>
      <c r="W98" s="15">
        <v>379</v>
      </c>
      <c r="X98" s="15">
        <f ca="1">IFERROR(IFERROR(VLOOKUP($W98,Regresiones!$T$6:$V$10,2,1)*$W98+VLOOKUP($W98,Regresiones!$T$6:$V$10,3,1),VLOOKUP(MIN(DatosHoy[Puntos]),Regresiones!$T$6:$V$10,2,1)*$W98+VLOOKUP(MIN(DatosHoy[Puntos]),Regresiones!$T$6:$V$10,3,1)),"NO")</f>
        <v>4674516.2048216574</v>
      </c>
      <c r="Y98" s="15">
        <f ca="1">IFERROR(IFERROR(VLOOKUP($W98,Regresiones!$W$6:$Y$10,2,1)*$W98+VLOOKUP($W98,Regresiones!$W$6:$Y$10,3,1),VLOOKUP(MIN(DatosHoy[Puntos]),Regresiones!$W$6:$Y$10,2,1)*$W98+VLOOKUP(MIN(DatosHoy[Puntos]),Regresiones!$W$6:$Y$10,3,1)),"NO")</f>
        <v>4976340.5769949695</v>
      </c>
      <c r="Z98" s="15">
        <f ca="1">IFERROR(IFERROR(VLOOKUP($W98,Regresiones!$Z$6:$AB$10,2,1)*$W98+VLOOKUP($W98,Regresiones!$Z$6:$AB$10,3,1),VLOOKUP(MIN(DatosHoy[Puntos]),Regresiones!$Z$6:$AB$10,2,1)*$W98+VLOOKUP(MIN(DatosHoy[Puntos]),Regresiones!$Z$6:$AB$10,3,1)),"NO")</f>
        <v>4976672.1082647825</v>
      </c>
      <c r="AA98" s="3">
        <f t="shared" ca="1" si="18"/>
        <v>1.3004041373857931</v>
      </c>
    </row>
    <row r="99" spans="2:27" x14ac:dyDescent="0.2">
      <c r="B99" s="1">
        <v>94</v>
      </c>
      <c r="C99" s="15">
        <v>4745510.1100000003</v>
      </c>
      <c r="D99" s="15">
        <v>4745510.1100000003</v>
      </c>
      <c r="E99" s="15">
        <v>4745510.1100000003</v>
      </c>
      <c r="F99" s="1" t="s">
        <v>130</v>
      </c>
      <c r="G99" s="1">
        <v>408</v>
      </c>
      <c r="H99" s="1" t="str">
        <f t="shared" si="14"/>
        <v>$G$99</v>
      </c>
      <c r="I99" s="1" t="str">
        <f t="shared" si="15"/>
        <v>$C$99</v>
      </c>
      <c r="J99" s="1" t="str">
        <f t="shared" si="16"/>
        <v>$D$99</v>
      </c>
      <c r="K99" s="1" t="str">
        <f t="shared" si="17"/>
        <v>$E$99</v>
      </c>
      <c r="L99" s="15">
        <f ca="1">IFERROR(VLOOKUP($G99,Regresiones!$E$6:$I$10,4,1)*$G99+VLOOKUP($G99,Regresiones!$E$6:$I$10,5,1),"")</f>
        <v>5051792.0813811505</v>
      </c>
      <c r="M99" s="15">
        <f ca="1">IFERROR(VLOOKUP($G99,Regresiones!$J$6:$N$10,4,1)*$G99+VLOOKUP($G99,Regresiones!$J$6:$N$10,5,1),"")</f>
        <v>5358922.8237024359</v>
      </c>
      <c r="N99" s="15">
        <f ca="1">IFERROR(VLOOKUP($G99,Regresiones!$O$6:$S$10,4,1)*$G99+VLOOKUP($G99,Regresiones!$O$6:$S$10,5,1),"")</f>
        <v>5358922.8237024359</v>
      </c>
      <c r="O99" s="15">
        <f ca="1">IFERROR(VLOOKUP($G99,Regresiones!$T$6:$V$10,2,1)*$G99+VLOOKUP($G99,Regresiones!$T$6:$V$10,3,1),"")</f>
        <v>5013984.4797594221</v>
      </c>
      <c r="P99" s="15">
        <f ca="1">IFERROR(VLOOKUP($G99,Regresiones!$W$6:$Y$10,2,1)*$G99+VLOOKUP($G99,Regresiones!$W$6:$Y$10,3,1),"")</f>
        <v>5320997.0143957213</v>
      </c>
      <c r="Q99" s="15">
        <f ca="1">IFERROR(VLOOKUP($G99,Regresiones!$Z$6:$AB$10,2,1)*$G99+VLOOKUP($G99,Regresiones!$Z$6:$AB$10,3,1),"")</f>
        <v>5321523.3229921199</v>
      </c>
      <c r="R99" s="15">
        <f>IF($W99=$W100,-1,DatosHoy[[#This Row],[G ajus PM]]-X100)</f>
        <v>-1</v>
      </c>
      <c r="S99" s="15">
        <f>IF($W99=$W100,-1,DatosHoy[[#This Row],[G+V ajus PM]]-Y100)</f>
        <v>-1</v>
      </c>
      <c r="T99" s="15">
        <f>IF($W99=$W100,-1,DatosHoy[[#This Row],[CT ajus PM]]-Z100)</f>
        <v>-1</v>
      </c>
      <c r="U99" s="15">
        <f ca="1">IFERROR(IF(DatosHoy[[#This Row],[G ajus PM]]=DatosHoy[[#This Row],[G+V ajus PM]],-1,DatosHoy[[#This Row],[G ajus PM]]-DatosHoy[[#This Row],[G+V ajus PM]]),"")</f>
        <v>-261545.94113024231</v>
      </c>
      <c r="V99" s="15">
        <f ca="1">IFERROR(IF(DatosHoy[[#This Row],[G+V ajus PM]]=DatosHoy[[#This Row],[CT ajus PM]],-1,DatosHoy[[#This Row],[G+V ajus PM]]-DatosHoy[[#This Row],[CT ajus PM]]),"")</f>
        <v>-4210.4687711847946</v>
      </c>
      <c r="W99" s="15">
        <v>436</v>
      </c>
      <c r="X99" s="15">
        <f ca="1">IFERROR(IFERROR(VLOOKUP($W99,Regresiones!$T$6:$V$10,2,1)*$W99+VLOOKUP($W99,Regresiones!$T$6:$V$10,3,1),VLOOKUP(MIN(DatosHoy[Puntos]),Regresiones!$T$6:$V$10,2,1)*$W99+VLOOKUP(MIN(DatosHoy[Puntos]),Regresiones!$T$6:$V$10,3,1)),"NO")</f>
        <v>5522949.2161972504</v>
      </c>
      <c r="Y99" s="15">
        <f ca="1">IFERROR(IFERROR(VLOOKUP($W99,Regresiones!$W$6:$Y$10,2,1)*$W99+VLOOKUP($W99,Regresiones!$W$6:$Y$10,3,1),VLOOKUP(MIN(DatosHoy[Puntos]),Regresiones!$W$6:$Y$10,2,1)*$W99+VLOOKUP(MIN(DatosHoy[Puntos]),Regresiones!$W$6:$Y$10,3,1)),"NO")</f>
        <v>5784495.1573274927</v>
      </c>
      <c r="Z99" s="15">
        <f ca="1">IFERROR(IFERROR(VLOOKUP($W99,Regresiones!$Z$6:$AB$10,2,1)*$W99+VLOOKUP($W99,Regresiones!$Z$6:$AB$10,3,1),VLOOKUP(MIN(DatosHoy[Puntos]),Regresiones!$Z$6:$AB$10,2,1)*$W99+VLOOKUP(MIN(DatosHoy[Puntos]),Regresiones!$Z$6:$AB$10,3,1)),"NO")</f>
        <v>5788705.6260986775</v>
      </c>
      <c r="AA99" s="3">
        <f t="shared" ca="1" si="18"/>
        <v>0.81978777580338924</v>
      </c>
    </row>
    <row r="100" spans="2:27" x14ac:dyDescent="0.2">
      <c r="B100" s="1">
        <v>95</v>
      </c>
      <c r="C100" s="15">
        <v>4745510.1100000003</v>
      </c>
      <c r="D100" s="15">
        <v>4745510.1100000003</v>
      </c>
      <c r="E100" s="15">
        <v>4745510.1100000003</v>
      </c>
      <c r="F100" s="1" t="s">
        <v>130</v>
      </c>
      <c r="G100" s="1">
        <v>408</v>
      </c>
      <c r="H100" s="1" t="str">
        <f t="shared" si="14"/>
        <v>$G$100</v>
      </c>
      <c r="I100" s="1" t="str">
        <f t="shared" si="15"/>
        <v>$C$100</v>
      </c>
      <c r="J100" s="1" t="str">
        <f t="shared" si="16"/>
        <v>$D$100</v>
      </c>
      <c r="K100" s="1" t="str">
        <f t="shared" si="17"/>
        <v>$E$100</v>
      </c>
      <c r="L100" s="15">
        <f ca="1">IFERROR(VLOOKUP($G100,Regresiones!$E$6:$I$10,4,1)*$G100+VLOOKUP($G100,Regresiones!$E$6:$I$10,5,1),"")</f>
        <v>5051792.0813811505</v>
      </c>
      <c r="M100" s="15">
        <f ca="1">IFERROR(VLOOKUP($G100,Regresiones!$J$6:$N$10,4,1)*$G100+VLOOKUP($G100,Regresiones!$J$6:$N$10,5,1),"")</f>
        <v>5358922.8237024359</v>
      </c>
      <c r="N100" s="15">
        <f ca="1">IFERROR(VLOOKUP($G100,Regresiones!$O$6:$S$10,4,1)*$G100+VLOOKUP($G100,Regresiones!$O$6:$S$10,5,1),"")</f>
        <v>5358922.8237024359</v>
      </c>
      <c r="O100" s="15">
        <f ca="1">IFERROR(VLOOKUP($G100,Regresiones!$T$6:$V$10,2,1)*$G100+VLOOKUP($G100,Regresiones!$T$6:$V$10,3,1),"")</f>
        <v>5013984.4797594221</v>
      </c>
      <c r="P100" s="15">
        <f ca="1">IFERROR(VLOOKUP($G100,Regresiones!$W$6:$Y$10,2,1)*$G100+VLOOKUP($G100,Regresiones!$W$6:$Y$10,3,1),"")</f>
        <v>5320997.0143957213</v>
      </c>
      <c r="Q100" s="15">
        <f ca="1">IFERROR(VLOOKUP($G100,Regresiones!$Z$6:$AB$10,2,1)*$G100+VLOOKUP($G100,Regresiones!$Z$6:$AB$10,3,1),"")</f>
        <v>5321523.3229921199</v>
      </c>
      <c r="R100" s="15">
        <f>IF($W100=$W101,-1,DatosHoy[[#This Row],[G ajus PM]]-X101)</f>
        <v>-1</v>
      </c>
      <c r="S100" s="15">
        <f>IF($W100=$W101,-1,DatosHoy[[#This Row],[G+V ajus PM]]-Y101)</f>
        <v>-1</v>
      </c>
      <c r="T100" s="15">
        <f>IF($W100=$W101,-1,DatosHoy[[#This Row],[CT ajus PM]]-Z101)</f>
        <v>-1</v>
      </c>
      <c r="U100" s="15">
        <f ca="1">IFERROR(IF(DatosHoy[[#This Row],[G ajus PM]]=DatosHoy[[#This Row],[G+V ajus PM]],-1,DatosHoy[[#This Row],[G ajus PM]]-DatosHoy[[#This Row],[G+V ajus PM]]),"")</f>
        <v>-261545.94113024231</v>
      </c>
      <c r="V100" s="15">
        <f ca="1">IFERROR(IF(DatosHoy[[#This Row],[G+V ajus PM]]=DatosHoy[[#This Row],[CT ajus PM]],-1,DatosHoy[[#This Row],[G+V ajus PM]]-DatosHoy[[#This Row],[CT ajus PM]]),"")</f>
        <v>-4210.4687711847946</v>
      </c>
      <c r="W100" s="15">
        <v>436</v>
      </c>
      <c r="X100" s="15">
        <f ca="1">IFERROR(IFERROR(VLOOKUP($W100,Regresiones!$T$6:$V$10,2,1)*$W100+VLOOKUP($W100,Regresiones!$T$6:$V$10,3,1),VLOOKUP(MIN(DatosHoy[Puntos]),Regresiones!$T$6:$V$10,2,1)*$W100+VLOOKUP(MIN(DatosHoy[Puntos]),Regresiones!$T$6:$V$10,3,1)),"NO")</f>
        <v>5522949.2161972504</v>
      </c>
      <c r="Y100" s="15">
        <f ca="1">IFERROR(IFERROR(VLOOKUP($W100,Regresiones!$W$6:$Y$10,2,1)*$W100+VLOOKUP($W100,Regresiones!$W$6:$Y$10,3,1),VLOOKUP(MIN(DatosHoy[Puntos]),Regresiones!$W$6:$Y$10,2,1)*$W100+VLOOKUP(MIN(DatosHoy[Puntos]),Regresiones!$W$6:$Y$10,3,1)),"NO")</f>
        <v>5784495.1573274927</v>
      </c>
      <c r="Z100" s="15">
        <f ca="1">IFERROR(IFERROR(VLOOKUP($W100,Regresiones!$Z$6:$AB$10,2,1)*$W100+VLOOKUP($W100,Regresiones!$Z$6:$AB$10,3,1),VLOOKUP(MIN(DatosHoy[Puntos]),Regresiones!$Z$6:$AB$10,2,1)*$W100+VLOOKUP(MIN(DatosHoy[Puntos]),Regresiones!$Z$6:$AB$10,3,1)),"NO")</f>
        <v>5788705.6260986775</v>
      </c>
      <c r="AA100" s="3">
        <f t="shared" ca="1" si="18"/>
        <v>0.81978777580338924</v>
      </c>
    </row>
    <row r="101" spans="2:27" x14ac:dyDescent="0.2">
      <c r="B101" s="1">
        <v>96</v>
      </c>
      <c r="C101" s="15">
        <v>4745510.1100000003</v>
      </c>
      <c r="D101" s="15">
        <v>4745510.1100000003</v>
      </c>
      <c r="E101" s="15">
        <v>4745510.1100000003</v>
      </c>
      <c r="F101" s="1" t="s">
        <v>130</v>
      </c>
      <c r="G101" s="1">
        <v>408</v>
      </c>
      <c r="H101" s="1" t="str">
        <f t="shared" si="14"/>
        <v>$G$101</v>
      </c>
      <c r="I101" s="1" t="str">
        <f t="shared" si="15"/>
        <v>$C$101</v>
      </c>
      <c r="J101" s="1" t="str">
        <f t="shared" si="16"/>
        <v>$D$101</v>
      </c>
      <c r="K101" s="1" t="str">
        <f t="shared" si="17"/>
        <v>$E$101</v>
      </c>
      <c r="L101" s="15">
        <f ca="1">IFERROR(VLOOKUP($G101,Regresiones!$E$6:$I$10,4,1)*$G101+VLOOKUP($G101,Regresiones!$E$6:$I$10,5,1),"")</f>
        <v>5051792.0813811505</v>
      </c>
      <c r="M101" s="15">
        <f ca="1">IFERROR(VLOOKUP($G101,Regresiones!$J$6:$N$10,4,1)*$G101+VLOOKUP($G101,Regresiones!$J$6:$N$10,5,1),"")</f>
        <v>5358922.8237024359</v>
      </c>
      <c r="N101" s="15">
        <f ca="1">IFERROR(VLOOKUP($G101,Regresiones!$O$6:$S$10,4,1)*$G101+VLOOKUP($G101,Regresiones!$O$6:$S$10,5,1),"")</f>
        <v>5358922.8237024359</v>
      </c>
      <c r="O101" s="15">
        <f ca="1">IFERROR(VLOOKUP($G101,Regresiones!$T$6:$V$10,2,1)*$G101+VLOOKUP($G101,Regresiones!$T$6:$V$10,3,1),"")</f>
        <v>5013984.4797594221</v>
      </c>
      <c r="P101" s="15">
        <f ca="1">IFERROR(VLOOKUP($G101,Regresiones!$W$6:$Y$10,2,1)*$G101+VLOOKUP($G101,Regresiones!$W$6:$Y$10,3,1),"")</f>
        <v>5320997.0143957213</v>
      </c>
      <c r="Q101" s="15">
        <f ca="1">IFERROR(VLOOKUP($G101,Regresiones!$Z$6:$AB$10,2,1)*$G101+VLOOKUP($G101,Regresiones!$Z$6:$AB$10,3,1),"")</f>
        <v>5321523.3229921199</v>
      </c>
      <c r="R101" s="15">
        <f>IF($W101=$W102,-1,DatosHoy[[#This Row],[G ajus PM]]-X102)</f>
        <v>-1</v>
      </c>
      <c r="S101" s="15">
        <f>IF($W101=$W102,-1,DatosHoy[[#This Row],[G+V ajus PM]]-Y102)</f>
        <v>-1</v>
      </c>
      <c r="T101" s="15">
        <f>IF($W101=$W102,-1,DatosHoy[[#This Row],[CT ajus PM]]-Z102)</f>
        <v>-1</v>
      </c>
      <c r="U101" s="15">
        <f ca="1">IFERROR(IF(DatosHoy[[#This Row],[G ajus PM]]=DatosHoy[[#This Row],[G+V ajus PM]],-1,DatosHoy[[#This Row],[G ajus PM]]-DatosHoy[[#This Row],[G+V ajus PM]]),"")</f>
        <v>-261545.94113024231</v>
      </c>
      <c r="V101" s="15">
        <f ca="1">IFERROR(IF(DatosHoy[[#This Row],[G+V ajus PM]]=DatosHoy[[#This Row],[CT ajus PM]],-1,DatosHoy[[#This Row],[G+V ajus PM]]-DatosHoy[[#This Row],[CT ajus PM]]),"")</f>
        <v>-4210.4687711847946</v>
      </c>
      <c r="W101" s="15">
        <v>436</v>
      </c>
      <c r="X101" s="15">
        <f ca="1">IFERROR(IFERROR(VLOOKUP($W101,Regresiones!$T$6:$V$10,2,1)*$W101+VLOOKUP($W101,Regresiones!$T$6:$V$10,3,1),VLOOKUP(MIN(DatosHoy[Puntos]),Regresiones!$T$6:$V$10,2,1)*$W101+VLOOKUP(MIN(DatosHoy[Puntos]),Regresiones!$T$6:$V$10,3,1)),"NO")</f>
        <v>5522949.2161972504</v>
      </c>
      <c r="Y101" s="15">
        <f ca="1">IFERROR(IFERROR(VLOOKUP($W101,Regresiones!$W$6:$Y$10,2,1)*$W101+VLOOKUP($W101,Regresiones!$W$6:$Y$10,3,1),VLOOKUP(MIN(DatosHoy[Puntos]),Regresiones!$W$6:$Y$10,2,1)*$W101+VLOOKUP(MIN(DatosHoy[Puntos]),Regresiones!$W$6:$Y$10,3,1)),"NO")</f>
        <v>5784495.1573274927</v>
      </c>
      <c r="Z101" s="15">
        <f ca="1">IFERROR(IFERROR(VLOOKUP($W101,Regresiones!$Z$6:$AB$10,2,1)*$W101+VLOOKUP($W101,Regresiones!$Z$6:$AB$10,3,1),VLOOKUP(MIN(DatosHoy[Puntos]),Regresiones!$Z$6:$AB$10,2,1)*$W101+VLOOKUP(MIN(DatosHoy[Puntos]),Regresiones!$Z$6:$AB$10,3,1)),"NO")</f>
        <v>5788705.6260986775</v>
      </c>
      <c r="AA101" s="3">
        <f t="shared" ca="1" si="18"/>
        <v>0.81978777580338924</v>
      </c>
    </row>
    <row r="102" spans="2:27" x14ac:dyDescent="0.2">
      <c r="B102" s="1">
        <v>97</v>
      </c>
      <c r="C102" s="15">
        <v>4745510.1100000003</v>
      </c>
      <c r="D102" s="15">
        <v>4745510.1100000003</v>
      </c>
      <c r="E102" s="15">
        <v>4745510.1100000003</v>
      </c>
      <c r="F102" s="1" t="s">
        <v>130</v>
      </c>
      <c r="G102" s="1">
        <v>408</v>
      </c>
      <c r="H102" s="1" t="str">
        <f t="shared" si="14"/>
        <v>$G$102</v>
      </c>
      <c r="I102" s="1" t="str">
        <f t="shared" si="15"/>
        <v>$C$102</v>
      </c>
      <c r="J102" s="1" t="str">
        <f t="shared" si="16"/>
        <v>$D$102</v>
      </c>
      <c r="K102" s="1" t="str">
        <f t="shared" si="17"/>
        <v>$E$102</v>
      </c>
      <c r="L102" s="15">
        <f ca="1">IFERROR(VLOOKUP($G102,Regresiones!$E$6:$I$10,4,1)*$G102+VLOOKUP($G102,Regresiones!$E$6:$I$10,5,1),"")</f>
        <v>5051792.0813811505</v>
      </c>
      <c r="M102" s="15">
        <f ca="1">IFERROR(VLOOKUP($G102,Regresiones!$J$6:$N$10,4,1)*$G102+VLOOKUP($G102,Regresiones!$J$6:$N$10,5,1),"")</f>
        <v>5358922.8237024359</v>
      </c>
      <c r="N102" s="15">
        <f ca="1">IFERROR(VLOOKUP($G102,Regresiones!$O$6:$S$10,4,1)*$G102+VLOOKUP($G102,Regresiones!$O$6:$S$10,5,1),"")</f>
        <v>5358922.8237024359</v>
      </c>
      <c r="O102" s="15">
        <f ca="1">IFERROR(VLOOKUP($G102,Regresiones!$T$6:$V$10,2,1)*$G102+VLOOKUP($G102,Regresiones!$T$6:$V$10,3,1),"")</f>
        <v>5013984.4797594221</v>
      </c>
      <c r="P102" s="15">
        <f ca="1">IFERROR(VLOOKUP($G102,Regresiones!$W$6:$Y$10,2,1)*$G102+VLOOKUP($G102,Regresiones!$W$6:$Y$10,3,1),"")</f>
        <v>5320997.0143957213</v>
      </c>
      <c r="Q102" s="15">
        <f ca="1">IFERROR(VLOOKUP($G102,Regresiones!$Z$6:$AB$10,2,1)*$G102+VLOOKUP($G102,Regresiones!$Z$6:$AB$10,3,1),"")</f>
        <v>5321523.3229921199</v>
      </c>
      <c r="R102" s="15">
        <f>IF($W102=$W103,-1,DatosHoy[[#This Row],[G ajus PM]]-X103)</f>
        <v>-1</v>
      </c>
      <c r="S102" s="15">
        <f>IF($W102=$W103,-1,DatosHoy[[#This Row],[G+V ajus PM]]-Y103)</f>
        <v>-1</v>
      </c>
      <c r="T102" s="15">
        <f>IF($W102=$W103,-1,DatosHoy[[#This Row],[CT ajus PM]]-Z103)</f>
        <v>-1</v>
      </c>
      <c r="U102" s="15">
        <f ca="1">IFERROR(IF(DatosHoy[[#This Row],[G ajus PM]]=DatosHoy[[#This Row],[G+V ajus PM]],-1,DatosHoy[[#This Row],[G ajus PM]]-DatosHoy[[#This Row],[G+V ajus PM]]),"")</f>
        <v>-261545.94113024231</v>
      </c>
      <c r="V102" s="15">
        <f ca="1">IFERROR(IF(DatosHoy[[#This Row],[G+V ajus PM]]=DatosHoy[[#This Row],[CT ajus PM]],-1,DatosHoy[[#This Row],[G+V ajus PM]]-DatosHoy[[#This Row],[CT ajus PM]]),"")</f>
        <v>-4210.4687711847946</v>
      </c>
      <c r="W102" s="15">
        <v>436</v>
      </c>
      <c r="X102" s="15">
        <f ca="1">IFERROR(IFERROR(VLOOKUP($W102,Regresiones!$T$6:$V$10,2,1)*$W102+VLOOKUP($W102,Regresiones!$T$6:$V$10,3,1),VLOOKUP(MIN(DatosHoy[Puntos]),Regresiones!$T$6:$V$10,2,1)*$W102+VLOOKUP(MIN(DatosHoy[Puntos]),Regresiones!$T$6:$V$10,3,1)),"NO")</f>
        <v>5522949.2161972504</v>
      </c>
      <c r="Y102" s="15">
        <f ca="1">IFERROR(IFERROR(VLOOKUP($W102,Regresiones!$W$6:$Y$10,2,1)*$W102+VLOOKUP($W102,Regresiones!$W$6:$Y$10,3,1),VLOOKUP(MIN(DatosHoy[Puntos]),Regresiones!$W$6:$Y$10,2,1)*$W102+VLOOKUP(MIN(DatosHoy[Puntos]),Regresiones!$W$6:$Y$10,3,1)),"NO")</f>
        <v>5784495.1573274927</v>
      </c>
      <c r="Z102" s="15">
        <f ca="1">IFERROR(IFERROR(VLOOKUP($W102,Regresiones!$Z$6:$AB$10,2,1)*$W102+VLOOKUP($W102,Regresiones!$Z$6:$AB$10,3,1),VLOOKUP(MIN(DatosHoy[Puntos]),Regresiones!$Z$6:$AB$10,2,1)*$W102+VLOOKUP(MIN(DatosHoy[Puntos]),Regresiones!$Z$6:$AB$10,3,1)),"NO")</f>
        <v>5788705.6260986775</v>
      </c>
      <c r="AA102" s="3">
        <f t="shared" ref="AA102:AA133" ca="1" si="19">IFERROR(E102/Z102,"NO")</f>
        <v>0.81978777580338924</v>
      </c>
    </row>
    <row r="103" spans="2:27" x14ac:dyDescent="0.2">
      <c r="B103" s="1">
        <v>98</v>
      </c>
      <c r="C103" s="15">
        <v>4745510.1100000003</v>
      </c>
      <c r="D103" s="15">
        <v>4745510.1100000003</v>
      </c>
      <c r="E103" s="15">
        <v>4745510.1100000003</v>
      </c>
      <c r="F103" s="1" t="s">
        <v>130</v>
      </c>
      <c r="G103" s="1">
        <v>408</v>
      </c>
      <c r="H103" s="1" t="str">
        <f t="shared" si="14"/>
        <v>$G$103</v>
      </c>
      <c r="I103" s="1" t="str">
        <f t="shared" si="15"/>
        <v>$C$103</v>
      </c>
      <c r="J103" s="1" t="str">
        <f t="shared" si="16"/>
        <v>$D$103</v>
      </c>
      <c r="K103" s="1" t="str">
        <f t="shared" si="17"/>
        <v>$E$103</v>
      </c>
      <c r="L103" s="15">
        <f ca="1">IFERROR(VLOOKUP($G103,Regresiones!$E$6:$I$10,4,1)*$G103+VLOOKUP($G103,Regresiones!$E$6:$I$10,5,1),"")</f>
        <v>5051792.0813811505</v>
      </c>
      <c r="M103" s="15">
        <f ca="1">IFERROR(VLOOKUP($G103,Regresiones!$J$6:$N$10,4,1)*$G103+VLOOKUP($G103,Regresiones!$J$6:$N$10,5,1),"")</f>
        <v>5358922.8237024359</v>
      </c>
      <c r="N103" s="15">
        <f ca="1">IFERROR(VLOOKUP($G103,Regresiones!$O$6:$S$10,4,1)*$G103+VLOOKUP($G103,Regresiones!$O$6:$S$10,5,1),"")</f>
        <v>5358922.8237024359</v>
      </c>
      <c r="O103" s="15">
        <f ca="1">IFERROR(VLOOKUP($G103,Regresiones!$T$6:$V$10,2,1)*$G103+VLOOKUP($G103,Regresiones!$T$6:$V$10,3,1),"")</f>
        <v>5013984.4797594221</v>
      </c>
      <c r="P103" s="15">
        <f ca="1">IFERROR(VLOOKUP($G103,Regresiones!$W$6:$Y$10,2,1)*$G103+VLOOKUP($G103,Regresiones!$W$6:$Y$10,3,1),"")</f>
        <v>5320997.0143957213</v>
      </c>
      <c r="Q103" s="15">
        <f ca="1">IFERROR(VLOOKUP($G103,Regresiones!$Z$6:$AB$10,2,1)*$G103+VLOOKUP($G103,Regresiones!$Z$6:$AB$10,3,1),"")</f>
        <v>5321523.3229921199</v>
      </c>
      <c r="R103" s="15">
        <f>IF($W103=$W104,-1,DatosHoy[[#This Row],[G ajus PM]]-X104)</f>
        <v>-1</v>
      </c>
      <c r="S103" s="15">
        <f>IF($W103=$W104,-1,DatosHoy[[#This Row],[G+V ajus PM]]-Y104)</f>
        <v>-1</v>
      </c>
      <c r="T103" s="15">
        <f>IF($W103=$W104,-1,DatosHoy[[#This Row],[CT ajus PM]]-Z104)</f>
        <v>-1</v>
      </c>
      <c r="U103" s="15">
        <f ca="1">IFERROR(IF(DatosHoy[[#This Row],[G ajus PM]]=DatosHoy[[#This Row],[G+V ajus PM]],-1,DatosHoy[[#This Row],[G ajus PM]]-DatosHoy[[#This Row],[G+V ajus PM]]),"")</f>
        <v>-261545.94113024231</v>
      </c>
      <c r="V103" s="15">
        <f ca="1">IFERROR(IF(DatosHoy[[#This Row],[G+V ajus PM]]=DatosHoy[[#This Row],[CT ajus PM]],-1,DatosHoy[[#This Row],[G+V ajus PM]]-DatosHoy[[#This Row],[CT ajus PM]]),"")</f>
        <v>-4210.4687711847946</v>
      </c>
      <c r="W103" s="15">
        <v>436</v>
      </c>
      <c r="X103" s="15">
        <f ca="1">IFERROR(IFERROR(VLOOKUP($W103,Regresiones!$T$6:$V$10,2,1)*$W103+VLOOKUP($W103,Regresiones!$T$6:$V$10,3,1),VLOOKUP(MIN(DatosHoy[Puntos]),Regresiones!$T$6:$V$10,2,1)*$W103+VLOOKUP(MIN(DatosHoy[Puntos]),Regresiones!$T$6:$V$10,3,1)),"NO")</f>
        <v>5522949.2161972504</v>
      </c>
      <c r="Y103" s="15">
        <f ca="1">IFERROR(IFERROR(VLOOKUP($W103,Regresiones!$W$6:$Y$10,2,1)*$W103+VLOOKUP($W103,Regresiones!$W$6:$Y$10,3,1),VLOOKUP(MIN(DatosHoy[Puntos]),Regresiones!$W$6:$Y$10,2,1)*$W103+VLOOKUP(MIN(DatosHoy[Puntos]),Regresiones!$W$6:$Y$10,3,1)),"NO")</f>
        <v>5784495.1573274927</v>
      </c>
      <c r="Z103" s="15">
        <f ca="1">IFERROR(IFERROR(VLOOKUP($W103,Regresiones!$Z$6:$AB$10,2,1)*$W103+VLOOKUP($W103,Regresiones!$Z$6:$AB$10,3,1),VLOOKUP(MIN(DatosHoy[Puntos]),Regresiones!$Z$6:$AB$10,2,1)*$W103+VLOOKUP(MIN(DatosHoy[Puntos]),Regresiones!$Z$6:$AB$10,3,1)),"NO")</f>
        <v>5788705.6260986775</v>
      </c>
      <c r="AA103" s="3">
        <f t="shared" ca="1" si="19"/>
        <v>0.81978777580338924</v>
      </c>
    </row>
    <row r="104" spans="2:27" x14ac:dyDescent="0.2">
      <c r="B104" s="1">
        <v>99</v>
      </c>
      <c r="C104" s="15">
        <v>4745510.1100000003</v>
      </c>
      <c r="D104" s="15">
        <v>4745510.1100000003</v>
      </c>
      <c r="E104" s="15">
        <v>4745510.1100000003</v>
      </c>
      <c r="F104" s="1" t="s">
        <v>130</v>
      </c>
      <c r="G104" s="1">
        <v>408</v>
      </c>
      <c r="H104" s="1" t="str">
        <f t="shared" si="14"/>
        <v>$G$104</v>
      </c>
      <c r="I104" s="1" t="str">
        <f t="shared" si="15"/>
        <v>$C$104</v>
      </c>
      <c r="J104" s="1" t="str">
        <f t="shared" si="16"/>
        <v>$D$104</v>
      </c>
      <c r="K104" s="1" t="str">
        <f t="shared" si="17"/>
        <v>$E$104</v>
      </c>
      <c r="L104" s="15">
        <f ca="1">IFERROR(VLOOKUP($G104,Regresiones!$E$6:$I$10,4,1)*$G104+VLOOKUP($G104,Regresiones!$E$6:$I$10,5,1),"")</f>
        <v>5051792.0813811505</v>
      </c>
      <c r="M104" s="15">
        <f ca="1">IFERROR(VLOOKUP($G104,Regresiones!$J$6:$N$10,4,1)*$G104+VLOOKUP($G104,Regresiones!$J$6:$N$10,5,1),"")</f>
        <v>5358922.8237024359</v>
      </c>
      <c r="N104" s="15">
        <f ca="1">IFERROR(VLOOKUP($G104,Regresiones!$O$6:$S$10,4,1)*$G104+VLOOKUP($G104,Regresiones!$O$6:$S$10,5,1),"")</f>
        <v>5358922.8237024359</v>
      </c>
      <c r="O104" s="15">
        <f ca="1">IFERROR(VLOOKUP($G104,Regresiones!$T$6:$V$10,2,1)*$G104+VLOOKUP($G104,Regresiones!$T$6:$V$10,3,1),"")</f>
        <v>5013984.4797594221</v>
      </c>
      <c r="P104" s="15">
        <f ca="1">IFERROR(VLOOKUP($G104,Regresiones!$W$6:$Y$10,2,1)*$G104+VLOOKUP($G104,Regresiones!$W$6:$Y$10,3,1),"")</f>
        <v>5320997.0143957213</v>
      </c>
      <c r="Q104" s="15">
        <f ca="1">IFERROR(VLOOKUP($G104,Regresiones!$Z$6:$AB$10,2,1)*$G104+VLOOKUP($G104,Regresiones!$Z$6:$AB$10,3,1),"")</f>
        <v>5321523.3229921199</v>
      </c>
      <c r="R104" s="15">
        <f>IF($W104=$W105,-1,DatosHoy[[#This Row],[G ajus PM]]-X105)</f>
        <v>-1</v>
      </c>
      <c r="S104" s="15">
        <f>IF($W104=$W105,-1,DatosHoy[[#This Row],[G+V ajus PM]]-Y105)</f>
        <v>-1</v>
      </c>
      <c r="T104" s="15">
        <f>IF($W104=$W105,-1,DatosHoy[[#This Row],[CT ajus PM]]-Z105)</f>
        <v>-1</v>
      </c>
      <c r="U104" s="15">
        <f ca="1">IFERROR(IF(DatosHoy[[#This Row],[G ajus PM]]=DatosHoy[[#This Row],[G+V ajus PM]],-1,DatosHoy[[#This Row],[G ajus PM]]-DatosHoy[[#This Row],[G+V ajus PM]]),"")</f>
        <v>-261545.94113024231</v>
      </c>
      <c r="V104" s="15">
        <f ca="1">IFERROR(IF(DatosHoy[[#This Row],[G+V ajus PM]]=DatosHoy[[#This Row],[CT ajus PM]],-1,DatosHoy[[#This Row],[G+V ajus PM]]-DatosHoy[[#This Row],[CT ajus PM]]),"")</f>
        <v>-4210.4687711847946</v>
      </c>
      <c r="W104" s="15">
        <v>436</v>
      </c>
      <c r="X104" s="15">
        <f ca="1">IFERROR(IFERROR(VLOOKUP($W104,Regresiones!$T$6:$V$10,2,1)*$W104+VLOOKUP($W104,Regresiones!$T$6:$V$10,3,1),VLOOKUP(MIN(DatosHoy[Puntos]),Regresiones!$T$6:$V$10,2,1)*$W104+VLOOKUP(MIN(DatosHoy[Puntos]),Regresiones!$T$6:$V$10,3,1)),"NO")</f>
        <v>5522949.2161972504</v>
      </c>
      <c r="Y104" s="15">
        <f ca="1">IFERROR(IFERROR(VLOOKUP($W104,Regresiones!$W$6:$Y$10,2,1)*$W104+VLOOKUP($W104,Regresiones!$W$6:$Y$10,3,1),VLOOKUP(MIN(DatosHoy[Puntos]),Regresiones!$W$6:$Y$10,2,1)*$W104+VLOOKUP(MIN(DatosHoy[Puntos]),Regresiones!$W$6:$Y$10,3,1)),"NO")</f>
        <v>5784495.1573274927</v>
      </c>
      <c r="Z104" s="15">
        <f ca="1">IFERROR(IFERROR(VLOOKUP($W104,Regresiones!$Z$6:$AB$10,2,1)*$W104+VLOOKUP($W104,Regresiones!$Z$6:$AB$10,3,1),VLOOKUP(MIN(DatosHoy[Puntos]),Regresiones!$Z$6:$AB$10,2,1)*$W104+VLOOKUP(MIN(DatosHoy[Puntos]),Regresiones!$Z$6:$AB$10,3,1)),"NO")</f>
        <v>5788705.6260986775</v>
      </c>
      <c r="AA104" s="3">
        <f t="shared" ca="1" si="19"/>
        <v>0.81978777580338924</v>
      </c>
    </row>
    <row r="105" spans="2:27" x14ac:dyDescent="0.2">
      <c r="B105" s="1">
        <v>100</v>
      </c>
      <c r="C105" s="15">
        <v>4745510.1100000003</v>
      </c>
      <c r="D105" s="15">
        <v>4745510.1100000003</v>
      </c>
      <c r="E105" s="15">
        <v>4745510.1100000003</v>
      </c>
      <c r="F105" s="1" t="s">
        <v>130</v>
      </c>
      <c r="G105" s="1">
        <v>408</v>
      </c>
      <c r="H105" s="1" t="str">
        <f t="shared" si="14"/>
        <v>$G$105</v>
      </c>
      <c r="I105" s="1" t="str">
        <f t="shared" si="15"/>
        <v>$C$105</v>
      </c>
      <c r="J105" s="1" t="str">
        <f t="shared" si="16"/>
        <v>$D$105</v>
      </c>
      <c r="K105" s="1" t="str">
        <f t="shared" si="17"/>
        <v>$E$105</v>
      </c>
      <c r="L105" s="15">
        <f ca="1">IFERROR(VLOOKUP($G105,Regresiones!$E$6:$I$10,4,1)*$G105+VLOOKUP($G105,Regresiones!$E$6:$I$10,5,1),"")</f>
        <v>5051792.0813811505</v>
      </c>
      <c r="M105" s="15">
        <f ca="1">IFERROR(VLOOKUP($G105,Regresiones!$J$6:$N$10,4,1)*$G105+VLOOKUP($G105,Regresiones!$J$6:$N$10,5,1),"")</f>
        <v>5358922.8237024359</v>
      </c>
      <c r="N105" s="15">
        <f ca="1">IFERROR(VLOOKUP($G105,Regresiones!$O$6:$S$10,4,1)*$G105+VLOOKUP($G105,Regresiones!$O$6:$S$10,5,1),"")</f>
        <v>5358922.8237024359</v>
      </c>
      <c r="O105" s="15">
        <f ca="1">IFERROR(VLOOKUP($G105,Regresiones!$T$6:$V$10,2,1)*$G105+VLOOKUP($G105,Regresiones!$T$6:$V$10,3,1),"")</f>
        <v>5013984.4797594221</v>
      </c>
      <c r="P105" s="15">
        <f ca="1">IFERROR(VLOOKUP($G105,Regresiones!$W$6:$Y$10,2,1)*$G105+VLOOKUP($G105,Regresiones!$W$6:$Y$10,3,1),"")</f>
        <v>5320997.0143957213</v>
      </c>
      <c r="Q105" s="15">
        <f ca="1">IFERROR(VLOOKUP($G105,Regresiones!$Z$6:$AB$10,2,1)*$G105+VLOOKUP($G105,Regresiones!$Z$6:$AB$10,3,1),"")</f>
        <v>5321523.3229921199</v>
      </c>
      <c r="R105" s="15">
        <f>IF($W105=$W106,-1,DatosHoy[[#This Row],[G ajus PM]]-X106)</f>
        <v>-1</v>
      </c>
      <c r="S105" s="15">
        <f>IF($W105=$W106,-1,DatosHoy[[#This Row],[G+V ajus PM]]-Y106)</f>
        <v>-1</v>
      </c>
      <c r="T105" s="15">
        <f>IF($W105=$W106,-1,DatosHoy[[#This Row],[CT ajus PM]]-Z106)</f>
        <v>-1</v>
      </c>
      <c r="U105" s="15">
        <f ca="1">IFERROR(IF(DatosHoy[[#This Row],[G ajus PM]]=DatosHoy[[#This Row],[G+V ajus PM]],-1,DatosHoy[[#This Row],[G ajus PM]]-DatosHoy[[#This Row],[G+V ajus PM]]),"")</f>
        <v>-261545.94113024231</v>
      </c>
      <c r="V105" s="15">
        <f ca="1">IFERROR(IF(DatosHoy[[#This Row],[G+V ajus PM]]=DatosHoy[[#This Row],[CT ajus PM]],-1,DatosHoy[[#This Row],[G+V ajus PM]]-DatosHoy[[#This Row],[CT ajus PM]]),"")</f>
        <v>-4210.4687711847946</v>
      </c>
      <c r="W105" s="15">
        <v>436</v>
      </c>
      <c r="X105" s="15">
        <f ca="1">IFERROR(IFERROR(VLOOKUP($W105,Regresiones!$T$6:$V$10,2,1)*$W105+VLOOKUP($W105,Regresiones!$T$6:$V$10,3,1),VLOOKUP(MIN(DatosHoy[Puntos]),Regresiones!$T$6:$V$10,2,1)*$W105+VLOOKUP(MIN(DatosHoy[Puntos]),Regresiones!$T$6:$V$10,3,1)),"NO")</f>
        <v>5522949.2161972504</v>
      </c>
      <c r="Y105" s="15">
        <f ca="1">IFERROR(IFERROR(VLOOKUP($W105,Regresiones!$W$6:$Y$10,2,1)*$W105+VLOOKUP($W105,Regresiones!$W$6:$Y$10,3,1),VLOOKUP(MIN(DatosHoy[Puntos]),Regresiones!$W$6:$Y$10,2,1)*$W105+VLOOKUP(MIN(DatosHoy[Puntos]),Regresiones!$W$6:$Y$10,3,1)),"NO")</f>
        <v>5784495.1573274927</v>
      </c>
      <c r="Z105" s="15">
        <f ca="1">IFERROR(IFERROR(VLOOKUP($W105,Regresiones!$Z$6:$AB$10,2,1)*$W105+VLOOKUP($W105,Regresiones!$Z$6:$AB$10,3,1),VLOOKUP(MIN(DatosHoy[Puntos]),Regresiones!$Z$6:$AB$10,2,1)*$W105+VLOOKUP(MIN(DatosHoy[Puntos]),Regresiones!$Z$6:$AB$10,3,1)),"NO")</f>
        <v>5788705.6260986775</v>
      </c>
      <c r="AA105" s="3">
        <f t="shared" ca="1" si="19"/>
        <v>0.81978777580338924</v>
      </c>
    </row>
    <row r="106" spans="2:27" x14ac:dyDescent="0.2">
      <c r="B106" s="1">
        <v>101</v>
      </c>
      <c r="C106" s="15">
        <v>4745510.1100000003</v>
      </c>
      <c r="D106" s="15">
        <v>4745510.1100000003</v>
      </c>
      <c r="E106" s="15">
        <v>4745510.1100000003</v>
      </c>
      <c r="F106" s="1" t="s">
        <v>130</v>
      </c>
      <c r="G106" s="1">
        <v>408</v>
      </c>
      <c r="H106" s="1" t="str">
        <f t="shared" si="14"/>
        <v>$G$106</v>
      </c>
      <c r="I106" s="1" t="str">
        <f t="shared" si="15"/>
        <v>$C$106</v>
      </c>
      <c r="J106" s="1" t="str">
        <f t="shared" si="16"/>
        <v>$D$106</v>
      </c>
      <c r="K106" s="1" t="str">
        <f t="shared" si="17"/>
        <v>$E$106</v>
      </c>
      <c r="L106" s="15">
        <f ca="1">IFERROR(VLOOKUP($G106,Regresiones!$E$6:$I$10,4,1)*$G106+VLOOKUP($G106,Regresiones!$E$6:$I$10,5,1),"")</f>
        <v>5051792.0813811505</v>
      </c>
      <c r="M106" s="15">
        <f ca="1">IFERROR(VLOOKUP($G106,Regresiones!$J$6:$N$10,4,1)*$G106+VLOOKUP($G106,Regresiones!$J$6:$N$10,5,1),"")</f>
        <v>5358922.8237024359</v>
      </c>
      <c r="N106" s="15">
        <f ca="1">IFERROR(VLOOKUP($G106,Regresiones!$O$6:$S$10,4,1)*$G106+VLOOKUP($G106,Regresiones!$O$6:$S$10,5,1),"")</f>
        <v>5358922.8237024359</v>
      </c>
      <c r="O106" s="15">
        <f ca="1">IFERROR(VLOOKUP($G106,Regresiones!$T$6:$V$10,2,1)*$G106+VLOOKUP($G106,Regresiones!$T$6:$V$10,3,1),"")</f>
        <v>5013984.4797594221</v>
      </c>
      <c r="P106" s="15">
        <f ca="1">IFERROR(VLOOKUP($G106,Regresiones!$W$6:$Y$10,2,1)*$G106+VLOOKUP($G106,Regresiones!$W$6:$Y$10,3,1),"")</f>
        <v>5320997.0143957213</v>
      </c>
      <c r="Q106" s="15">
        <f ca="1">IFERROR(VLOOKUP($G106,Regresiones!$Z$6:$AB$10,2,1)*$G106+VLOOKUP($G106,Regresiones!$Z$6:$AB$10,3,1),"")</f>
        <v>5321523.3229921199</v>
      </c>
      <c r="R106" s="15">
        <f>IF($W106=$W107,-1,DatosHoy[[#This Row],[G ajus PM]]-X107)</f>
        <v>-1</v>
      </c>
      <c r="S106" s="15">
        <f>IF($W106=$W107,-1,DatosHoy[[#This Row],[G+V ajus PM]]-Y107)</f>
        <v>-1</v>
      </c>
      <c r="T106" s="15">
        <f>IF($W106=$W107,-1,DatosHoy[[#This Row],[CT ajus PM]]-Z107)</f>
        <v>-1</v>
      </c>
      <c r="U106" s="15">
        <f ca="1">IFERROR(IF(DatosHoy[[#This Row],[G ajus PM]]=DatosHoy[[#This Row],[G+V ajus PM]],-1,DatosHoy[[#This Row],[G ajus PM]]-DatosHoy[[#This Row],[G+V ajus PM]]),"")</f>
        <v>-261545.94113024231</v>
      </c>
      <c r="V106" s="15">
        <f ca="1">IFERROR(IF(DatosHoy[[#This Row],[G+V ajus PM]]=DatosHoy[[#This Row],[CT ajus PM]],-1,DatosHoy[[#This Row],[G+V ajus PM]]-DatosHoy[[#This Row],[CT ajus PM]]),"")</f>
        <v>-4210.4687711847946</v>
      </c>
      <c r="W106" s="15">
        <v>436</v>
      </c>
      <c r="X106" s="15">
        <f ca="1">IFERROR(IFERROR(VLOOKUP($W106,Regresiones!$T$6:$V$10,2,1)*$W106+VLOOKUP($W106,Regresiones!$T$6:$V$10,3,1),VLOOKUP(MIN(DatosHoy[Puntos]),Regresiones!$T$6:$V$10,2,1)*$W106+VLOOKUP(MIN(DatosHoy[Puntos]),Regresiones!$T$6:$V$10,3,1)),"NO")</f>
        <v>5522949.2161972504</v>
      </c>
      <c r="Y106" s="15">
        <f ca="1">IFERROR(IFERROR(VLOOKUP($W106,Regresiones!$W$6:$Y$10,2,1)*$W106+VLOOKUP($W106,Regresiones!$W$6:$Y$10,3,1),VLOOKUP(MIN(DatosHoy[Puntos]),Regresiones!$W$6:$Y$10,2,1)*$W106+VLOOKUP(MIN(DatosHoy[Puntos]),Regresiones!$W$6:$Y$10,3,1)),"NO")</f>
        <v>5784495.1573274927</v>
      </c>
      <c r="Z106" s="15">
        <f ca="1">IFERROR(IFERROR(VLOOKUP($W106,Regresiones!$Z$6:$AB$10,2,1)*$W106+VLOOKUP($W106,Regresiones!$Z$6:$AB$10,3,1),VLOOKUP(MIN(DatosHoy[Puntos]),Regresiones!$Z$6:$AB$10,2,1)*$W106+VLOOKUP(MIN(DatosHoy[Puntos]),Regresiones!$Z$6:$AB$10,3,1)),"NO")</f>
        <v>5788705.6260986775</v>
      </c>
      <c r="AA106" s="3">
        <f t="shared" ca="1" si="19"/>
        <v>0.81978777580338924</v>
      </c>
    </row>
    <row r="107" spans="2:27" x14ac:dyDescent="0.2">
      <c r="B107" s="1">
        <v>102</v>
      </c>
      <c r="C107" s="15">
        <v>4471346</v>
      </c>
      <c r="D107" s="15">
        <v>7883689</v>
      </c>
      <c r="E107" s="15">
        <v>7883689</v>
      </c>
      <c r="F107" s="1" t="s">
        <v>131</v>
      </c>
      <c r="G107" s="1">
        <v>409</v>
      </c>
      <c r="H107" s="1" t="str">
        <f t="shared" si="14"/>
        <v>$G$107</v>
      </c>
      <c r="I107" s="1" t="str">
        <f t="shared" si="15"/>
        <v>$C$107</v>
      </c>
      <c r="J107" s="1" t="str">
        <f t="shared" si="16"/>
        <v>$D$107</v>
      </c>
      <c r="K107" s="1" t="str">
        <f t="shared" si="17"/>
        <v>$E$107</v>
      </c>
      <c r="L107" s="15">
        <f ca="1">IFERROR(VLOOKUP($G107,Regresiones!$E$6:$I$10,4,1)*$G107+VLOOKUP($G107,Regresiones!$E$6:$I$10,5,1),"")</f>
        <v>5079421.2938022194</v>
      </c>
      <c r="M107" s="15">
        <f ca="1">IFERROR(VLOOKUP($G107,Regresiones!$J$6:$N$10,4,1)*$G107+VLOOKUP($G107,Regresiones!$J$6:$N$10,5,1),"")</f>
        <v>5384957.7811338212</v>
      </c>
      <c r="N107" s="15">
        <f ca="1">IFERROR(VLOOKUP($G107,Regresiones!$O$6:$S$10,4,1)*$G107+VLOOKUP($G107,Regresiones!$O$6:$S$10,5,1),"")</f>
        <v>5384957.7811338212</v>
      </c>
      <c r="O107" s="15">
        <f ca="1">IFERROR(VLOOKUP($G107,Regresiones!$T$6:$V$10,2,1)*$G107+VLOOKUP($G107,Regresiones!$T$6:$V$10,3,1),"")</f>
        <v>5032161.791775059</v>
      </c>
      <c r="P107" s="15">
        <f ca="1">IFERROR(VLOOKUP($G107,Regresiones!$W$6:$Y$10,2,1)*$G107+VLOOKUP($G107,Regresiones!$W$6:$Y$10,3,1),"")</f>
        <v>5337550.5195004269</v>
      </c>
      <c r="Q107" s="15">
        <f ca="1">IFERROR(VLOOKUP($G107,Regresiones!$Z$6:$AB$10,2,1)*$G107+VLOOKUP($G107,Regresiones!$Z$6:$AB$10,3,1),"")</f>
        <v>5338208.4052459253</v>
      </c>
      <c r="R107" s="15">
        <f>IF($W107=$W108,-1,DatosHoy[[#This Row],[G ajus PM]]-X108)</f>
        <v>-1</v>
      </c>
      <c r="S107" s="15">
        <f>IF($W107=$W108,-1,DatosHoy[[#This Row],[G+V ajus PM]]-Y108)</f>
        <v>-1</v>
      </c>
      <c r="T107" s="15">
        <f>IF($W107=$W108,-1,DatosHoy[[#This Row],[CT ajus PM]]-Z108)</f>
        <v>-1</v>
      </c>
      <c r="U107" s="15">
        <f ca="1">IFERROR(IF(DatosHoy[[#This Row],[G ajus PM]]=DatosHoy[[#This Row],[G+V ajus PM]],-1,DatosHoy[[#This Row],[G ajus PM]]-DatosHoy[[#This Row],[G+V ajus PM]]),"")</f>
        <v>-261545.94113024231</v>
      </c>
      <c r="V107" s="15">
        <f ca="1">IFERROR(IF(DatosHoy[[#This Row],[G+V ajus PM]]=DatosHoy[[#This Row],[CT ajus PM]],-1,DatosHoy[[#This Row],[G+V ajus PM]]-DatosHoy[[#This Row],[CT ajus PM]]),"")</f>
        <v>-4210.4687711847946</v>
      </c>
      <c r="W107" s="15">
        <v>436</v>
      </c>
      <c r="X107" s="15">
        <f ca="1">IFERROR(IFERROR(VLOOKUP($W107,Regresiones!$T$6:$V$10,2,1)*$W107+VLOOKUP($W107,Regresiones!$T$6:$V$10,3,1),VLOOKUP(MIN(DatosHoy[Puntos]),Regresiones!$T$6:$V$10,2,1)*$W107+VLOOKUP(MIN(DatosHoy[Puntos]),Regresiones!$T$6:$V$10,3,1)),"NO")</f>
        <v>5522949.2161972504</v>
      </c>
      <c r="Y107" s="15">
        <f ca="1">IFERROR(IFERROR(VLOOKUP($W107,Regresiones!$W$6:$Y$10,2,1)*$W107+VLOOKUP($W107,Regresiones!$W$6:$Y$10,3,1),VLOOKUP(MIN(DatosHoy[Puntos]),Regresiones!$W$6:$Y$10,2,1)*$W107+VLOOKUP(MIN(DatosHoy[Puntos]),Regresiones!$W$6:$Y$10,3,1)),"NO")</f>
        <v>5784495.1573274927</v>
      </c>
      <c r="Z107" s="15">
        <f ca="1">IFERROR(IFERROR(VLOOKUP($W107,Regresiones!$Z$6:$AB$10,2,1)*$W107+VLOOKUP($W107,Regresiones!$Z$6:$AB$10,3,1),VLOOKUP(MIN(DatosHoy[Puntos]),Regresiones!$Z$6:$AB$10,2,1)*$W107+VLOOKUP(MIN(DatosHoy[Puntos]),Regresiones!$Z$6:$AB$10,3,1)),"NO")</f>
        <v>5788705.6260986775</v>
      </c>
      <c r="AA107" s="3">
        <f t="shared" ca="1" si="19"/>
        <v>1.3619087770599323</v>
      </c>
    </row>
    <row r="108" spans="2:27" x14ac:dyDescent="0.2">
      <c r="B108" s="1">
        <v>103</v>
      </c>
      <c r="C108" s="15">
        <v>5570355.7800000003</v>
      </c>
      <c r="D108" s="15">
        <v>5570355.7800000003</v>
      </c>
      <c r="E108" s="15">
        <v>5570355.7800000003</v>
      </c>
      <c r="F108" s="1" t="s">
        <v>132</v>
      </c>
      <c r="G108" s="1">
        <v>410</v>
      </c>
      <c r="H108" s="1" t="str">
        <f t="shared" si="14"/>
        <v>$G$108</v>
      </c>
      <c r="I108" s="1" t="str">
        <f t="shared" si="15"/>
        <v>$C$108</v>
      </c>
      <c r="J108" s="1" t="str">
        <f t="shared" si="16"/>
        <v>$D$108</v>
      </c>
      <c r="K108" s="1" t="str">
        <f t="shared" si="17"/>
        <v>$E$108</v>
      </c>
      <c r="L108" s="15">
        <f ca="1">IFERROR(VLOOKUP($G108,Regresiones!$E$6:$I$10,4,1)*$G108+VLOOKUP($G108,Regresiones!$E$6:$I$10,5,1),"")</f>
        <v>5107050.5062232884</v>
      </c>
      <c r="M108" s="15">
        <f ca="1">IFERROR(VLOOKUP($G108,Regresiones!$J$6:$N$10,4,1)*$G108+VLOOKUP($G108,Regresiones!$J$6:$N$10,5,1),"")</f>
        <v>5410992.7385652065</v>
      </c>
      <c r="N108" s="15">
        <f ca="1">IFERROR(VLOOKUP($G108,Regresiones!$O$6:$S$10,4,1)*$G108+VLOOKUP($G108,Regresiones!$O$6:$S$10,5,1),"")</f>
        <v>5410992.7385652065</v>
      </c>
      <c r="O108" s="15">
        <f ca="1">IFERROR(VLOOKUP($G108,Regresiones!$T$6:$V$10,2,1)*$G108+VLOOKUP($G108,Regresiones!$T$6:$V$10,3,1),"")</f>
        <v>5050339.1037906958</v>
      </c>
      <c r="P108" s="15">
        <f ca="1">IFERROR(VLOOKUP($G108,Regresiones!$W$6:$Y$10,2,1)*$G108+VLOOKUP($G108,Regresiones!$W$6:$Y$10,3,1),"")</f>
        <v>5354104.0246051336</v>
      </c>
      <c r="Q108" s="15">
        <f ca="1">IFERROR(VLOOKUP($G108,Regresiones!$Z$6:$AB$10,2,1)*$G108+VLOOKUP($G108,Regresiones!$Z$6:$AB$10,3,1),"")</f>
        <v>5354893.4874997316</v>
      </c>
      <c r="R108" s="15">
        <f>IF($W108=$W109,-1,DatosHoy[[#This Row],[G ajus PM]]-X109)</f>
        <v>-1</v>
      </c>
      <c r="S108" s="15">
        <f>IF($W108=$W109,-1,DatosHoy[[#This Row],[G+V ajus PM]]-Y109)</f>
        <v>-1</v>
      </c>
      <c r="T108" s="15">
        <f>IF($W108=$W109,-1,DatosHoy[[#This Row],[CT ajus PM]]-Z109)</f>
        <v>-1</v>
      </c>
      <c r="U108" s="15">
        <f ca="1">IFERROR(IF(DatosHoy[[#This Row],[G ajus PM]]=DatosHoy[[#This Row],[G+V ajus PM]],-1,DatosHoy[[#This Row],[G ajus PM]]-DatosHoy[[#This Row],[G+V ajus PM]]),"")</f>
        <v>-261545.94113024231</v>
      </c>
      <c r="V108" s="15">
        <f ca="1">IFERROR(IF(DatosHoy[[#This Row],[G+V ajus PM]]=DatosHoy[[#This Row],[CT ajus PM]],-1,DatosHoy[[#This Row],[G+V ajus PM]]-DatosHoy[[#This Row],[CT ajus PM]]),"")</f>
        <v>-4210.4687711847946</v>
      </c>
      <c r="W108" s="15">
        <v>436</v>
      </c>
      <c r="X108" s="15">
        <f ca="1">IFERROR(IFERROR(VLOOKUP($W108,Regresiones!$T$6:$V$10,2,1)*$W108+VLOOKUP($W108,Regresiones!$T$6:$V$10,3,1),VLOOKUP(MIN(DatosHoy[Puntos]),Regresiones!$T$6:$V$10,2,1)*$W108+VLOOKUP(MIN(DatosHoy[Puntos]),Regresiones!$T$6:$V$10,3,1)),"NO")</f>
        <v>5522949.2161972504</v>
      </c>
      <c r="Y108" s="15">
        <f ca="1">IFERROR(IFERROR(VLOOKUP($W108,Regresiones!$W$6:$Y$10,2,1)*$W108+VLOOKUP($W108,Regresiones!$W$6:$Y$10,3,1),VLOOKUP(MIN(DatosHoy[Puntos]),Regresiones!$W$6:$Y$10,2,1)*$W108+VLOOKUP(MIN(DatosHoy[Puntos]),Regresiones!$W$6:$Y$10,3,1)),"NO")</f>
        <v>5784495.1573274927</v>
      </c>
      <c r="Z108" s="15">
        <f ca="1">IFERROR(IFERROR(VLOOKUP($W108,Regresiones!$Z$6:$AB$10,2,1)*$W108+VLOOKUP($W108,Regresiones!$Z$6:$AB$10,3,1),VLOOKUP(MIN(DatosHoy[Puntos]),Regresiones!$Z$6:$AB$10,2,1)*$W108+VLOOKUP(MIN(DatosHoy[Puntos]),Regresiones!$Z$6:$AB$10,3,1)),"NO")</f>
        <v>5788705.6260986775</v>
      </c>
      <c r="AA108" s="3">
        <f t="shared" ca="1" si="19"/>
        <v>0.9622800224778687</v>
      </c>
    </row>
    <row r="109" spans="2:27" x14ac:dyDescent="0.2">
      <c r="B109" s="1">
        <v>104</v>
      </c>
      <c r="C109" s="15">
        <v>5818633.1500000004</v>
      </c>
      <c r="D109" s="15">
        <v>5818633.1500000004</v>
      </c>
      <c r="E109" s="15">
        <v>5818633.1500000004</v>
      </c>
      <c r="F109" s="1" t="s">
        <v>133</v>
      </c>
      <c r="G109" s="1">
        <v>410</v>
      </c>
      <c r="H109" s="1" t="str">
        <f t="shared" si="14"/>
        <v>$G$109</v>
      </c>
      <c r="I109" s="1" t="str">
        <f t="shared" si="15"/>
        <v>$C$109</v>
      </c>
      <c r="J109" s="1" t="str">
        <f t="shared" si="16"/>
        <v>$D$109</v>
      </c>
      <c r="K109" s="1" t="str">
        <f t="shared" si="17"/>
        <v>$E$109</v>
      </c>
      <c r="L109" s="15">
        <f ca="1">IFERROR(VLOOKUP($G109,Regresiones!$E$6:$I$10,4,1)*$G109+VLOOKUP($G109,Regresiones!$E$6:$I$10,5,1),"")</f>
        <v>5107050.5062232884</v>
      </c>
      <c r="M109" s="15">
        <f ca="1">IFERROR(VLOOKUP($G109,Regresiones!$J$6:$N$10,4,1)*$G109+VLOOKUP($G109,Regresiones!$J$6:$N$10,5,1),"")</f>
        <v>5410992.7385652065</v>
      </c>
      <c r="N109" s="15">
        <f ca="1">IFERROR(VLOOKUP($G109,Regresiones!$O$6:$S$10,4,1)*$G109+VLOOKUP($G109,Regresiones!$O$6:$S$10,5,1),"")</f>
        <v>5410992.7385652065</v>
      </c>
      <c r="O109" s="15">
        <f ca="1">IFERROR(VLOOKUP($G109,Regresiones!$T$6:$V$10,2,1)*$G109+VLOOKUP($G109,Regresiones!$T$6:$V$10,3,1),"")</f>
        <v>5050339.1037906958</v>
      </c>
      <c r="P109" s="15">
        <f ca="1">IFERROR(VLOOKUP($G109,Regresiones!$W$6:$Y$10,2,1)*$G109+VLOOKUP($G109,Regresiones!$W$6:$Y$10,3,1),"")</f>
        <v>5354104.0246051336</v>
      </c>
      <c r="Q109" s="15">
        <f ca="1">IFERROR(VLOOKUP($G109,Regresiones!$Z$6:$AB$10,2,1)*$G109+VLOOKUP($G109,Regresiones!$Z$6:$AB$10,3,1),"")</f>
        <v>5354893.4874997316</v>
      </c>
      <c r="R109" s="15">
        <f>IF($W109=$W110,-1,DatosHoy[[#This Row],[G ajus PM]]-X110)</f>
        <v>-1</v>
      </c>
      <c r="S109" s="15">
        <f>IF($W109=$W110,-1,DatosHoy[[#This Row],[G+V ajus PM]]-Y110)</f>
        <v>-1</v>
      </c>
      <c r="T109" s="15">
        <f>IF($W109=$W110,-1,DatosHoy[[#This Row],[CT ajus PM]]-Z110)</f>
        <v>-1</v>
      </c>
      <c r="U109" s="15">
        <f ca="1">IFERROR(IF(DatosHoy[[#This Row],[G ajus PM]]=DatosHoy[[#This Row],[G+V ajus PM]],-1,DatosHoy[[#This Row],[G ajus PM]]-DatosHoy[[#This Row],[G+V ajus PM]]),"")</f>
        <v>-261545.94113024231</v>
      </c>
      <c r="V109" s="15">
        <f ca="1">IFERROR(IF(DatosHoy[[#This Row],[G+V ajus PM]]=DatosHoy[[#This Row],[CT ajus PM]],-1,DatosHoy[[#This Row],[G+V ajus PM]]-DatosHoy[[#This Row],[CT ajus PM]]),"")</f>
        <v>-4210.4687711847946</v>
      </c>
      <c r="W109" s="15">
        <v>436</v>
      </c>
      <c r="X109" s="15">
        <f ca="1">IFERROR(IFERROR(VLOOKUP($W109,Regresiones!$T$6:$V$10,2,1)*$W109+VLOOKUP($W109,Regresiones!$T$6:$V$10,3,1),VLOOKUP(MIN(DatosHoy[Puntos]),Regresiones!$T$6:$V$10,2,1)*$W109+VLOOKUP(MIN(DatosHoy[Puntos]),Regresiones!$T$6:$V$10,3,1)),"NO")</f>
        <v>5522949.2161972504</v>
      </c>
      <c r="Y109" s="15">
        <f ca="1">IFERROR(IFERROR(VLOOKUP($W109,Regresiones!$W$6:$Y$10,2,1)*$W109+VLOOKUP($W109,Regresiones!$W$6:$Y$10,3,1),VLOOKUP(MIN(DatosHoy[Puntos]),Regresiones!$W$6:$Y$10,2,1)*$W109+VLOOKUP(MIN(DatosHoy[Puntos]),Regresiones!$W$6:$Y$10,3,1)),"NO")</f>
        <v>5784495.1573274927</v>
      </c>
      <c r="Z109" s="15">
        <f ca="1">IFERROR(IFERROR(VLOOKUP($W109,Regresiones!$Z$6:$AB$10,2,1)*$W109+VLOOKUP($W109,Regresiones!$Z$6:$AB$10,3,1),VLOOKUP(MIN(DatosHoy[Puntos]),Regresiones!$Z$6:$AB$10,2,1)*$W109+VLOOKUP(MIN(DatosHoy[Puntos]),Regresiones!$Z$6:$AB$10,3,1)),"NO")</f>
        <v>5788705.6260986775</v>
      </c>
      <c r="AA109" s="3">
        <f t="shared" ca="1" si="19"/>
        <v>1.0051699854569203</v>
      </c>
    </row>
    <row r="110" spans="2:27" x14ac:dyDescent="0.2">
      <c r="B110" s="1">
        <v>105</v>
      </c>
      <c r="C110" s="15">
        <v>11251318.540000001</v>
      </c>
      <c r="D110" s="15">
        <v>11251318.540000001</v>
      </c>
      <c r="E110" s="15">
        <v>11251318.540000001</v>
      </c>
      <c r="F110" s="1" t="s">
        <v>134</v>
      </c>
      <c r="G110" s="1">
        <v>420</v>
      </c>
      <c r="H110" s="1" t="str">
        <f t="shared" si="14"/>
        <v>$G$110</v>
      </c>
      <c r="I110" s="1" t="str">
        <f t="shared" si="15"/>
        <v>$C$110</v>
      </c>
      <c r="J110" s="1" t="str">
        <f t="shared" si="16"/>
        <v>$D$110</v>
      </c>
      <c r="K110" s="1" t="str">
        <f t="shared" si="17"/>
        <v>$E$110</v>
      </c>
      <c r="L110" s="15">
        <f ca="1">IFERROR(VLOOKUP($G110,Regresiones!$E$6:$I$10,4,1)*$G110+VLOOKUP($G110,Regresiones!$E$6:$I$10,5,1),"")</f>
        <v>5383342.6304339794</v>
      </c>
      <c r="M110" s="15">
        <f ca="1">IFERROR(VLOOKUP($G110,Regresiones!$J$6:$N$10,4,1)*$G110+VLOOKUP($G110,Regresiones!$J$6:$N$10,5,1),"")</f>
        <v>5671342.3128790595</v>
      </c>
      <c r="N110" s="15">
        <f ca="1">IFERROR(VLOOKUP($G110,Regresiones!$O$6:$S$10,4,1)*$G110+VLOOKUP($G110,Regresiones!$O$6:$S$10,5,1),"")</f>
        <v>5671342.3128790595</v>
      </c>
      <c r="O110" s="15">
        <f ca="1">IFERROR(VLOOKUP($G110,Regresiones!$T$6:$V$10,2,1)*$G110+VLOOKUP($G110,Regresiones!$T$6:$V$10,3,1),"")</f>
        <v>5232112.2239470631</v>
      </c>
      <c r="P110" s="15">
        <f ca="1">IFERROR(VLOOKUP($G110,Regresiones!$W$6:$Y$10,2,1)*$G110+VLOOKUP($G110,Regresiones!$W$6:$Y$10,3,1),"")</f>
        <v>5519639.0756521942</v>
      </c>
      <c r="Q110" s="15">
        <f ca="1">IFERROR(VLOOKUP($G110,Regresiones!$Z$6:$AB$10,2,1)*$G110+VLOOKUP($G110,Regresiones!$Z$6:$AB$10,3,1),"")</f>
        <v>5521744.3100377871</v>
      </c>
      <c r="R110" s="15">
        <f>IF($W110=$W111,-1,DatosHoy[[#This Row],[G ajus PM]]-X111)</f>
        <v>-1</v>
      </c>
      <c r="S110" s="15">
        <f>IF($W110=$W111,-1,DatosHoy[[#This Row],[G+V ajus PM]]-Y111)</f>
        <v>-1</v>
      </c>
      <c r="T110" s="15">
        <f>IF($W110=$W111,-1,DatosHoy[[#This Row],[CT ajus PM]]-Z111)</f>
        <v>-1</v>
      </c>
      <c r="U110" s="15">
        <f ca="1">IFERROR(IF(DatosHoy[[#This Row],[G ajus PM]]=DatosHoy[[#This Row],[G+V ajus PM]],-1,DatosHoy[[#This Row],[G ajus PM]]-DatosHoy[[#This Row],[G+V ajus PM]]),"")</f>
        <v>-261545.94113024231</v>
      </c>
      <c r="V110" s="15">
        <f ca="1">IFERROR(IF(DatosHoy[[#This Row],[G+V ajus PM]]=DatosHoy[[#This Row],[CT ajus PM]],-1,DatosHoy[[#This Row],[G+V ajus PM]]-DatosHoy[[#This Row],[CT ajus PM]]),"")</f>
        <v>-4210.4687711847946</v>
      </c>
      <c r="W110" s="15">
        <v>436</v>
      </c>
      <c r="X110" s="15">
        <f ca="1">IFERROR(IFERROR(VLOOKUP($W110,Regresiones!$T$6:$V$10,2,1)*$W110+VLOOKUP($W110,Regresiones!$T$6:$V$10,3,1),VLOOKUP(MIN(DatosHoy[Puntos]),Regresiones!$T$6:$V$10,2,1)*$W110+VLOOKUP(MIN(DatosHoy[Puntos]),Regresiones!$T$6:$V$10,3,1)),"NO")</f>
        <v>5522949.2161972504</v>
      </c>
      <c r="Y110" s="15">
        <f ca="1">IFERROR(IFERROR(VLOOKUP($W110,Regresiones!$W$6:$Y$10,2,1)*$W110+VLOOKUP($W110,Regresiones!$W$6:$Y$10,3,1),VLOOKUP(MIN(DatosHoy[Puntos]),Regresiones!$W$6:$Y$10,2,1)*$W110+VLOOKUP(MIN(DatosHoy[Puntos]),Regresiones!$W$6:$Y$10,3,1)),"NO")</f>
        <v>5784495.1573274927</v>
      </c>
      <c r="Z110" s="15">
        <f ca="1">IFERROR(IFERROR(VLOOKUP($W110,Regresiones!$Z$6:$AB$10,2,1)*$W110+VLOOKUP($W110,Regresiones!$Z$6:$AB$10,3,1),VLOOKUP(MIN(DatosHoy[Puntos]),Regresiones!$Z$6:$AB$10,2,1)*$W110+VLOOKUP(MIN(DatosHoy[Puntos]),Regresiones!$Z$6:$AB$10,3,1)),"NO")</f>
        <v>5788705.6260986775</v>
      </c>
      <c r="AA110" s="3">
        <f t="shared" ca="1" si="19"/>
        <v>1.9436674218279215</v>
      </c>
    </row>
    <row r="111" spans="2:27" x14ac:dyDescent="0.2">
      <c r="B111" s="1">
        <v>106</v>
      </c>
      <c r="C111" s="15">
        <v>5424448.7000000002</v>
      </c>
      <c r="D111" s="15">
        <v>5424448.7000000002</v>
      </c>
      <c r="E111" s="15">
        <v>5424448.7000000002</v>
      </c>
      <c r="F111" s="1" t="s">
        <v>135</v>
      </c>
      <c r="G111" s="1">
        <v>420</v>
      </c>
      <c r="H111" s="1" t="str">
        <f t="shared" si="14"/>
        <v>$G$111</v>
      </c>
      <c r="I111" s="1" t="str">
        <f t="shared" si="15"/>
        <v>$C$111</v>
      </c>
      <c r="J111" s="1" t="str">
        <f t="shared" si="16"/>
        <v>$D$111</v>
      </c>
      <c r="K111" s="1" t="str">
        <f t="shared" si="17"/>
        <v>$E$111</v>
      </c>
      <c r="L111" s="15">
        <f ca="1">IFERROR(VLOOKUP($G111,Regresiones!$E$6:$I$10,4,1)*$G111+VLOOKUP($G111,Regresiones!$E$6:$I$10,5,1),"")</f>
        <v>5383342.6304339794</v>
      </c>
      <c r="M111" s="15">
        <f ca="1">IFERROR(VLOOKUP($G111,Regresiones!$J$6:$N$10,4,1)*$G111+VLOOKUP($G111,Regresiones!$J$6:$N$10,5,1),"")</f>
        <v>5671342.3128790595</v>
      </c>
      <c r="N111" s="15">
        <f ca="1">IFERROR(VLOOKUP($G111,Regresiones!$O$6:$S$10,4,1)*$G111+VLOOKUP($G111,Regresiones!$O$6:$S$10,5,1),"")</f>
        <v>5671342.3128790595</v>
      </c>
      <c r="O111" s="15">
        <f ca="1">IFERROR(VLOOKUP($G111,Regresiones!$T$6:$V$10,2,1)*$G111+VLOOKUP($G111,Regresiones!$T$6:$V$10,3,1),"")</f>
        <v>5232112.2239470631</v>
      </c>
      <c r="P111" s="15">
        <f ca="1">IFERROR(VLOOKUP($G111,Regresiones!$W$6:$Y$10,2,1)*$G111+VLOOKUP($G111,Regresiones!$W$6:$Y$10,3,1),"")</f>
        <v>5519639.0756521942</v>
      </c>
      <c r="Q111" s="15">
        <f ca="1">IFERROR(VLOOKUP($G111,Regresiones!$Z$6:$AB$10,2,1)*$G111+VLOOKUP($G111,Regresiones!$Z$6:$AB$10,3,1),"")</f>
        <v>5521744.3100377871</v>
      </c>
      <c r="R111" s="15">
        <f>IF($W111=$W112,-1,DatosHoy[[#This Row],[G ajus PM]]-X112)</f>
        <v>-1</v>
      </c>
      <c r="S111" s="15">
        <f>IF($W111=$W112,-1,DatosHoy[[#This Row],[G+V ajus PM]]-Y112)</f>
        <v>-1</v>
      </c>
      <c r="T111" s="15">
        <f>IF($W111=$W112,-1,DatosHoy[[#This Row],[CT ajus PM]]-Z112)</f>
        <v>-1</v>
      </c>
      <c r="U111" s="15">
        <f ca="1">IFERROR(IF(DatosHoy[[#This Row],[G ajus PM]]=DatosHoy[[#This Row],[G+V ajus PM]],-1,DatosHoy[[#This Row],[G ajus PM]]-DatosHoy[[#This Row],[G+V ajus PM]]),"")</f>
        <v>-261545.94113024231</v>
      </c>
      <c r="V111" s="15">
        <f ca="1">IFERROR(IF(DatosHoy[[#This Row],[G+V ajus PM]]=DatosHoy[[#This Row],[CT ajus PM]],-1,DatosHoy[[#This Row],[G+V ajus PM]]-DatosHoy[[#This Row],[CT ajus PM]]),"")</f>
        <v>-4210.4687711847946</v>
      </c>
      <c r="W111" s="15">
        <v>436</v>
      </c>
      <c r="X111" s="15">
        <f ca="1">IFERROR(IFERROR(VLOOKUP($W111,Regresiones!$T$6:$V$10,2,1)*$W111+VLOOKUP($W111,Regresiones!$T$6:$V$10,3,1),VLOOKUP(MIN(DatosHoy[Puntos]),Regresiones!$T$6:$V$10,2,1)*$W111+VLOOKUP(MIN(DatosHoy[Puntos]),Regresiones!$T$6:$V$10,3,1)),"NO")</f>
        <v>5522949.2161972504</v>
      </c>
      <c r="Y111" s="15">
        <f ca="1">IFERROR(IFERROR(VLOOKUP($W111,Regresiones!$W$6:$Y$10,2,1)*$W111+VLOOKUP($W111,Regresiones!$W$6:$Y$10,3,1),VLOOKUP(MIN(DatosHoy[Puntos]),Regresiones!$W$6:$Y$10,2,1)*$W111+VLOOKUP(MIN(DatosHoy[Puntos]),Regresiones!$W$6:$Y$10,3,1)),"NO")</f>
        <v>5784495.1573274927</v>
      </c>
      <c r="Z111" s="15">
        <f ca="1">IFERROR(IFERROR(VLOOKUP($W111,Regresiones!$Z$6:$AB$10,2,1)*$W111+VLOOKUP($W111,Regresiones!$Z$6:$AB$10,3,1),VLOOKUP(MIN(DatosHoy[Puntos]),Regresiones!$Z$6:$AB$10,2,1)*$W111+VLOOKUP(MIN(DatosHoy[Puntos]),Regresiones!$Z$6:$AB$10,3,1)),"NO")</f>
        <v>5788705.6260986775</v>
      </c>
      <c r="AA111" s="3">
        <f t="shared" ca="1" si="19"/>
        <v>0.93707454660392364</v>
      </c>
    </row>
    <row r="112" spans="2:27" x14ac:dyDescent="0.2">
      <c r="B112" s="1">
        <v>107</v>
      </c>
      <c r="C112" s="15">
        <v>4745510.1100000003</v>
      </c>
      <c r="D112" s="15">
        <v>4745510.1100000003</v>
      </c>
      <c r="E112" s="15">
        <v>4745510.1100000003</v>
      </c>
      <c r="F112" s="1" t="s">
        <v>136</v>
      </c>
      <c r="G112" s="1">
        <v>442</v>
      </c>
      <c r="H112" s="1" t="str">
        <f t="shared" si="14"/>
        <v>$G$112</v>
      </c>
      <c r="I112" s="1" t="str">
        <f t="shared" si="15"/>
        <v>$C$112</v>
      </c>
      <c r="J112" s="1" t="str">
        <f t="shared" si="16"/>
        <v>$D$112</v>
      </c>
      <c r="K112" s="1" t="str">
        <f t="shared" si="17"/>
        <v>$E$112</v>
      </c>
      <c r="L112" s="15">
        <f ca="1">IFERROR(VLOOKUP($G112,Regresiones!$E$6:$I$10,4,1)*$G112+VLOOKUP($G112,Regresiones!$E$6:$I$10,5,1),"")</f>
        <v>5991185.3036974976</v>
      </c>
      <c r="M112" s="15">
        <f ca="1">IFERROR(VLOOKUP($G112,Regresiones!$J$6:$N$10,4,1)*$G112+VLOOKUP($G112,Regresiones!$J$6:$N$10,5,1),"")</f>
        <v>6244111.3763695341</v>
      </c>
      <c r="N112" s="15">
        <f ca="1">IFERROR(VLOOKUP($G112,Regresiones!$O$6:$S$10,4,1)*$G112+VLOOKUP($G112,Regresiones!$O$6:$S$10,5,1),"")</f>
        <v>6244111.3763695341</v>
      </c>
      <c r="O112" s="15">
        <f ca="1">IFERROR(VLOOKUP($G112,Regresiones!$T$6:$V$10,2,1)*$G112+VLOOKUP($G112,Regresiones!$T$6:$V$10,3,1),"")</f>
        <v>5632013.0882910714</v>
      </c>
      <c r="P112" s="15">
        <f ca="1">IFERROR(VLOOKUP($G112,Regresiones!$W$6:$Y$10,2,1)*$G112+VLOOKUP($G112,Regresiones!$W$6:$Y$10,3,1),"")</f>
        <v>5883816.1879557297</v>
      </c>
      <c r="Q112" s="15">
        <f ca="1">IFERROR(VLOOKUP($G112,Regresiones!$Z$6:$AB$10,2,1)*$G112+VLOOKUP($G112,Regresiones!$Z$6:$AB$10,3,1),"")</f>
        <v>5888816.1196215115</v>
      </c>
      <c r="R112" s="15">
        <f>IF($W112=$W113,-1,DatosHoy[[#This Row],[G ajus PM]]-X113)</f>
        <v>-1</v>
      </c>
      <c r="S112" s="15">
        <f>IF($W112=$W113,-1,DatosHoy[[#This Row],[G+V ajus PM]]-Y113)</f>
        <v>-1</v>
      </c>
      <c r="T112" s="15">
        <f>IF($W112=$W113,-1,DatosHoy[[#This Row],[CT ajus PM]]-Z113)</f>
        <v>-1</v>
      </c>
      <c r="U112" s="15">
        <f ca="1">IFERROR(IF(DatosHoy[[#This Row],[G ajus PM]]=DatosHoy[[#This Row],[G+V ajus PM]],-1,DatosHoy[[#This Row],[G ajus PM]]-DatosHoy[[#This Row],[G+V ajus PM]]),"")</f>
        <v>-261545.94113024231</v>
      </c>
      <c r="V112" s="15">
        <f ca="1">IFERROR(IF(DatosHoy[[#This Row],[G+V ajus PM]]=DatosHoy[[#This Row],[CT ajus PM]],-1,DatosHoy[[#This Row],[G+V ajus PM]]-DatosHoy[[#This Row],[CT ajus PM]]),"")</f>
        <v>-4210.4687711847946</v>
      </c>
      <c r="W112" s="15">
        <v>436</v>
      </c>
      <c r="X112" s="15">
        <f ca="1">IFERROR(IFERROR(VLOOKUP($W112,Regresiones!$T$6:$V$10,2,1)*$W112+VLOOKUP($W112,Regresiones!$T$6:$V$10,3,1),VLOOKUP(MIN(DatosHoy[Puntos]),Regresiones!$T$6:$V$10,2,1)*$W112+VLOOKUP(MIN(DatosHoy[Puntos]),Regresiones!$T$6:$V$10,3,1)),"NO")</f>
        <v>5522949.2161972504</v>
      </c>
      <c r="Y112" s="15">
        <f ca="1">IFERROR(IFERROR(VLOOKUP($W112,Regresiones!$W$6:$Y$10,2,1)*$W112+VLOOKUP($W112,Regresiones!$W$6:$Y$10,3,1),VLOOKUP(MIN(DatosHoy[Puntos]),Regresiones!$W$6:$Y$10,2,1)*$W112+VLOOKUP(MIN(DatosHoy[Puntos]),Regresiones!$W$6:$Y$10,3,1)),"NO")</f>
        <v>5784495.1573274927</v>
      </c>
      <c r="Z112" s="15">
        <f ca="1">IFERROR(IFERROR(VLOOKUP($W112,Regresiones!$Z$6:$AB$10,2,1)*$W112+VLOOKUP($W112,Regresiones!$Z$6:$AB$10,3,1),VLOOKUP(MIN(DatosHoy[Puntos]),Regresiones!$Z$6:$AB$10,2,1)*$W112+VLOOKUP(MIN(DatosHoy[Puntos]),Regresiones!$Z$6:$AB$10,3,1)),"NO")</f>
        <v>5788705.6260986775</v>
      </c>
      <c r="AA112" s="3">
        <f t="shared" ca="1" si="19"/>
        <v>0.81978777580338924</v>
      </c>
    </row>
    <row r="113" spans="2:27" x14ac:dyDescent="0.2">
      <c r="B113" s="1">
        <v>108</v>
      </c>
      <c r="C113" s="15">
        <v>4745510.1100000003</v>
      </c>
      <c r="D113" s="15">
        <v>4745510.1100000003</v>
      </c>
      <c r="E113" s="15">
        <v>4745510.1100000003</v>
      </c>
      <c r="F113" s="1" t="s">
        <v>136</v>
      </c>
      <c r="G113" s="1">
        <v>442</v>
      </c>
      <c r="H113" s="1" t="str">
        <f t="shared" ref="H113:H125" si="20">"$"&amp;"G"&amp;"$"&amp;ROW()</f>
        <v>$G$113</v>
      </c>
      <c r="I113" s="1" t="str">
        <f t="shared" ref="I113:I125" si="21">"$"&amp;"C"&amp;"$"&amp;ROW()</f>
        <v>$C$113</v>
      </c>
      <c r="J113" s="1" t="str">
        <f t="shared" ref="J113:J125" si="22">"$"&amp;"D"&amp;"$"&amp;ROW()</f>
        <v>$D$113</v>
      </c>
      <c r="K113" s="1" t="str">
        <f t="shared" ref="K113:K125" si="23">"$"&amp;"E"&amp;"$"&amp;ROW()</f>
        <v>$E$113</v>
      </c>
      <c r="L113" s="15">
        <f ca="1">IFERROR(VLOOKUP($G113,Regresiones!$E$6:$I$10,4,1)*$G113+VLOOKUP($G113,Regresiones!$E$6:$I$10,5,1),"")</f>
        <v>5991185.3036974976</v>
      </c>
      <c r="M113" s="15">
        <f ca="1">IFERROR(VLOOKUP($G113,Regresiones!$J$6:$N$10,4,1)*$G113+VLOOKUP($G113,Regresiones!$J$6:$N$10,5,1),"")</f>
        <v>6244111.3763695341</v>
      </c>
      <c r="N113" s="15">
        <f ca="1">IFERROR(VLOOKUP($G113,Regresiones!$O$6:$S$10,4,1)*$G113+VLOOKUP($G113,Regresiones!$O$6:$S$10,5,1),"")</f>
        <v>6244111.3763695341</v>
      </c>
      <c r="O113" s="15">
        <f ca="1">IFERROR(VLOOKUP($G113,Regresiones!$T$6:$V$10,2,1)*$G113+VLOOKUP($G113,Regresiones!$T$6:$V$10,3,1),"")</f>
        <v>5632013.0882910714</v>
      </c>
      <c r="P113" s="15">
        <f ca="1">IFERROR(VLOOKUP($G113,Regresiones!$W$6:$Y$10,2,1)*$G113+VLOOKUP($G113,Regresiones!$W$6:$Y$10,3,1),"")</f>
        <v>5883816.1879557297</v>
      </c>
      <c r="Q113" s="15">
        <f ca="1">IFERROR(VLOOKUP($G113,Regresiones!$Z$6:$AB$10,2,1)*$G113+VLOOKUP($G113,Regresiones!$Z$6:$AB$10,3,1),"")</f>
        <v>5888816.1196215115</v>
      </c>
      <c r="R113" s="15">
        <f>IF($W113=$W114,-1,DatosHoy[[#This Row],[G ajus PM]]-X114)</f>
        <v>-1</v>
      </c>
      <c r="S113" s="15">
        <f>IF($W113=$W114,-1,DatosHoy[[#This Row],[G+V ajus PM]]-Y114)</f>
        <v>-1</v>
      </c>
      <c r="T113" s="15">
        <f>IF($W113=$W114,-1,DatosHoy[[#This Row],[CT ajus PM]]-Z114)</f>
        <v>-1</v>
      </c>
      <c r="U113" s="15">
        <f ca="1">IFERROR(IF(DatosHoy[[#This Row],[G ajus PM]]=DatosHoy[[#This Row],[G+V ajus PM]],-1,DatosHoy[[#This Row],[G ajus PM]]-DatosHoy[[#This Row],[G+V ajus PM]]),"")</f>
        <v>-261545.94113024231</v>
      </c>
      <c r="V113" s="15">
        <f ca="1">IFERROR(IF(DatosHoy[[#This Row],[G+V ajus PM]]=DatosHoy[[#This Row],[CT ajus PM]],-1,DatosHoy[[#This Row],[G+V ajus PM]]-DatosHoy[[#This Row],[CT ajus PM]]),"")</f>
        <v>-4210.4687711847946</v>
      </c>
      <c r="W113" s="15">
        <v>436</v>
      </c>
      <c r="X113" s="15">
        <f ca="1">IFERROR(IFERROR(VLOOKUP($W113,Regresiones!$T$6:$V$10,2,1)*$W113+VLOOKUP($W113,Regresiones!$T$6:$V$10,3,1),VLOOKUP(MIN(DatosHoy[Puntos]),Regresiones!$T$6:$V$10,2,1)*$W113+VLOOKUP(MIN(DatosHoy[Puntos]),Regresiones!$T$6:$V$10,3,1)),"NO")</f>
        <v>5522949.2161972504</v>
      </c>
      <c r="Y113" s="15">
        <f ca="1">IFERROR(IFERROR(VLOOKUP($W113,Regresiones!$W$6:$Y$10,2,1)*$W113+VLOOKUP($W113,Regresiones!$W$6:$Y$10,3,1),VLOOKUP(MIN(DatosHoy[Puntos]),Regresiones!$W$6:$Y$10,2,1)*$W113+VLOOKUP(MIN(DatosHoy[Puntos]),Regresiones!$W$6:$Y$10,3,1)),"NO")</f>
        <v>5784495.1573274927</v>
      </c>
      <c r="Z113" s="15">
        <f ca="1">IFERROR(IFERROR(VLOOKUP($W113,Regresiones!$Z$6:$AB$10,2,1)*$W113+VLOOKUP($W113,Regresiones!$Z$6:$AB$10,3,1),VLOOKUP(MIN(DatosHoy[Puntos]),Regresiones!$Z$6:$AB$10,2,1)*$W113+VLOOKUP(MIN(DatosHoy[Puntos]),Regresiones!$Z$6:$AB$10,3,1)),"NO")</f>
        <v>5788705.6260986775</v>
      </c>
      <c r="AA113" s="3">
        <f t="shared" ca="1" si="19"/>
        <v>0.81978777580338924</v>
      </c>
    </row>
    <row r="114" spans="2:27" x14ac:dyDescent="0.2">
      <c r="B114" s="1">
        <v>109</v>
      </c>
      <c r="C114" s="15">
        <v>4745510.1100000003</v>
      </c>
      <c r="D114" s="15">
        <v>4745510.1100000003</v>
      </c>
      <c r="E114" s="15">
        <v>4745510.1100000003</v>
      </c>
      <c r="F114" s="1" t="s">
        <v>136</v>
      </c>
      <c r="G114" s="1">
        <v>442</v>
      </c>
      <c r="H114" s="1" t="str">
        <f t="shared" si="20"/>
        <v>$G$114</v>
      </c>
      <c r="I114" s="1" t="str">
        <f t="shared" si="21"/>
        <v>$C$114</v>
      </c>
      <c r="J114" s="1" t="str">
        <f t="shared" si="22"/>
        <v>$D$114</v>
      </c>
      <c r="K114" s="1" t="str">
        <f t="shared" si="23"/>
        <v>$E$114</v>
      </c>
      <c r="L114" s="15">
        <f ca="1">IFERROR(VLOOKUP($G114,Regresiones!$E$6:$I$10,4,1)*$G114+VLOOKUP($G114,Regresiones!$E$6:$I$10,5,1),"")</f>
        <v>5991185.3036974976</v>
      </c>
      <c r="M114" s="15">
        <f ca="1">IFERROR(VLOOKUP($G114,Regresiones!$J$6:$N$10,4,1)*$G114+VLOOKUP($G114,Regresiones!$J$6:$N$10,5,1),"")</f>
        <v>6244111.3763695341</v>
      </c>
      <c r="N114" s="15">
        <f ca="1">IFERROR(VLOOKUP($G114,Regresiones!$O$6:$S$10,4,1)*$G114+VLOOKUP($G114,Regresiones!$O$6:$S$10,5,1),"")</f>
        <v>6244111.3763695341</v>
      </c>
      <c r="O114" s="15">
        <f ca="1">IFERROR(VLOOKUP($G114,Regresiones!$T$6:$V$10,2,1)*$G114+VLOOKUP($G114,Regresiones!$T$6:$V$10,3,1),"")</f>
        <v>5632013.0882910714</v>
      </c>
      <c r="P114" s="15">
        <f ca="1">IFERROR(VLOOKUP($G114,Regresiones!$W$6:$Y$10,2,1)*$G114+VLOOKUP($G114,Regresiones!$W$6:$Y$10,3,1),"")</f>
        <v>5883816.1879557297</v>
      </c>
      <c r="Q114" s="15">
        <f ca="1">IFERROR(VLOOKUP($G114,Regresiones!$Z$6:$AB$10,2,1)*$G114+VLOOKUP($G114,Regresiones!$Z$6:$AB$10,3,1),"")</f>
        <v>5888816.1196215115</v>
      </c>
      <c r="R114" s="15">
        <f>IF($W114=$W115,-1,DatosHoy[[#This Row],[G ajus PM]]-X115)</f>
        <v>-1</v>
      </c>
      <c r="S114" s="15">
        <f>IF($W114=$W115,-1,DatosHoy[[#This Row],[G+V ajus PM]]-Y115)</f>
        <v>-1</v>
      </c>
      <c r="T114" s="15">
        <f>IF($W114=$W115,-1,DatosHoy[[#This Row],[CT ajus PM]]-Z115)</f>
        <v>-1</v>
      </c>
      <c r="U114" s="15">
        <f ca="1">IFERROR(IF(DatosHoy[[#This Row],[G ajus PM]]=DatosHoy[[#This Row],[G+V ajus PM]],-1,DatosHoy[[#This Row],[G ajus PM]]-DatosHoy[[#This Row],[G+V ajus PM]]),"")</f>
        <v>-261545.94113024231</v>
      </c>
      <c r="V114" s="15">
        <f ca="1">IFERROR(IF(DatosHoy[[#This Row],[G+V ajus PM]]=DatosHoy[[#This Row],[CT ajus PM]],-1,DatosHoy[[#This Row],[G+V ajus PM]]-DatosHoy[[#This Row],[CT ajus PM]]),"")</f>
        <v>-4210.4687711847946</v>
      </c>
      <c r="W114" s="15">
        <v>436</v>
      </c>
      <c r="X114" s="15">
        <f ca="1">IFERROR(IFERROR(VLOOKUP($W114,Regresiones!$T$6:$V$10,2,1)*$W114+VLOOKUP($W114,Regresiones!$T$6:$V$10,3,1),VLOOKUP(MIN(DatosHoy[Puntos]),Regresiones!$T$6:$V$10,2,1)*$W114+VLOOKUP(MIN(DatosHoy[Puntos]),Regresiones!$T$6:$V$10,3,1)),"NO")</f>
        <v>5522949.2161972504</v>
      </c>
      <c r="Y114" s="15">
        <f ca="1">IFERROR(IFERROR(VLOOKUP($W114,Regresiones!$W$6:$Y$10,2,1)*$W114+VLOOKUP($W114,Regresiones!$W$6:$Y$10,3,1),VLOOKUP(MIN(DatosHoy[Puntos]),Regresiones!$W$6:$Y$10,2,1)*$W114+VLOOKUP(MIN(DatosHoy[Puntos]),Regresiones!$W$6:$Y$10,3,1)),"NO")</f>
        <v>5784495.1573274927</v>
      </c>
      <c r="Z114" s="15">
        <f ca="1">IFERROR(IFERROR(VLOOKUP($W114,Regresiones!$Z$6:$AB$10,2,1)*$W114+VLOOKUP($W114,Regresiones!$Z$6:$AB$10,3,1),VLOOKUP(MIN(DatosHoy[Puntos]),Regresiones!$Z$6:$AB$10,2,1)*$W114+VLOOKUP(MIN(DatosHoy[Puntos]),Regresiones!$Z$6:$AB$10,3,1)),"NO")</f>
        <v>5788705.6260986775</v>
      </c>
      <c r="AA114" s="3">
        <f t="shared" ca="1" si="19"/>
        <v>0.81978777580338924</v>
      </c>
    </row>
    <row r="115" spans="2:27" x14ac:dyDescent="0.2">
      <c r="B115" s="1">
        <v>110</v>
      </c>
      <c r="C115" s="15">
        <v>4745510.1100000003</v>
      </c>
      <c r="D115" s="15">
        <v>4745510.1100000003</v>
      </c>
      <c r="E115" s="15">
        <v>4745510.1100000003</v>
      </c>
      <c r="F115" s="1" t="s">
        <v>136</v>
      </c>
      <c r="G115" s="1">
        <v>442</v>
      </c>
      <c r="H115" s="1" t="str">
        <f t="shared" si="20"/>
        <v>$G$115</v>
      </c>
      <c r="I115" s="1" t="str">
        <f t="shared" si="21"/>
        <v>$C$115</v>
      </c>
      <c r="J115" s="1" t="str">
        <f t="shared" si="22"/>
        <v>$D$115</v>
      </c>
      <c r="K115" s="1" t="str">
        <f t="shared" si="23"/>
        <v>$E$115</v>
      </c>
      <c r="L115" s="15">
        <f ca="1">IFERROR(VLOOKUP($G115,Regresiones!$E$6:$I$10,4,1)*$G115+VLOOKUP($G115,Regresiones!$E$6:$I$10,5,1),"")</f>
        <v>5991185.3036974976</v>
      </c>
      <c r="M115" s="15">
        <f ca="1">IFERROR(VLOOKUP($G115,Regresiones!$J$6:$N$10,4,1)*$G115+VLOOKUP($G115,Regresiones!$J$6:$N$10,5,1),"")</f>
        <v>6244111.3763695341</v>
      </c>
      <c r="N115" s="15">
        <f ca="1">IFERROR(VLOOKUP($G115,Regresiones!$O$6:$S$10,4,1)*$G115+VLOOKUP($G115,Regresiones!$O$6:$S$10,5,1),"")</f>
        <v>6244111.3763695341</v>
      </c>
      <c r="O115" s="15">
        <f ca="1">IFERROR(VLOOKUP($G115,Regresiones!$T$6:$V$10,2,1)*$G115+VLOOKUP($G115,Regresiones!$T$6:$V$10,3,1),"")</f>
        <v>5632013.0882910714</v>
      </c>
      <c r="P115" s="15">
        <f ca="1">IFERROR(VLOOKUP($G115,Regresiones!$W$6:$Y$10,2,1)*$G115+VLOOKUP($G115,Regresiones!$W$6:$Y$10,3,1),"")</f>
        <v>5883816.1879557297</v>
      </c>
      <c r="Q115" s="15">
        <f ca="1">IFERROR(VLOOKUP($G115,Regresiones!$Z$6:$AB$10,2,1)*$G115+VLOOKUP($G115,Regresiones!$Z$6:$AB$10,3,1),"")</f>
        <v>5888816.1196215115</v>
      </c>
      <c r="R115" s="15">
        <f>IF($W115=$W116,-1,DatosHoy[[#This Row],[G ajus PM]]-X116)</f>
        <v>-1</v>
      </c>
      <c r="S115" s="15">
        <f>IF($W115=$W116,-1,DatosHoy[[#This Row],[G+V ajus PM]]-Y116)</f>
        <v>-1</v>
      </c>
      <c r="T115" s="15">
        <f>IF($W115=$W116,-1,DatosHoy[[#This Row],[CT ajus PM]]-Z116)</f>
        <v>-1</v>
      </c>
      <c r="U115" s="15">
        <f ca="1">IFERROR(IF(DatosHoy[[#This Row],[G ajus PM]]=DatosHoy[[#This Row],[G+V ajus PM]],-1,DatosHoy[[#This Row],[G ajus PM]]-DatosHoy[[#This Row],[G+V ajus PM]]),"")</f>
        <v>-261545.94113024231</v>
      </c>
      <c r="V115" s="15">
        <f ca="1">IFERROR(IF(DatosHoy[[#This Row],[G+V ajus PM]]=DatosHoy[[#This Row],[CT ajus PM]],-1,DatosHoy[[#This Row],[G+V ajus PM]]-DatosHoy[[#This Row],[CT ajus PM]]),"")</f>
        <v>-4210.4687711847946</v>
      </c>
      <c r="W115" s="15">
        <v>436</v>
      </c>
      <c r="X115" s="15">
        <f ca="1">IFERROR(IFERROR(VLOOKUP($W115,Regresiones!$T$6:$V$10,2,1)*$W115+VLOOKUP($W115,Regresiones!$T$6:$V$10,3,1),VLOOKUP(MIN(DatosHoy[Puntos]),Regresiones!$T$6:$V$10,2,1)*$W115+VLOOKUP(MIN(DatosHoy[Puntos]),Regresiones!$T$6:$V$10,3,1)),"NO")</f>
        <v>5522949.2161972504</v>
      </c>
      <c r="Y115" s="15">
        <f ca="1">IFERROR(IFERROR(VLOOKUP($W115,Regresiones!$W$6:$Y$10,2,1)*$W115+VLOOKUP($W115,Regresiones!$W$6:$Y$10,3,1),VLOOKUP(MIN(DatosHoy[Puntos]),Regresiones!$W$6:$Y$10,2,1)*$W115+VLOOKUP(MIN(DatosHoy[Puntos]),Regresiones!$W$6:$Y$10,3,1)),"NO")</f>
        <v>5784495.1573274927</v>
      </c>
      <c r="Z115" s="15">
        <f ca="1">IFERROR(IFERROR(VLOOKUP($W115,Regresiones!$Z$6:$AB$10,2,1)*$W115+VLOOKUP($W115,Regresiones!$Z$6:$AB$10,3,1),VLOOKUP(MIN(DatosHoy[Puntos]),Regresiones!$Z$6:$AB$10,2,1)*$W115+VLOOKUP(MIN(DatosHoy[Puntos]),Regresiones!$Z$6:$AB$10,3,1)),"NO")</f>
        <v>5788705.6260986775</v>
      </c>
      <c r="AA115" s="3">
        <f t="shared" ca="1" si="19"/>
        <v>0.81978777580338924</v>
      </c>
    </row>
    <row r="116" spans="2:27" x14ac:dyDescent="0.2">
      <c r="B116" s="1">
        <v>111</v>
      </c>
      <c r="C116" s="15">
        <v>4745510.1100000003</v>
      </c>
      <c r="D116" s="15">
        <v>4745510.1100000003</v>
      </c>
      <c r="E116" s="15">
        <v>4745510.1100000003</v>
      </c>
      <c r="F116" s="1" t="s">
        <v>136</v>
      </c>
      <c r="G116" s="1">
        <v>442</v>
      </c>
      <c r="H116" s="1" t="str">
        <f t="shared" si="20"/>
        <v>$G$116</v>
      </c>
      <c r="I116" s="1" t="str">
        <f t="shared" si="21"/>
        <v>$C$116</v>
      </c>
      <c r="J116" s="1" t="str">
        <f t="shared" si="22"/>
        <v>$D$116</v>
      </c>
      <c r="K116" s="1" t="str">
        <f t="shared" si="23"/>
        <v>$E$116</v>
      </c>
      <c r="L116" s="15">
        <f ca="1">IFERROR(VLOOKUP($G116,Regresiones!$E$6:$I$10,4,1)*$G116+VLOOKUP($G116,Regresiones!$E$6:$I$10,5,1),"")</f>
        <v>5991185.3036974976</v>
      </c>
      <c r="M116" s="15">
        <f ca="1">IFERROR(VLOOKUP($G116,Regresiones!$J$6:$N$10,4,1)*$G116+VLOOKUP($G116,Regresiones!$J$6:$N$10,5,1),"")</f>
        <v>6244111.3763695341</v>
      </c>
      <c r="N116" s="15">
        <f ca="1">IFERROR(VLOOKUP($G116,Regresiones!$O$6:$S$10,4,1)*$G116+VLOOKUP($G116,Regresiones!$O$6:$S$10,5,1),"")</f>
        <v>6244111.3763695341</v>
      </c>
      <c r="O116" s="15">
        <f ca="1">IFERROR(VLOOKUP($G116,Regresiones!$T$6:$V$10,2,1)*$G116+VLOOKUP($G116,Regresiones!$T$6:$V$10,3,1),"")</f>
        <v>5632013.0882910714</v>
      </c>
      <c r="P116" s="15">
        <f ca="1">IFERROR(VLOOKUP($G116,Regresiones!$W$6:$Y$10,2,1)*$G116+VLOOKUP($G116,Regresiones!$W$6:$Y$10,3,1),"")</f>
        <v>5883816.1879557297</v>
      </c>
      <c r="Q116" s="15">
        <f ca="1">IFERROR(VLOOKUP($G116,Regresiones!$Z$6:$AB$10,2,1)*$G116+VLOOKUP($G116,Regresiones!$Z$6:$AB$10,3,1),"")</f>
        <v>5888816.1196215115</v>
      </c>
      <c r="R116" s="15">
        <f>IF($W116=$W117,-1,DatosHoy[[#This Row],[G ajus PM]]-X117)</f>
        <v>-1</v>
      </c>
      <c r="S116" s="15">
        <f>IF($W116=$W117,-1,DatosHoy[[#This Row],[G+V ajus PM]]-Y117)</f>
        <v>-1</v>
      </c>
      <c r="T116" s="15">
        <f>IF($W116=$W117,-1,DatosHoy[[#This Row],[CT ajus PM]]-Z117)</f>
        <v>-1</v>
      </c>
      <c r="U116" s="15">
        <f ca="1">IFERROR(IF(DatosHoy[[#This Row],[G ajus PM]]=DatosHoy[[#This Row],[G+V ajus PM]],-1,DatosHoy[[#This Row],[G ajus PM]]-DatosHoy[[#This Row],[G+V ajus PM]]),"")</f>
        <v>-261545.94113024231</v>
      </c>
      <c r="V116" s="15">
        <f ca="1">IFERROR(IF(DatosHoy[[#This Row],[G+V ajus PM]]=DatosHoy[[#This Row],[CT ajus PM]],-1,DatosHoy[[#This Row],[G+V ajus PM]]-DatosHoy[[#This Row],[CT ajus PM]]),"")</f>
        <v>-4210.4687711847946</v>
      </c>
      <c r="W116" s="15">
        <v>436</v>
      </c>
      <c r="X116" s="15">
        <f ca="1">IFERROR(IFERROR(VLOOKUP($W116,Regresiones!$T$6:$V$10,2,1)*$W116+VLOOKUP($W116,Regresiones!$T$6:$V$10,3,1),VLOOKUP(MIN(DatosHoy[Puntos]),Regresiones!$T$6:$V$10,2,1)*$W116+VLOOKUP(MIN(DatosHoy[Puntos]),Regresiones!$T$6:$V$10,3,1)),"NO")</f>
        <v>5522949.2161972504</v>
      </c>
      <c r="Y116" s="15">
        <f ca="1">IFERROR(IFERROR(VLOOKUP($W116,Regresiones!$W$6:$Y$10,2,1)*$W116+VLOOKUP($W116,Regresiones!$W$6:$Y$10,3,1),VLOOKUP(MIN(DatosHoy[Puntos]),Regresiones!$W$6:$Y$10,2,1)*$W116+VLOOKUP(MIN(DatosHoy[Puntos]),Regresiones!$W$6:$Y$10,3,1)),"NO")</f>
        <v>5784495.1573274927</v>
      </c>
      <c r="Z116" s="15">
        <f ca="1">IFERROR(IFERROR(VLOOKUP($W116,Regresiones!$Z$6:$AB$10,2,1)*$W116+VLOOKUP($W116,Regresiones!$Z$6:$AB$10,3,1),VLOOKUP(MIN(DatosHoy[Puntos]),Regresiones!$Z$6:$AB$10,2,1)*$W116+VLOOKUP(MIN(DatosHoy[Puntos]),Regresiones!$Z$6:$AB$10,3,1)),"NO")</f>
        <v>5788705.6260986775</v>
      </c>
      <c r="AA116" s="3">
        <f t="shared" ca="1" si="19"/>
        <v>0.81978777580338924</v>
      </c>
    </row>
    <row r="117" spans="2:27" x14ac:dyDescent="0.2">
      <c r="B117" s="1">
        <v>112</v>
      </c>
      <c r="C117" s="15">
        <v>6023373.7300000004</v>
      </c>
      <c r="D117" s="15">
        <v>6023373.7300000004</v>
      </c>
      <c r="E117" s="15">
        <v>6023373.7300000004</v>
      </c>
      <c r="F117" s="1" t="s">
        <v>137</v>
      </c>
      <c r="G117" s="1">
        <v>452</v>
      </c>
      <c r="H117" s="1" t="str">
        <f t="shared" si="20"/>
        <v>$G$117</v>
      </c>
      <c r="I117" s="1" t="str">
        <f t="shared" si="21"/>
        <v>$C$117</v>
      </c>
      <c r="J117" s="1" t="str">
        <f t="shared" si="22"/>
        <v>$D$117</v>
      </c>
      <c r="K117" s="1" t="str">
        <f t="shared" si="23"/>
        <v>$E$117</v>
      </c>
      <c r="L117" s="15">
        <f ca="1">IFERROR(VLOOKUP($G117,Regresiones!$E$6:$I$10,4,1)*$G117+VLOOKUP($G117,Regresiones!$E$6:$I$10,5,1),"")</f>
        <v>6267477.4279081887</v>
      </c>
      <c r="M117" s="15">
        <f ca="1">IFERROR(VLOOKUP($G117,Regresiones!$J$6:$N$10,4,1)*$G117+VLOOKUP($G117,Regresiones!$J$6:$N$10,5,1),"")</f>
        <v>6504460.950683387</v>
      </c>
      <c r="N117" s="15">
        <f ca="1">IFERROR(VLOOKUP($G117,Regresiones!$O$6:$S$10,4,1)*$G117+VLOOKUP($G117,Regresiones!$O$6:$S$10,5,1),"")</f>
        <v>6504460.950683387</v>
      </c>
      <c r="O117" s="15">
        <f ca="1">IFERROR(VLOOKUP($G117,Regresiones!$T$6:$V$10,2,1)*$G117+VLOOKUP($G117,Regresiones!$T$6:$V$10,3,1),"")</f>
        <v>5813786.2084474387</v>
      </c>
      <c r="P117" s="15">
        <f ca="1">IFERROR(VLOOKUP($G117,Regresiones!$W$6:$Y$10,2,1)*$G117+VLOOKUP($G117,Regresiones!$W$6:$Y$10,3,1),"")</f>
        <v>6049351.2390027912</v>
      </c>
      <c r="Q117" s="15">
        <f ca="1">IFERROR(VLOOKUP($G117,Regresiones!$Z$6:$AB$10,2,1)*$G117+VLOOKUP($G117,Regresiones!$Z$6:$AB$10,3,1),"")</f>
        <v>6055666.942159568</v>
      </c>
      <c r="R117" s="15">
        <f>IF($W117=$W118,-1,DatosHoy[[#This Row],[G ajus PM]]-X118)</f>
        <v>-1</v>
      </c>
      <c r="S117" s="15">
        <f>IF($W117=$W118,-1,DatosHoy[[#This Row],[G+V ajus PM]]-Y118)</f>
        <v>-1</v>
      </c>
      <c r="T117" s="15">
        <f>IF($W117=$W118,-1,DatosHoy[[#This Row],[CT ajus PM]]-Z118)</f>
        <v>-1</v>
      </c>
      <c r="U117" s="15">
        <f ca="1">IFERROR(IF(DatosHoy[[#This Row],[G ajus PM]]=DatosHoy[[#This Row],[G+V ajus PM]],-1,DatosHoy[[#This Row],[G ajus PM]]-DatosHoy[[#This Row],[G+V ajus PM]]),"")</f>
        <v>-261545.94113024231</v>
      </c>
      <c r="V117" s="15">
        <f ca="1">IFERROR(IF(DatosHoy[[#This Row],[G+V ajus PM]]=DatosHoy[[#This Row],[CT ajus PM]],-1,DatosHoy[[#This Row],[G+V ajus PM]]-DatosHoy[[#This Row],[CT ajus PM]]),"")</f>
        <v>-4210.4687711847946</v>
      </c>
      <c r="W117" s="15">
        <v>436</v>
      </c>
      <c r="X117" s="15">
        <f ca="1">IFERROR(IFERROR(VLOOKUP($W117,Regresiones!$T$6:$V$10,2,1)*$W117+VLOOKUP($W117,Regresiones!$T$6:$V$10,3,1),VLOOKUP(MIN(DatosHoy[Puntos]),Regresiones!$T$6:$V$10,2,1)*$W117+VLOOKUP(MIN(DatosHoy[Puntos]),Regresiones!$T$6:$V$10,3,1)),"NO")</f>
        <v>5522949.2161972504</v>
      </c>
      <c r="Y117" s="15">
        <f ca="1">IFERROR(IFERROR(VLOOKUP($W117,Regresiones!$W$6:$Y$10,2,1)*$W117+VLOOKUP($W117,Regresiones!$W$6:$Y$10,3,1),VLOOKUP(MIN(DatosHoy[Puntos]),Regresiones!$W$6:$Y$10,2,1)*$W117+VLOOKUP(MIN(DatosHoy[Puntos]),Regresiones!$W$6:$Y$10,3,1)),"NO")</f>
        <v>5784495.1573274927</v>
      </c>
      <c r="Z117" s="15">
        <f ca="1">IFERROR(IFERROR(VLOOKUP($W117,Regresiones!$Z$6:$AB$10,2,1)*$W117+VLOOKUP($W117,Regresiones!$Z$6:$AB$10,3,1),VLOOKUP(MIN(DatosHoy[Puntos]),Regresiones!$Z$6:$AB$10,2,1)*$W117+VLOOKUP(MIN(DatosHoy[Puntos]),Regresiones!$Z$6:$AB$10,3,1)),"NO")</f>
        <v>5788705.6260986775</v>
      </c>
      <c r="AA117" s="3">
        <f t="shared" ca="1" si="19"/>
        <v>1.0405389596671335</v>
      </c>
    </row>
    <row r="118" spans="2:27" x14ac:dyDescent="0.2">
      <c r="B118" s="1">
        <v>113</v>
      </c>
      <c r="C118" s="15">
        <v>6189284.2000000002</v>
      </c>
      <c r="D118" s="15">
        <v>10307629.200000001</v>
      </c>
      <c r="E118" s="15">
        <v>10307629.200000001</v>
      </c>
      <c r="F118" s="1" t="s">
        <v>138</v>
      </c>
      <c r="G118" s="1">
        <v>452</v>
      </c>
      <c r="H118" s="1" t="str">
        <f t="shared" si="20"/>
        <v>$G$118</v>
      </c>
      <c r="I118" s="1" t="str">
        <f t="shared" si="21"/>
        <v>$C$118</v>
      </c>
      <c r="J118" s="1" t="str">
        <f t="shared" si="22"/>
        <v>$D$118</v>
      </c>
      <c r="K118" s="1" t="str">
        <f t="shared" si="23"/>
        <v>$E$118</v>
      </c>
      <c r="L118" s="15">
        <f ca="1">IFERROR(VLOOKUP($G118,Regresiones!$E$6:$I$10,4,1)*$G118+VLOOKUP($G118,Regresiones!$E$6:$I$10,5,1),"")</f>
        <v>6267477.4279081887</v>
      </c>
      <c r="M118" s="15">
        <f ca="1">IFERROR(VLOOKUP($G118,Regresiones!$J$6:$N$10,4,1)*$G118+VLOOKUP($G118,Regresiones!$J$6:$N$10,5,1),"")</f>
        <v>6504460.950683387</v>
      </c>
      <c r="N118" s="15">
        <f ca="1">IFERROR(VLOOKUP($G118,Regresiones!$O$6:$S$10,4,1)*$G118+VLOOKUP($G118,Regresiones!$O$6:$S$10,5,1),"")</f>
        <v>6504460.950683387</v>
      </c>
      <c r="O118" s="15">
        <f ca="1">IFERROR(VLOOKUP($G118,Regresiones!$T$6:$V$10,2,1)*$G118+VLOOKUP($G118,Regresiones!$T$6:$V$10,3,1),"")</f>
        <v>5813786.2084474387</v>
      </c>
      <c r="P118" s="15">
        <f ca="1">IFERROR(VLOOKUP($G118,Regresiones!$W$6:$Y$10,2,1)*$G118+VLOOKUP($G118,Regresiones!$W$6:$Y$10,3,1),"")</f>
        <v>6049351.2390027912</v>
      </c>
      <c r="Q118" s="15">
        <f ca="1">IFERROR(VLOOKUP($G118,Regresiones!$Z$6:$AB$10,2,1)*$G118+VLOOKUP($G118,Regresiones!$Z$6:$AB$10,3,1),"")</f>
        <v>6055666.942159568</v>
      </c>
      <c r="R118" s="15">
        <f>IF($W118=$W119,-1,DatosHoy[[#This Row],[G ajus PM]]-X119)</f>
        <v>-1</v>
      </c>
      <c r="S118" s="15">
        <f>IF($W118=$W119,-1,DatosHoy[[#This Row],[G+V ajus PM]]-Y119)</f>
        <v>-1</v>
      </c>
      <c r="T118" s="15">
        <f>IF($W118=$W119,-1,DatosHoy[[#This Row],[CT ajus PM]]-Z119)</f>
        <v>-1</v>
      </c>
      <c r="U118" s="15">
        <f ca="1">IFERROR(IF(DatosHoy[[#This Row],[G ajus PM]]=DatosHoy[[#This Row],[G+V ajus PM]],-1,DatosHoy[[#This Row],[G ajus PM]]-DatosHoy[[#This Row],[G+V ajus PM]]),"")</f>
        <v>-261545.94113024231</v>
      </c>
      <c r="V118" s="15">
        <f ca="1">IFERROR(IF(DatosHoy[[#This Row],[G+V ajus PM]]=DatosHoy[[#This Row],[CT ajus PM]],-1,DatosHoy[[#This Row],[G+V ajus PM]]-DatosHoy[[#This Row],[CT ajus PM]]),"")</f>
        <v>-4210.4687711847946</v>
      </c>
      <c r="W118" s="15">
        <v>436</v>
      </c>
      <c r="X118" s="15">
        <f ca="1">IFERROR(IFERROR(VLOOKUP($W118,Regresiones!$T$6:$V$10,2,1)*$W118+VLOOKUP($W118,Regresiones!$T$6:$V$10,3,1),VLOOKUP(MIN(DatosHoy[Puntos]),Regresiones!$T$6:$V$10,2,1)*$W118+VLOOKUP(MIN(DatosHoy[Puntos]),Regresiones!$T$6:$V$10,3,1)),"NO")</f>
        <v>5522949.2161972504</v>
      </c>
      <c r="Y118" s="15">
        <f ca="1">IFERROR(IFERROR(VLOOKUP($W118,Regresiones!$W$6:$Y$10,2,1)*$W118+VLOOKUP($W118,Regresiones!$W$6:$Y$10,3,1),VLOOKUP(MIN(DatosHoy[Puntos]),Regresiones!$W$6:$Y$10,2,1)*$W118+VLOOKUP(MIN(DatosHoy[Puntos]),Regresiones!$W$6:$Y$10,3,1)),"NO")</f>
        <v>5784495.1573274927</v>
      </c>
      <c r="Z118" s="15">
        <f ca="1">IFERROR(IFERROR(VLOOKUP($W118,Regresiones!$Z$6:$AB$10,2,1)*$W118+VLOOKUP($W118,Regresiones!$Z$6:$AB$10,3,1),VLOOKUP(MIN(DatosHoy[Puntos]),Regresiones!$Z$6:$AB$10,2,1)*$W118+VLOOKUP(MIN(DatosHoy[Puntos]),Regresiones!$Z$6:$AB$10,3,1)),"NO")</f>
        <v>5788705.6260986775</v>
      </c>
      <c r="AA118" s="3">
        <f t="shared" ca="1" si="19"/>
        <v>1.7806449085141804</v>
      </c>
    </row>
    <row r="119" spans="2:27" x14ac:dyDescent="0.2">
      <c r="B119" s="1">
        <v>114</v>
      </c>
      <c r="C119" s="15">
        <v>6354018.0000000009</v>
      </c>
      <c r="D119" s="15">
        <v>6354018.0000000009</v>
      </c>
      <c r="E119" s="15">
        <v>6354018.0000000009</v>
      </c>
      <c r="F119" s="1" t="s">
        <v>139</v>
      </c>
      <c r="G119" s="1">
        <v>452</v>
      </c>
      <c r="H119" s="1" t="str">
        <f t="shared" si="20"/>
        <v>$G$119</v>
      </c>
      <c r="I119" s="1" t="str">
        <f t="shared" si="21"/>
        <v>$C$119</v>
      </c>
      <c r="J119" s="1" t="str">
        <f t="shared" si="22"/>
        <v>$D$119</v>
      </c>
      <c r="K119" s="1" t="str">
        <f t="shared" si="23"/>
        <v>$E$119</v>
      </c>
      <c r="L119" s="15">
        <f ca="1">IFERROR(VLOOKUP($G119,Regresiones!$E$6:$I$10,4,1)*$G119+VLOOKUP($G119,Regresiones!$E$6:$I$10,5,1),"")</f>
        <v>6267477.4279081887</v>
      </c>
      <c r="M119" s="15">
        <f ca="1">IFERROR(VLOOKUP($G119,Regresiones!$J$6:$N$10,4,1)*$G119+VLOOKUP($G119,Regresiones!$J$6:$N$10,5,1),"")</f>
        <v>6504460.950683387</v>
      </c>
      <c r="N119" s="15">
        <f ca="1">IFERROR(VLOOKUP($G119,Regresiones!$O$6:$S$10,4,1)*$G119+VLOOKUP($G119,Regresiones!$O$6:$S$10,5,1),"")</f>
        <v>6504460.950683387</v>
      </c>
      <c r="O119" s="15">
        <f ca="1">IFERROR(VLOOKUP($G119,Regresiones!$T$6:$V$10,2,1)*$G119+VLOOKUP($G119,Regresiones!$T$6:$V$10,3,1),"")</f>
        <v>5813786.2084474387</v>
      </c>
      <c r="P119" s="15">
        <f ca="1">IFERROR(VLOOKUP($G119,Regresiones!$W$6:$Y$10,2,1)*$G119+VLOOKUP($G119,Regresiones!$W$6:$Y$10,3,1),"")</f>
        <v>6049351.2390027912</v>
      </c>
      <c r="Q119" s="15">
        <f ca="1">IFERROR(VLOOKUP($G119,Regresiones!$Z$6:$AB$10,2,1)*$G119+VLOOKUP($G119,Regresiones!$Z$6:$AB$10,3,1),"")</f>
        <v>6055666.942159568</v>
      </c>
      <c r="R119" s="15">
        <f>IF($W119=$W120,-1,DatosHoy[[#This Row],[G ajus PM]]-X120)</f>
        <v>-1</v>
      </c>
      <c r="S119" s="15">
        <f>IF($W119=$W120,-1,DatosHoy[[#This Row],[G+V ajus PM]]-Y120)</f>
        <v>-1</v>
      </c>
      <c r="T119" s="15">
        <f>IF($W119=$W120,-1,DatosHoy[[#This Row],[CT ajus PM]]-Z120)</f>
        <v>-1</v>
      </c>
      <c r="U119" s="15">
        <f ca="1">IFERROR(IF(DatosHoy[[#This Row],[G ajus PM]]=DatosHoy[[#This Row],[G+V ajus PM]],-1,DatosHoy[[#This Row],[G ajus PM]]-DatosHoy[[#This Row],[G+V ajus PM]]),"")</f>
        <v>-261545.94113024231</v>
      </c>
      <c r="V119" s="15">
        <f ca="1">IFERROR(IF(DatosHoy[[#This Row],[G+V ajus PM]]=DatosHoy[[#This Row],[CT ajus PM]],-1,DatosHoy[[#This Row],[G+V ajus PM]]-DatosHoy[[#This Row],[CT ajus PM]]),"")</f>
        <v>-4210.4687711847946</v>
      </c>
      <c r="W119" s="15">
        <v>436</v>
      </c>
      <c r="X119" s="15">
        <f ca="1">IFERROR(IFERROR(VLOOKUP($W119,Regresiones!$T$6:$V$10,2,1)*$W119+VLOOKUP($W119,Regresiones!$T$6:$V$10,3,1),VLOOKUP(MIN(DatosHoy[Puntos]),Regresiones!$T$6:$V$10,2,1)*$W119+VLOOKUP(MIN(DatosHoy[Puntos]),Regresiones!$T$6:$V$10,3,1)),"NO")</f>
        <v>5522949.2161972504</v>
      </c>
      <c r="Y119" s="15">
        <f ca="1">IFERROR(IFERROR(VLOOKUP($W119,Regresiones!$W$6:$Y$10,2,1)*$W119+VLOOKUP($W119,Regresiones!$W$6:$Y$10,3,1),VLOOKUP(MIN(DatosHoy[Puntos]),Regresiones!$W$6:$Y$10,2,1)*$W119+VLOOKUP(MIN(DatosHoy[Puntos]),Regresiones!$W$6:$Y$10,3,1)),"NO")</f>
        <v>5784495.1573274927</v>
      </c>
      <c r="Z119" s="15">
        <f ca="1">IFERROR(IFERROR(VLOOKUP($W119,Regresiones!$Z$6:$AB$10,2,1)*$W119+VLOOKUP($W119,Regresiones!$Z$6:$AB$10,3,1),VLOOKUP(MIN(DatosHoy[Puntos]),Regresiones!$Z$6:$AB$10,2,1)*$W119+VLOOKUP(MIN(DatosHoy[Puntos]),Regresiones!$Z$6:$AB$10,3,1)),"NO")</f>
        <v>5788705.6260986775</v>
      </c>
      <c r="AA119" s="3">
        <f t="shared" ca="1" si="19"/>
        <v>1.0976578203169605</v>
      </c>
    </row>
    <row r="120" spans="2:27" x14ac:dyDescent="0.2">
      <c r="B120" s="1">
        <v>115</v>
      </c>
      <c r="C120" s="15">
        <v>5656252.6900000004</v>
      </c>
      <c r="D120" s="15">
        <v>5656252.6900000004</v>
      </c>
      <c r="E120" s="15">
        <v>5656252.6900000004</v>
      </c>
      <c r="F120" s="1" t="s">
        <v>140</v>
      </c>
      <c r="G120" s="1">
        <v>457</v>
      </c>
      <c r="H120" s="1" t="str">
        <f t="shared" si="20"/>
        <v>$G$120</v>
      </c>
      <c r="I120" s="1" t="str">
        <f t="shared" si="21"/>
        <v>$C$120</v>
      </c>
      <c r="J120" s="1" t="str">
        <f t="shared" si="22"/>
        <v>$D$120</v>
      </c>
      <c r="K120" s="1" t="str">
        <f t="shared" si="23"/>
        <v>$E$120</v>
      </c>
      <c r="L120" s="15">
        <f ca="1">IFERROR(VLOOKUP($G120,Regresiones!$E$6:$I$10,4,1)*$G120+VLOOKUP($G120,Regresiones!$E$6:$I$10,5,1),"")</f>
        <v>6405623.4900135333</v>
      </c>
      <c r="M120" s="15">
        <f ca="1">IFERROR(VLOOKUP($G120,Regresiones!$J$6:$N$10,4,1)*$G120+VLOOKUP($G120,Regresiones!$J$6:$N$10,5,1),"")</f>
        <v>6634635.7378403116</v>
      </c>
      <c r="N120" s="15">
        <f ca="1">IFERROR(VLOOKUP($G120,Regresiones!$O$6:$S$10,4,1)*$G120+VLOOKUP($G120,Regresiones!$O$6:$S$10,5,1),"")</f>
        <v>6634635.7378403116</v>
      </c>
      <c r="O120" s="15">
        <f ca="1">IFERROR(VLOOKUP($G120,Regresiones!$T$6:$V$10,2,1)*$G120+VLOOKUP($G120,Regresiones!$T$6:$V$10,3,1),"")</f>
        <v>5904672.7685256219</v>
      </c>
      <c r="P120" s="15">
        <f ca="1">IFERROR(VLOOKUP($G120,Regresiones!$W$6:$Y$10,2,1)*$G120+VLOOKUP($G120,Regresiones!$W$6:$Y$10,3,1),"")</f>
        <v>6132118.7645263216</v>
      </c>
      <c r="Q120" s="15">
        <f ca="1">IFERROR(VLOOKUP($G120,Regresiones!$Z$6:$AB$10,2,1)*$G120+VLOOKUP($G120,Regresiones!$Z$6:$AB$10,3,1),"")</f>
        <v>6139092.3534285957</v>
      </c>
      <c r="R120" s="15">
        <f ca="1">IF($W120=$W121,-1,DatosHoy[[#This Row],[G ajus PM]]-X121)</f>
        <v>-1199702.5930320248</v>
      </c>
      <c r="S120" s="15">
        <f ca="1">IF($W120=$W121,-1,DatosHoy[[#This Row],[G+V ajus PM]]-Y121)</f>
        <v>-1092531.3369106054</v>
      </c>
      <c r="T120" s="15">
        <f ca="1">IF($W120=$W121,-1,DatosHoy[[#This Row],[CT ajus PM]]-Z121)</f>
        <v>-1101215.4287511716</v>
      </c>
      <c r="U120" s="15">
        <f ca="1">IFERROR(IF(DatosHoy[[#This Row],[G ajus PM]]=DatosHoy[[#This Row],[G+V ajus PM]],-1,DatosHoy[[#This Row],[G ajus PM]]-DatosHoy[[#This Row],[G+V ajus PM]]),"")</f>
        <v>-261545.94113024231</v>
      </c>
      <c r="V120" s="15">
        <f ca="1">IFERROR(IF(DatosHoy[[#This Row],[G+V ajus PM]]=DatosHoy[[#This Row],[CT ajus PM]],-1,DatosHoy[[#This Row],[G+V ajus PM]]-DatosHoy[[#This Row],[CT ajus PM]]),"")</f>
        <v>-4210.4687711847946</v>
      </c>
      <c r="W120" s="15">
        <v>436</v>
      </c>
      <c r="X120" s="15">
        <f ca="1">IFERROR(IFERROR(VLOOKUP($W120,Regresiones!$T$6:$V$10,2,1)*$W120+VLOOKUP($W120,Regresiones!$T$6:$V$10,3,1),VLOOKUP(MIN(DatosHoy[Puntos]),Regresiones!$T$6:$V$10,2,1)*$W120+VLOOKUP(MIN(DatosHoy[Puntos]),Regresiones!$T$6:$V$10,3,1)),"NO")</f>
        <v>5522949.2161972504</v>
      </c>
      <c r="Y120" s="15">
        <f ca="1">IFERROR(IFERROR(VLOOKUP($W120,Regresiones!$W$6:$Y$10,2,1)*$W120+VLOOKUP($W120,Regresiones!$W$6:$Y$10,3,1),VLOOKUP(MIN(DatosHoy[Puntos]),Regresiones!$W$6:$Y$10,2,1)*$W120+VLOOKUP(MIN(DatosHoy[Puntos]),Regresiones!$W$6:$Y$10,3,1)),"NO")</f>
        <v>5784495.1573274927</v>
      </c>
      <c r="Z120" s="15">
        <f ca="1">IFERROR(IFERROR(VLOOKUP($W120,Regresiones!$Z$6:$AB$10,2,1)*$W120+VLOOKUP($W120,Regresiones!$Z$6:$AB$10,3,1),VLOOKUP(MIN(DatosHoy[Puntos]),Regresiones!$Z$6:$AB$10,2,1)*$W120+VLOOKUP(MIN(DatosHoy[Puntos]),Regresiones!$Z$6:$AB$10,3,1)),"NO")</f>
        <v>5788705.6260986775</v>
      </c>
      <c r="AA120" s="3">
        <f t="shared" ca="1" si="19"/>
        <v>0.97711873004882022</v>
      </c>
    </row>
    <row r="121" spans="2:27" x14ac:dyDescent="0.2">
      <c r="B121" s="1">
        <v>116</v>
      </c>
      <c r="C121" s="15">
        <v>6808212.620000001</v>
      </c>
      <c r="D121" s="15">
        <v>6808212.620000001</v>
      </c>
      <c r="E121" s="15">
        <v>6808212.620000001</v>
      </c>
      <c r="F121" s="1" t="s">
        <v>141</v>
      </c>
      <c r="G121" s="1">
        <v>468</v>
      </c>
      <c r="H121" s="1" t="str">
        <f t="shared" si="20"/>
        <v>$G$121</v>
      </c>
      <c r="I121" s="1" t="str">
        <f t="shared" si="21"/>
        <v>$C$121</v>
      </c>
      <c r="J121" s="1" t="str">
        <f t="shared" si="22"/>
        <v>$D$121</v>
      </c>
      <c r="K121" s="1" t="str">
        <f t="shared" si="23"/>
        <v>$E$121</v>
      </c>
      <c r="L121" s="15">
        <f ca="1">IFERROR(VLOOKUP($G121,Regresiones!$E$6:$I$10,4,1)*$G121+VLOOKUP($G121,Regresiones!$E$6:$I$10,5,1),"")</f>
        <v>6709544.8266452933</v>
      </c>
      <c r="M121" s="15">
        <f ca="1">IFERROR(VLOOKUP($G121,Regresiones!$J$6:$N$10,4,1)*$G121+VLOOKUP($G121,Regresiones!$J$6:$N$10,5,1),"")</f>
        <v>6921020.2695855498</v>
      </c>
      <c r="N121" s="15">
        <f ca="1">IFERROR(VLOOKUP($G121,Regresiones!$O$6:$S$10,4,1)*$G121+VLOOKUP($G121,Regresiones!$O$6:$S$10,5,1),"")</f>
        <v>6921020.2695855498</v>
      </c>
      <c r="O121" s="15">
        <f ca="1">IFERROR(VLOOKUP($G121,Regresiones!$T$6:$V$10,2,1)*$G121+VLOOKUP($G121,Regresiones!$T$6:$V$10,3,1),"")</f>
        <v>6104623.2006976251</v>
      </c>
      <c r="P121" s="15">
        <f ca="1">IFERROR(VLOOKUP($G121,Regresiones!$W$6:$Y$10,2,1)*$G121+VLOOKUP($G121,Regresiones!$W$6:$Y$10,3,1),"")</f>
        <v>6314207.3206780897</v>
      </c>
      <c r="Q121" s="15">
        <f ca="1">IFERROR(VLOOKUP($G121,Regresiones!$Z$6:$AB$10,2,1)*$G121+VLOOKUP($G121,Regresiones!$Z$6:$AB$10,3,1),"")</f>
        <v>6322628.2582204575</v>
      </c>
      <c r="R121" s="15">
        <f>IF($W121=$W122,-1,DatosHoy[[#This Row],[G ajus PM]]-X122)</f>
        <v>-1</v>
      </c>
      <c r="S121" s="15">
        <f>IF($W121=$W122,-1,DatosHoy[[#This Row],[G+V ajus PM]]-Y122)</f>
        <v>-1</v>
      </c>
      <c r="T121" s="15">
        <f>IF($W121=$W122,-1,DatosHoy[[#This Row],[CT ajus PM]]-Z122)</f>
        <v>-1</v>
      </c>
      <c r="U121" s="15">
        <f ca="1">IFERROR(IF(DatosHoy[[#This Row],[G ajus PM]]=DatosHoy[[#This Row],[G+V ajus PM]],-1,DatosHoy[[#This Row],[G ajus PM]]-DatosHoy[[#This Row],[G+V ajus PM]]),"")</f>
        <v>-154374.68500882294</v>
      </c>
      <c r="V121" s="15">
        <f ca="1">IFERROR(IF(DatosHoy[[#This Row],[G+V ajus PM]]=DatosHoy[[#This Row],[CT ajus PM]],-1,DatosHoy[[#This Row],[G+V ajus PM]]-DatosHoy[[#This Row],[CT ajus PM]]),"")</f>
        <v>-12894.560611750931</v>
      </c>
      <c r="W121" s="15">
        <v>502</v>
      </c>
      <c r="X121" s="15">
        <f ca="1">IFERROR(IFERROR(VLOOKUP($W121,Regresiones!$T$6:$V$10,2,1)*$W121+VLOOKUP($W121,Regresiones!$T$6:$V$10,3,1),VLOOKUP(MIN(DatosHoy[Puntos]),Regresiones!$T$6:$V$10,2,1)*$W121+VLOOKUP(MIN(DatosHoy[Puntos]),Regresiones!$T$6:$V$10,3,1)),"NO")</f>
        <v>6722651.8092292752</v>
      </c>
      <c r="Y121" s="15">
        <f ca="1">IFERROR(IFERROR(VLOOKUP($W121,Regresiones!$W$6:$Y$10,2,1)*$W121+VLOOKUP($W121,Regresiones!$W$6:$Y$10,3,1),VLOOKUP(MIN(DatosHoy[Puntos]),Regresiones!$W$6:$Y$10,2,1)*$W121+VLOOKUP(MIN(DatosHoy[Puntos]),Regresiones!$W$6:$Y$10,3,1)),"NO")</f>
        <v>6877026.4942380982</v>
      </c>
      <c r="Z121" s="15">
        <f ca="1">IFERROR(IFERROR(VLOOKUP($W121,Regresiones!$Z$6:$AB$10,2,1)*$W121+VLOOKUP($W121,Regresiones!$Z$6:$AB$10,3,1),VLOOKUP(MIN(DatosHoy[Puntos]),Regresiones!$Z$6:$AB$10,2,1)*$W121+VLOOKUP(MIN(DatosHoy[Puntos]),Regresiones!$Z$6:$AB$10,3,1)),"NO")</f>
        <v>6889921.0548498491</v>
      </c>
      <c r="AA121" s="3">
        <f t="shared" ca="1" si="19"/>
        <v>0.98814087502608861</v>
      </c>
    </row>
    <row r="122" spans="2:27" x14ac:dyDescent="0.2">
      <c r="B122" s="1">
        <v>117</v>
      </c>
      <c r="C122" s="15">
        <v>6023373.7300000004</v>
      </c>
      <c r="D122" s="15">
        <v>6023373.7300000004</v>
      </c>
      <c r="E122" s="15">
        <v>6023373.7300000004</v>
      </c>
      <c r="F122" s="1" t="s">
        <v>142</v>
      </c>
      <c r="G122" s="1">
        <v>474</v>
      </c>
      <c r="H122" s="1" t="str">
        <f t="shared" si="20"/>
        <v>$G$122</v>
      </c>
      <c r="I122" s="1" t="str">
        <f t="shared" si="21"/>
        <v>$C$122</v>
      </c>
      <c r="J122" s="1" t="str">
        <f t="shared" si="22"/>
        <v>$D$122</v>
      </c>
      <c r="K122" s="1" t="str">
        <f t="shared" si="23"/>
        <v>$E$122</v>
      </c>
      <c r="L122" s="15">
        <f ca="1">IFERROR(VLOOKUP($G122,Regresiones!$E$6:$I$10,4,1)*$G122+VLOOKUP($G122,Regresiones!$E$6:$I$10,5,1),"")</f>
        <v>6875320.1011717068</v>
      </c>
      <c r="M122" s="15">
        <f ca="1">IFERROR(VLOOKUP($G122,Regresiones!$J$6:$N$10,4,1)*$G122+VLOOKUP($G122,Regresiones!$J$6:$N$10,5,1),"")</f>
        <v>7077230.0141738616</v>
      </c>
      <c r="N122" s="15">
        <f ca="1">IFERROR(VLOOKUP($G122,Regresiones!$O$6:$S$10,4,1)*$G122+VLOOKUP($G122,Regresiones!$O$6:$S$10,5,1),"")</f>
        <v>7077230.0141738616</v>
      </c>
      <c r="O122" s="15">
        <f ca="1">IFERROR(VLOOKUP($G122,Regresiones!$T$6:$V$10,2,1)*$G122+VLOOKUP($G122,Regresiones!$T$6:$V$10,3,1),"")</f>
        <v>6213687.072791446</v>
      </c>
      <c r="P122" s="15">
        <f ca="1">IFERROR(VLOOKUP($G122,Regresiones!$W$6:$Y$10,2,1)*$G122+VLOOKUP($G122,Regresiones!$W$6:$Y$10,3,1),"")</f>
        <v>6413528.3513063267</v>
      </c>
      <c r="Q122" s="15">
        <f ca="1">IFERROR(VLOOKUP($G122,Regresiones!$Z$6:$AB$10,2,1)*$G122+VLOOKUP($G122,Regresiones!$Z$6:$AB$10,3,1),"")</f>
        <v>6422738.7517432915</v>
      </c>
      <c r="R122" s="15">
        <f>IF($W122=$W123,-1,DatosHoy[[#This Row],[G ajus PM]]-X123)</f>
        <v>-1</v>
      </c>
      <c r="S122" s="15">
        <f>IF($W122=$W123,-1,DatosHoy[[#This Row],[G+V ajus PM]]-Y123)</f>
        <v>-1</v>
      </c>
      <c r="T122" s="15">
        <f>IF($W122=$W123,-1,DatosHoy[[#This Row],[CT ajus PM]]-Z123)</f>
        <v>-1</v>
      </c>
      <c r="U122" s="15">
        <f ca="1">IFERROR(IF(DatosHoy[[#This Row],[G ajus PM]]=DatosHoy[[#This Row],[G+V ajus PM]],-1,DatosHoy[[#This Row],[G ajus PM]]-DatosHoy[[#This Row],[G+V ajus PM]]),"")</f>
        <v>-154374.68500882294</v>
      </c>
      <c r="V122" s="15">
        <f ca="1">IFERROR(IF(DatosHoy[[#This Row],[G+V ajus PM]]=DatosHoy[[#This Row],[CT ajus PM]],-1,DatosHoy[[#This Row],[G+V ajus PM]]-DatosHoy[[#This Row],[CT ajus PM]]),"")</f>
        <v>-12894.560611750931</v>
      </c>
      <c r="W122" s="15">
        <v>502</v>
      </c>
      <c r="X122" s="15">
        <f ca="1">IFERROR(IFERROR(VLOOKUP($W122,Regresiones!$T$6:$V$10,2,1)*$W122+VLOOKUP($W122,Regresiones!$T$6:$V$10,3,1),VLOOKUP(MIN(DatosHoy[Puntos]),Regresiones!$T$6:$V$10,2,1)*$W122+VLOOKUP(MIN(DatosHoy[Puntos]),Regresiones!$T$6:$V$10,3,1)),"NO")</f>
        <v>6722651.8092292752</v>
      </c>
      <c r="Y122" s="15">
        <f ca="1">IFERROR(IFERROR(VLOOKUP($W122,Regresiones!$W$6:$Y$10,2,1)*$W122+VLOOKUP($W122,Regresiones!$W$6:$Y$10,3,1),VLOOKUP(MIN(DatosHoy[Puntos]),Regresiones!$W$6:$Y$10,2,1)*$W122+VLOOKUP(MIN(DatosHoy[Puntos]),Regresiones!$W$6:$Y$10,3,1)),"NO")</f>
        <v>6877026.4942380982</v>
      </c>
      <c r="Z122" s="15">
        <f ca="1">IFERROR(IFERROR(VLOOKUP($W122,Regresiones!$Z$6:$AB$10,2,1)*$W122+VLOOKUP($W122,Regresiones!$Z$6:$AB$10,3,1),VLOOKUP(MIN(DatosHoy[Puntos]),Regresiones!$Z$6:$AB$10,2,1)*$W122+VLOOKUP(MIN(DatosHoy[Puntos]),Regresiones!$Z$6:$AB$10,3,1)),"NO")</f>
        <v>6889921.0548498491</v>
      </c>
      <c r="AA122" s="3">
        <f t="shared" ca="1" si="19"/>
        <v>0.874229716429061</v>
      </c>
    </row>
    <row r="123" spans="2:27" x14ac:dyDescent="0.2">
      <c r="B123" s="1">
        <v>118</v>
      </c>
      <c r="C123" s="15">
        <v>7441261.080000001</v>
      </c>
      <c r="D123" s="15">
        <v>7441261.080000001</v>
      </c>
      <c r="E123" s="15">
        <v>7441261.080000001</v>
      </c>
      <c r="F123" s="1" t="s">
        <v>143</v>
      </c>
      <c r="G123" s="1">
        <v>478</v>
      </c>
      <c r="H123" s="1" t="str">
        <f t="shared" si="20"/>
        <v>$G$123</v>
      </c>
      <c r="I123" s="1" t="str">
        <f t="shared" si="21"/>
        <v>$C$123</v>
      </c>
      <c r="J123" s="1" t="str">
        <f t="shared" si="22"/>
        <v>$D$123</v>
      </c>
      <c r="K123" s="1" t="str">
        <f t="shared" si="23"/>
        <v>$E$123</v>
      </c>
      <c r="L123" s="15">
        <f ca="1">IFERROR(VLOOKUP($G123,Regresiones!$E$6:$I$10,4,1)*$G123+VLOOKUP($G123,Regresiones!$E$6:$I$10,5,1),"")</f>
        <v>6985836.9508559844</v>
      </c>
      <c r="M123" s="15">
        <f ca="1">IFERROR(VLOOKUP($G123,Regresiones!$J$6:$N$10,4,1)*$G123+VLOOKUP($G123,Regresiones!$J$6:$N$10,5,1),"")</f>
        <v>7181369.8438994009</v>
      </c>
      <c r="N123" s="15">
        <f ca="1">IFERROR(VLOOKUP($G123,Regresiones!$O$6:$S$10,4,1)*$G123+VLOOKUP($G123,Regresiones!$O$6:$S$10,5,1),"")</f>
        <v>7181369.8438994009</v>
      </c>
      <c r="O123" s="15">
        <f ca="1">IFERROR(VLOOKUP($G123,Regresiones!$T$6:$V$10,2,1)*$G123+VLOOKUP($G123,Regresiones!$T$6:$V$10,3,1),"")</f>
        <v>6286396.3208539933</v>
      </c>
      <c r="P123" s="15">
        <f ca="1">IFERROR(VLOOKUP($G123,Regresiones!$W$6:$Y$10,2,1)*$G123+VLOOKUP($G123,Regresiones!$W$6:$Y$10,3,1),"")</f>
        <v>6479742.3717251513</v>
      </c>
      <c r="Q123" s="15">
        <f ca="1">IFERROR(VLOOKUP($G123,Regresiones!$Z$6:$AB$10,2,1)*$G123+VLOOKUP($G123,Regresiones!$Z$6:$AB$10,3,1),"")</f>
        <v>6489479.0807585139</v>
      </c>
      <c r="R123" s="15">
        <f>IF($W123=$W124,-1,DatosHoy[[#This Row],[G ajus PM]]-X124)</f>
        <v>-1</v>
      </c>
      <c r="S123" s="15">
        <f>IF($W123=$W124,-1,DatosHoy[[#This Row],[G+V ajus PM]]-Y124)</f>
        <v>-1</v>
      </c>
      <c r="T123" s="15">
        <f>IF($W123=$W124,-1,DatosHoy[[#This Row],[CT ajus PM]]-Z124)</f>
        <v>-1</v>
      </c>
      <c r="U123" s="15">
        <f ca="1">IFERROR(IF(DatosHoy[[#This Row],[G ajus PM]]=DatosHoy[[#This Row],[G+V ajus PM]],-1,DatosHoy[[#This Row],[G ajus PM]]-DatosHoy[[#This Row],[G+V ajus PM]]),"")</f>
        <v>-154374.68500882294</v>
      </c>
      <c r="V123" s="15">
        <f ca="1">IFERROR(IF(DatosHoy[[#This Row],[G+V ajus PM]]=DatosHoy[[#This Row],[CT ajus PM]],-1,DatosHoy[[#This Row],[G+V ajus PM]]-DatosHoy[[#This Row],[CT ajus PM]]),"")</f>
        <v>-12894.560611750931</v>
      </c>
      <c r="W123" s="15">
        <v>502</v>
      </c>
      <c r="X123" s="15">
        <f ca="1">IFERROR(IFERROR(VLOOKUP($W123,Regresiones!$T$6:$V$10,2,1)*$W123+VLOOKUP($W123,Regresiones!$T$6:$V$10,3,1),VLOOKUP(MIN(DatosHoy[Puntos]),Regresiones!$T$6:$V$10,2,1)*$W123+VLOOKUP(MIN(DatosHoy[Puntos]),Regresiones!$T$6:$V$10,3,1)),"NO")</f>
        <v>6722651.8092292752</v>
      </c>
      <c r="Y123" s="15">
        <f ca="1">IFERROR(IFERROR(VLOOKUP($W123,Regresiones!$W$6:$Y$10,2,1)*$W123+VLOOKUP($W123,Regresiones!$W$6:$Y$10,3,1),VLOOKUP(MIN(DatosHoy[Puntos]),Regresiones!$W$6:$Y$10,2,1)*$W123+VLOOKUP(MIN(DatosHoy[Puntos]),Regresiones!$W$6:$Y$10,3,1)),"NO")</f>
        <v>6877026.4942380982</v>
      </c>
      <c r="Z123" s="15">
        <f ca="1">IFERROR(IFERROR(VLOOKUP($W123,Regresiones!$Z$6:$AB$10,2,1)*$W123+VLOOKUP($W123,Regresiones!$Z$6:$AB$10,3,1),VLOOKUP(MIN(DatosHoy[Puntos]),Regresiones!$Z$6:$AB$10,2,1)*$W123+VLOOKUP(MIN(DatosHoy[Puntos]),Regresiones!$Z$6:$AB$10,3,1)),"NO")</f>
        <v>6889921.0548498491</v>
      </c>
      <c r="AA123" s="3">
        <f t="shared" ca="1" si="19"/>
        <v>1.080021239831487</v>
      </c>
    </row>
    <row r="124" spans="2:27" x14ac:dyDescent="0.2">
      <c r="B124" s="1">
        <v>119</v>
      </c>
      <c r="C124" s="15">
        <v>9295693</v>
      </c>
      <c r="D124" s="15">
        <v>9295693</v>
      </c>
      <c r="E124" s="15">
        <v>9295693</v>
      </c>
      <c r="F124" s="1" t="s">
        <v>144</v>
      </c>
      <c r="G124" s="1">
        <v>527</v>
      </c>
      <c r="H124" s="1" t="str">
        <f t="shared" si="20"/>
        <v>$G$124</v>
      </c>
      <c r="I124" s="1" t="str">
        <f t="shared" si="21"/>
        <v>$C$124</v>
      </c>
      <c r="J124" s="1" t="str">
        <f t="shared" si="22"/>
        <v>$D$124</v>
      </c>
      <c r="K124" s="1" t="str">
        <f t="shared" si="23"/>
        <v>$E$124</v>
      </c>
      <c r="L124" s="15">
        <f ca="1">IFERROR(VLOOKUP($G124,Regresiones!$E$6:$I$10,4,1)*$G124+VLOOKUP($G124,Regresiones!$E$6:$I$10,5,1),"")</f>
        <v>8339668.3594883671</v>
      </c>
      <c r="M124" s="15">
        <f ca="1">IFERROR(VLOOKUP($G124,Regresiones!$J$6:$N$10,4,1)*$G124+VLOOKUP($G124,Regresiones!$J$6:$N$10,5,1),"")</f>
        <v>8457082.7580372766</v>
      </c>
      <c r="N124" s="15">
        <f ca="1">IFERROR(VLOOKUP($G124,Regresiones!$O$6:$S$10,4,1)*$G124+VLOOKUP($G124,Regresiones!$O$6:$S$10,5,1),"")</f>
        <v>8457082.7580372766</v>
      </c>
      <c r="O124" s="15">
        <f ca="1">IFERROR(VLOOKUP($G124,Regresiones!$T$6:$V$10,2,1)*$G124+VLOOKUP($G124,Regresiones!$T$6:$V$10,3,1),"")</f>
        <v>7177084.609620193</v>
      </c>
      <c r="P124" s="15">
        <f ca="1">IFERROR(VLOOKUP($G124,Regresiones!$W$6:$Y$10,2,1)*$G124+VLOOKUP($G124,Regresiones!$W$6:$Y$10,3,1),"")</f>
        <v>7290864.1218557525</v>
      </c>
      <c r="Q124" s="15">
        <f ca="1">IFERROR(VLOOKUP($G124,Regresiones!$Z$6:$AB$10,2,1)*$G124+VLOOKUP($G124,Regresiones!$Z$6:$AB$10,3,1),"")</f>
        <v>7307048.1111949906</v>
      </c>
      <c r="R124" s="15">
        <f ca="1">IF($W124=$W125,-1,DatosHoy[[#This Row],[G ajus PM]]-X125)</f>
        <v>-1363298.4011727534</v>
      </c>
      <c r="S124" s="15">
        <f ca="1">IF($W124=$W125,-1,DatosHoy[[#This Row],[G+V ajus PM]]-Y125)</f>
        <v>-1241512.8828529613</v>
      </c>
      <c r="T124" s="15">
        <f ca="1">IF($W124=$W125,-1,DatosHoy[[#This Row],[CT ajus PM]]-Z125)</f>
        <v>-1251381.1690354226</v>
      </c>
      <c r="U124" s="15">
        <f ca="1">IFERROR(IF(DatosHoy[[#This Row],[G ajus PM]]=DatosHoy[[#This Row],[G+V ajus PM]],-1,DatosHoy[[#This Row],[G ajus PM]]-DatosHoy[[#This Row],[G+V ajus PM]]),"")</f>
        <v>-154374.68500882294</v>
      </c>
      <c r="V124" s="15">
        <f ca="1">IFERROR(IF(DatosHoy[[#This Row],[G+V ajus PM]]=DatosHoy[[#This Row],[CT ajus PM]],-1,DatosHoy[[#This Row],[G+V ajus PM]]-DatosHoy[[#This Row],[CT ajus PM]]),"")</f>
        <v>-12894.560611750931</v>
      </c>
      <c r="W124" s="15">
        <v>502</v>
      </c>
      <c r="X124" s="15">
        <f ca="1">IFERROR(IFERROR(VLOOKUP($W124,Regresiones!$T$6:$V$10,2,1)*$W124+VLOOKUP($W124,Regresiones!$T$6:$V$10,3,1),VLOOKUP(MIN(DatosHoy[Puntos]),Regresiones!$T$6:$V$10,2,1)*$W124+VLOOKUP(MIN(DatosHoy[Puntos]),Regresiones!$T$6:$V$10,3,1)),"NO")</f>
        <v>6722651.8092292752</v>
      </c>
      <c r="Y124" s="15">
        <f ca="1">IFERROR(IFERROR(VLOOKUP($W124,Regresiones!$W$6:$Y$10,2,1)*$W124+VLOOKUP($W124,Regresiones!$W$6:$Y$10,3,1),VLOOKUP(MIN(DatosHoy[Puntos]),Regresiones!$W$6:$Y$10,2,1)*$W124+VLOOKUP(MIN(DatosHoy[Puntos]),Regresiones!$W$6:$Y$10,3,1)),"NO")</f>
        <v>6877026.4942380982</v>
      </c>
      <c r="Z124" s="15">
        <f ca="1">IFERROR(IFERROR(VLOOKUP($W124,Regresiones!$Z$6:$AB$10,2,1)*$W124+VLOOKUP($W124,Regresiones!$Z$6:$AB$10,3,1),VLOOKUP(MIN(DatosHoy[Puntos]),Regresiones!$Z$6:$AB$10,2,1)*$W124+VLOOKUP(MIN(DatosHoy[Puntos]),Regresiones!$Z$6:$AB$10,3,1)),"NO")</f>
        <v>6889921.0548498491</v>
      </c>
      <c r="AA124" s="3">
        <f t="shared" ca="1" si="19"/>
        <v>1.3491726430532489</v>
      </c>
    </row>
    <row r="125" spans="2:27" x14ac:dyDescent="0.2">
      <c r="B125" s="1">
        <v>120</v>
      </c>
      <c r="C125" s="15">
        <v>9295693</v>
      </c>
      <c r="D125" s="15">
        <v>9295693</v>
      </c>
      <c r="E125" s="15">
        <v>9295693</v>
      </c>
      <c r="F125" s="1" t="s">
        <v>145</v>
      </c>
      <c r="G125" s="1">
        <v>536</v>
      </c>
      <c r="H125" s="1" t="str">
        <f t="shared" si="20"/>
        <v>$G$125</v>
      </c>
      <c r="I125" s="1" t="str">
        <f t="shared" si="21"/>
        <v>$C$125</v>
      </c>
      <c r="J125" s="1" t="str">
        <f t="shared" si="22"/>
        <v>$D$125</v>
      </c>
      <c r="K125" s="1" t="str">
        <f t="shared" si="23"/>
        <v>$E$125</v>
      </c>
      <c r="L125" s="15">
        <f ca="1">IFERROR(VLOOKUP($G125,Regresiones!$E$6:$I$10,4,1)*$G125+VLOOKUP($G125,Regresiones!$E$6:$I$10,5,1),"")</f>
        <v>8588331.2712779902</v>
      </c>
      <c r="M125" s="15">
        <f ca="1">IFERROR(VLOOKUP($G125,Regresiones!$J$6:$N$10,4,1)*$G125+VLOOKUP($G125,Regresiones!$J$6:$N$10,5,1),"")</f>
        <v>8691397.3749197442</v>
      </c>
      <c r="N125" s="15">
        <f ca="1">IFERROR(VLOOKUP($G125,Regresiones!$O$6:$S$10,4,1)*$G125+VLOOKUP($G125,Regresiones!$O$6:$S$10,5,1),"")</f>
        <v>8691397.3749197442</v>
      </c>
      <c r="O125" s="15">
        <f ca="1">IFERROR(VLOOKUP($G125,Regresiones!$T$6:$V$10,2,1)*$G125+VLOOKUP($G125,Regresiones!$T$6:$V$10,3,1),"")</f>
        <v>7340680.4177609235</v>
      </c>
      <c r="P125" s="15">
        <f ca="1">IFERROR(VLOOKUP($G125,Regresiones!$W$6:$Y$10,2,1)*$G125+VLOOKUP($G125,Regresiones!$W$6:$Y$10,3,1),"")</f>
        <v>7439845.6677981075</v>
      </c>
      <c r="Q125" s="15">
        <f ca="1">IFERROR(VLOOKUP($G125,Regresiones!$Z$6:$AB$10,2,1)*$G125+VLOOKUP($G125,Regresiones!$Z$6:$AB$10,3,1),"")</f>
        <v>7457213.8514792398</v>
      </c>
      <c r="R125" s="15">
        <f>IF($W125=$W126,-1,DatosHoy[[#This Row],[G ajus PM]]-X126)</f>
        <v>-1</v>
      </c>
      <c r="S125" s="15">
        <f>IF($W125=$W126,-1,DatosHoy[[#This Row],[G+V ajus PM]]-Y126)</f>
        <v>-1</v>
      </c>
      <c r="T125" s="15">
        <f>IF($W125=$W126,-1,DatosHoy[[#This Row],[CT ajus PM]]-Z126)</f>
        <v>-1</v>
      </c>
      <c r="U125" s="15">
        <f ca="1">IFERROR(IF(DatosHoy[[#This Row],[G ajus PM]]=DatosHoy[[#This Row],[G+V ajus PM]],-1,DatosHoy[[#This Row],[G ajus PM]]-DatosHoy[[#This Row],[G+V ajus PM]]),"")</f>
        <v>-32589.166689030826</v>
      </c>
      <c r="V125" s="15">
        <f ca="1">IFERROR(IF(DatosHoy[[#This Row],[G+V ajus PM]]=DatosHoy[[#This Row],[CT ajus PM]],-1,DatosHoy[[#This Row],[G+V ajus PM]]-DatosHoy[[#This Row],[CT ajus PM]]),"")</f>
        <v>-22762.846794212237</v>
      </c>
      <c r="W125" s="15">
        <v>577</v>
      </c>
      <c r="X125" s="15">
        <f ca="1">IFERROR(IFERROR(VLOOKUP($W125,Regresiones!$T$6:$V$10,2,1)*$W125+VLOOKUP($W125,Regresiones!$T$6:$V$10,3,1),VLOOKUP(MIN(DatosHoy[Puntos]),Regresiones!$T$6:$V$10,2,1)*$W125+VLOOKUP(MIN(DatosHoy[Puntos]),Regresiones!$T$6:$V$10,3,1)),"NO")</f>
        <v>8085950.2104020286</v>
      </c>
      <c r="Y125" s="15">
        <f ca="1">IFERROR(IFERROR(VLOOKUP($W125,Regresiones!$W$6:$Y$10,2,1)*$W125+VLOOKUP($W125,Regresiones!$W$6:$Y$10,3,1),VLOOKUP(MIN(DatosHoy[Puntos]),Regresiones!$W$6:$Y$10,2,1)*$W125+VLOOKUP(MIN(DatosHoy[Puntos]),Regresiones!$W$6:$Y$10,3,1)),"NO")</f>
        <v>8118539.3770910595</v>
      </c>
      <c r="Z125" s="15">
        <f ca="1">IFERROR(IFERROR(VLOOKUP($W125,Regresiones!$Z$6:$AB$10,2,1)*$W125+VLOOKUP($W125,Regresiones!$Z$6:$AB$10,3,1),VLOOKUP(MIN(DatosHoy[Puntos]),Regresiones!$Z$6:$AB$10,2,1)*$W125+VLOOKUP(MIN(DatosHoy[Puntos]),Regresiones!$Z$6:$AB$10,3,1)),"NO")</f>
        <v>8141302.2238852717</v>
      </c>
      <c r="AA125" s="3">
        <f t="shared" ca="1" si="19"/>
        <v>1.1417943646322244</v>
      </c>
    </row>
    <row r="126" spans="2:27" x14ac:dyDescent="0.2">
      <c r="B126" s="1">
        <v>121</v>
      </c>
      <c r="C126" s="15">
        <v>9295693</v>
      </c>
      <c r="D126" s="15">
        <v>9295693</v>
      </c>
      <c r="E126" s="15">
        <v>9295693</v>
      </c>
      <c r="F126" s="1" t="s">
        <v>146</v>
      </c>
      <c r="G126" s="1">
        <v>540</v>
      </c>
      <c r="H126" s="1" t="str">
        <f t="shared" ref="H126:H136" si="24">"$"&amp;"G"&amp;"$"&amp;ROW()</f>
        <v>$G$126</v>
      </c>
      <c r="I126" s="1" t="str">
        <f t="shared" ref="I126:I136" si="25">"$"&amp;"C"&amp;"$"&amp;ROW()</f>
        <v>$C$126</v>
      </c>
      <c r="J126" s="1" t="str">
        <f t="shared" ref="J126:J136" si="26">"$"&amp;"D"&amp;"$"&amp;ROW()</f>
        <v>$D$126</v>
      </c>
      <c r="K126" s="1" t="str">
        <f t="shared" ref="K126:K136" si="27">"$"&amp;"E"&amp;"$"&amp;ROW()</f>
        <v>$E$126</v>
      </c>
      <c r="L126" s="15">
        <f ca="1">IFERROR(VLOOKUP($G126,Regresiones!$E$6:$I$10,4,1)*$G126+VLOOKUP($G126,Regresiones!$E$6:$I$10,5,1),"")</f>
        <v>8698848.1209622659</v>
      </c>
      <c r="M126" s="15">
        <f ca="1">IFERROR(VLOOKUP($G126,Regresiones!$J$6:$N$10,4,1)*$G126+VLOOKUP($G126,Regresiones!$J$6:$N$10,5,1),"")</f>
        <v>8795537.2046452854</v>
      </c>
      <c r="N126" s="15">
        <f ca="1">IFERROR(VLOOKUP($G126,Regresiones!$O$6:$S$10,4,1)*$G126+VLOOKUP($G126,Regresiones!$O$6:$S$10,5,1),"")</f>
        <v>8795537.2046452854</v>
      </c>
      <c r="O126" s="15">
        <f ca="1">IFERROR(VLOOKUP($G126,Regresiones!$T$6:$V$10,2,1)*$G126+VLOOKUP($G126,Regresiones!$T$6:$V$10,3,1),"")</f>
        <v>7413389.6658234689</v>
      </c>
      <c r="P126" s="15">
        <f ca="1">IFERROR(VLOOKUP($G126,Regresiones!$W$6:$Y$10,2,1)*$G126+VLOOKUP($G126,Regresiones!$W$6:$Y$10,3,1),"")</f>
        <v>7506059.6882169321</v>
      </c>
      <c r="Q126" s="15">
        <f ca="1">IFERROR(VLOOKUP($G126,Regresiones!$Z$6:$AB$10,2,1)*$G126+VLOOKUP($G126,Regresiones!$Z$6:$AB$10,3,1),"")</f>
        <v>7523954.1804944631</v>
      </c>
      <c r="R126" s="15">
        <f>IF($W126=$W127,-1,DatosHoy[[#This Row],[G ajus PM]]-X127)</f>
        <v>-1</v>
      </c>
      <c r="S126" s="15">
        <f>IF($W126=$W127,-1,DatosHoy[[#This Row],[G+V ajus PM]]-Y127)</f>
        <v>-1</v>
      </c>
      <c r="T126" s="15">
        <f>IF($W126=$W127,-1,DatosHoy[[#This Row],[CT ajus PM]]-Z127)</f>
        <v>-1</v>
      </c>
      <c r="U126" s="15">
        <f ca="1">IFERROR(IF(DatosHoy[[#This Row],[G ajus PM]]=DatosHoy[[#This Row],[G+V ajus PM]],-1,DatosHoy[[#This Row],[G ajus PM]]-DatosHoy[[#This Row],[G+V ajus PM]]),"")</f>
        <v>-32589.166689030826</v>
      </c>
      <c r="V126" s="15">
        <f ca="1">IFERROR(IF(DatosHoy[[#This Row],[G+V ajus PM]]=DatosHoy[[#This Row],[CT ajus PM]],-1,DatosHoy[[#This Row],[G+V ajus PM]]-DatosHoy[[#This Row],[CT ajus PM]]),"")</f>
        <v>-22762.846794212237</v>
      </c>
      <c r="W126" s="15">
        <v>577</v>
      </c>
      <c r="X126" s="15">
        <f ca="1">IFERROR(IFERROR(VLOOKUP($W126,Regresiones!$T$6:$V$10,2,1)*$W126+VLOOKUP($W126,Regresiones!$T$6:$V$10,3,1),VLOOKUP(MIN(DatosHoy[Puntos]),Regresiones!$T$6:$V$10,2,1)*$W126+VLOOKUP(MIN(DatosHoy[Puntos]),Regresiones!$T$6:$V$10,3,1)),"NO")</f>
        <v>8085950.2104020286</v>
      </c>
      <c r="Y126" s="15">
        <f ca="1">IFERROR(IFERROR(VLOOKUP($W126,Regresiones!$W$6:$Y$10,2,1)*$W126+VLOOKUP($W126,Regresiones!$W$6:$Y$10,3,1),VLOOKUP(MIN(DatosHoy[Puntos]),Regresiones!$W$6:$Y$10,2,1)*$W126+VLOOKUP(MIN(DatosHoy[Puntos]),Regresiones!$W$6:$Y$10,3,1)),"NO")</f>
        <v>8118539.3770910595</v>
      </c>
      <c r="Z126" s="15">
        <f ca="1">IFERROR(IFERROR(VLOOKUP($W126,Regresiones!$Z$6:$AB$10,2,1)*$W126+VLOOKUP($W126,Regresiones!$Z$6:$AB$10,3,1),VLOOKUP(MIN(DatosHoy[Puntos]),Regresiones!$Z$6:$AB$10,2,1)*$W126+VLOOKUP(MIN(DatosHoy[Puntos]),Regresiones!$Z$6:$AB$10,3,1)),"NO")</f>
        <v>8141302.2238852717</v>
      </c>
      <c r="AA126" s="3">
        <f t="shared" ca="1" si="19"/>
        <v>1.1417943646322244</v>
      </c>
    </row>
    <row r="127" spans="2:27" x14ac:dyDescent="0.2">
      <c r="B127" s="1">
        <v>122</v>
      </c>
      <c r="C127" s="15">
        <v>9295693</v>
      </c>
      <c r="D127" s="15">
        <v>9295693</v>
      </c>
      <c r="E127" s="15">
        <v>9295693</v>
      </c>
      <c r="F127" s="1" t="s">
        <v>147</v>
      </c>
      <c r="G127" s="1">
        <v>556</v>
      </c>
      <c r="H127" s="1" t="str">
        <f t="shared" si="24"/>
        <v>$G$127</v>
      </c>
      <c r="I127" s="1" t="str">
        <f t="shared" si="25"/>
        <v>$C$127</v>
      </c>
      <c r="J127" s="1" t="str">
        <f t="shared" si="26"/>
        <v>$D$127</v>
      </c>
      <c r="K127" s="1" t="str">
        <f t="shared" si="27"/>
        <v>$E$127</v>
      </c>
      <c r="L127" s="15">
        <f ca="1">IFERROR(VLOOKUP($G127,Regresiones!$E$6:$I$10,4,1)*$G127+VLOOKUP($G127,Regresiones!$E$6:$I$10,5,1),"")</f>
        <v>9140915.5196993686</v>
      </c>
      <c r="M127" s="15">
        <f ca="1">IFERROR(VLOOKUP($G127,Regresiones!$J$6:$N$10,4,1)*$G127+VLOOKUP($G127,Regresiones!$J$6:$N$10,5,1),"")</f>
        <v>9212096.5235474482</v>
      </c>
      <c r="N127" s="15">
        <f ca="1">IFERROR(VLOOKUP($G127,Regresiones!$O$6:$S$10,4,1)*$G127+VLOOKUP($G127,Regresiones!$O$6:$S$10,5,1),"")</f>
        <v>9212096.5235474482</v>
      </c>
      <c r="O127" s="15">
        <f ca="1">IFERROR(VLOOKUP($G127,Regresiones!$T$6:$V$10,2,1)*$G127+VLOOKUP($G127,Regresiones!$T$6:$V$10,3,1),"")</f>
        <v>7704226.6580736581</v>
      </c>
      <c r="P127" s="15">
        <f ca="1">IFERROR(VLOOKUP($G127,Regresiones!$W$6:$Y$10,2,1)*$G127+VLOOKUP($G127,Regresiones!$W$6:$Y$10,3,1),"")</f>
        <v>7770915.7698922306</v>
      </c>
      <c r="Q127" s="15">
        <f ca="1">IFERROR(VLOOKUP($G127,Regresiones!$Z$6:$AB$10,2,1)*$G127+VLOOKUP($G127,Regresiones!$Z$6:$AB$10,3,1),"")</f>
        <v>7790915.4965553526</v>
      </c>
      <c r="R127" s="15">
        <f>IF($W127=$W128,-1,DatosHoy[[#This Row],[G ajus PM]]-X128)</f>
        <v>-1</v>
      </c>
      <c r="S127" s="15">
        <f>IF($W127=$W128,-1,DatosHoy[[#This Row],[G+V ajus PM]]-Y128)</f>
        <v>-1</v>
      </c>
      <c r="T127" s="15">
        <f>IF($W127=$W128,-1,DatosHoy[[#This Row],[CT ajus PM]]-Z128)</f>
        <v>-1</v>
      </c>
      <c r="U127" s="15">
        <f ca="1">IFERROR(IF(DatosHoy[[#This Row],[G ajus PM]]=DatosHoy[[#This Row],[G+V ajus PM]],-1,DatosHoy[[#This Row],[G ajus PM]]-DatosHoy[[#This Row],[G+V ajus PM]]),"")</f>
        <v>-32589.166689030826</v>
      </c>
      <c r="V127" s="15">
        <f ca="1">IFERROR(IF(DatosHoy[[#This Row],[G+V ajus PM]]=DatosHoy[[#This Row],[CT ajus PM]],-1,DatosHoy[[#This Row],[G+V ajus PM]]-DatosHoy[[#This Row],[CT ajus PM]]),"")</f>
        <v>-22762.846794212237</v>
      </c>
      <c r="W127" s="15">
        <v>577</v>
      </c>
      <c r="X127" s="15">
        <f ca="1">IFERROR(IFERROR(VLOOKUP($W127,Regresiones!$T$6:$V$10,2,1)*$W127+VLOOKUP($W127,Regresiones!$T$6:$V$10,3,1),VLOOKUP(MIN(DatosHoy[Puntos]),Regresiones!$T$6:$V$10,2,1)*$W127+VLOOKUP(MIN(DatosHoy[Puntos]),Regresiones!$T$6:$V$10,3,1)),"NO")</f>
        <v>8085950.2104020286</v>
      </c>
      <c r="Y127" s="15">
        <f ca="1">IFERROR(IFERROR(VLOOKUP($W127,Regresiones!$W$6:$Y$10,2,1)*$W127+VLOOKUP($W127,Regresiones!$W$6:$Y$10,3,1),VLOOKUP(MIN(DatosHoy[Puntos]),Regresiones!$W$6:$Y$10,2,1)*$W127+VLOOKUP(MIN(DatosHoy[Puntos]),Regresiones!$W$6:$Y$10,3,1)),"NO")</f>
        <v>8118539.3770910595</v>
      </c>
      <c r="Z127" s="15">
        <f ca="1">IFERROR(IFERROR(VLOOKUP($W127,Regresiones!$Z$6:$AB$10,2,1)*$W127+VLOOKUP($W127,Regresiones!$Z$6:$AB$10,3,1),VLOOKUP(MIN(DatosHoy[Puntos]),Regresiones!$Z$6:$AB$10,2,1)*$W127+VLOOKUP(MIN(DatosHoy[Puntos]),Regresiones!$Z$6:$AB$10,3,1)),"NO")</f>
        <v>8141302.2238852717</v>
      </c>
      <c r="AA127" s="3">
        <f t="shared" ca="1" si="19"/>
        <v>1.1417943646322244</v>
      </c>
    </row>
    <row r="128" spans="2:27" x14ac:dyDescent="0.2">
      <c r="B128" s="1">
        <v>123</v>
      </c>
      <c r="C128" s="15">
        <v>9295693</v>
      </c>
      <c r="D128" s="15">
        <v>9295693</v>
      </c>
      <c r="E128" s="15">
        <v>9295693</v>
      </c>
      <c r="F128" s="1" t="s">
        <v>148</v>
      </c>
      <c r="G128" s="1">
        <v>559</v>
      </c>
      <c r="H128" s="1" t="str">
        <f t="shared" si="24"/>
        <v>$G$128</v>
      </c>
      <c r="I128" s="1" t="str">
        <f t="shared" si="25"/>
        <v>$C$128</v>
      </c>
      <c r="J128" s="1" t="str">
        <f t="shared" si="26"/>
        <v>$D$128</v>
      </c>
      <c r="K128" s="1" t="str">
        <f t="shared" si="27"/>
        <v>$E$128</v>
      </c>
      <c r="L128" s="15">
        <f ca="1">IFERROR(VLOOKUP($G128,Regresiones!$E$6:$I$10,4,1)*$G128+VLOOKUP($G128,Regresiones!$E$6:$I$10,5,1),"")</f>
        <v>9223803.1569625773</v>
      </c>
      <c r="M128" s="15">
        <f ca="1">IFERROR(VLOOKUP($G128,Regresiones!$J$6:$N$10,4,1)*$G128+VLOOKUP($G128,Regresiones!$J$6:$N$10,5,1),"")</f>
        <v>9290201.3958416041</v>
      </c>
      <c r="N128" s="15">
        <f ca="1">IFERROR(VLOOKUP($G128,Regresiones!$O$6:$S$10,4,1)*$G128+VLOOKUP($G128,Regresiones!$O$6:$S$10,5,1),"")</f>
        <v>9290201.3958416041</v>
      </c>
      <c r="O128" s="15">
        <f ca="1">IFERROR(VLOOKUP($G128,Regresiones!$T$6:$V$10,2,1)*$G128+VLOOKUP($G128,Regresiones!$T$6:$V$10,3,1),"")</f>
        <v>7758758.5941205677</v>
      </c>
      <c r="P128" s="15">
        <f ca="1">IFERROR(VLOOKUP($G128,Regresiones!$W$6:$Y$10,2,1)*$G128+VLOOKUP($G128,Regresiones!$W$6:$Y$10,3,1),"")</f>
        <v>7820576.2852063477</v>
      </c>
      <c r="Q128" s="15">
        <f ca="1">IFERROR(VLOOKUP($G128,Regresiones!$Z$6:$AB$10,2,1)*$G128+VLOOKUP($G128,Regresiones!$Z$6:$AB$10,3,1),"")</f>
        <v>7840970.7433167696</v>
      </c>
      <c r="R128" s="15">
        <f>IF($W128=$W129,-1,DatosHoy[[#This Row],[G ajus PM]]-X129)</f>
        <v>-1</v>
      </c>
      <c r="S128" s="15">
        <f>IF($W128=$W129,-1,DatosHoy[[#This Row],[G+V ajus PM]]-Y129)</f>
        <v>-1</v>
      </c>
      <c r="T128" s="15">
        <f>IF($W128=$W129,-1,DatosHoy[[#This Row],[CT ajus PM]]-Z129)</f>
        <v>-1</v>
      </c>
      <c r="U128" s="15">
        <f ca="1">IFERROR(IF(DatosHoy[[#This Row],[G ajus PM]]=DatosHoy[[#This Row],[G+V ajus PM]],-1,DatosHoy[[#This Row],[G ajus PM]]-DatosHoy[[#This Row],[G+V ajus PM]]),"")</f>
        <v>-32589.166689030826</v>
      </c>
      <c r="V128" s="15">
        <f ca="1">IFERROR(IF(DatosHoy[[#This Row],[G+V ajus PM]]=DatosHoy[[#This Row],[CT ajus PM]],-1,DatosHoy[[#This Row],[G+V ajus PM]]-DatosHoy[[#This Row],[CT ajus PM]]),"")</f>
        <v>-22762.846794212237</v>
      </c>
      <c r="W128" s="15">
        <v>577</v>
      </c>
      <c r="X128" s="15">
        <f ca="1">IFERROR(IFERROR(VLOOKUP($W128,Regresiones!$T$6:$V$10,2,1)*$W128+VLOOKUP($W128,Regresiones!$T$6:$V$10,3,1),VLOOKUP(MIN(DatosHoy[Puntos]),Regresiones!$T$6:$V$10,2,1)*$W128+VLOOKUP(MIN(DatosHoy[Puntos]),Regresiones!$T$6:$V$10,3,1)),"NO")</f>
        <v>8085950.2104020286</v>
      </c>
      <c r="Y128" s="15">
        <f ca="1">IFERROR(IFERROR(VLOOKUP($W128,Regresiones!$W$6:$Y$10,2,1)*$W128+VLOOKUP($W128,Regresiones!$W$6:$Y$10,3,1),VLOOKUP(MIN(DatosHoy[Puntos]),Regresiones!$W$6:$Y$10,2,1)*$W128+VLOOKUP(MIN(DatosHoy[Puntos]),Regresiones!$W$6:$Y$10,3,1)),"NO")</f>
        <v>8118539.3770910595</v>
      </c>
      <c r="Z128" s="15">
        <f ca="1">IFERROR(IFERROR(VLOOKUP($W128,Regresiones!$Z$6:$AB$10,2,1)*$W128+VLOOKUP($W128,Regresiones!$Z$6:$AB$10,3,1),VLOOKUP(MIN(DatosHoy[Puntos]),Regresiones!$Z$6:$AB$10,2,1)*$W128+VLOOKUP(MIN(DatosHoy[Puntos]),Regresiones!$Z$6:$AB$10,3,1)),"NO")</f>
        <v>8141302.2238852717</v>
      </c>
      <c r="AA128" s="3">
        <f t="shared" ca="1" si="19"/>
        <v>1.1417943646322244</v>
      </c>
    </row>
    <row r="129" spans="2:27" x14ac:dyDescent="0.2">
      <c r="B129" s="1">
        <v>124</v>
      </c>
      <c r="C129" s="15">
        <v>12175004.49</v>
      </c>
      <c r="D129" s="15">
        <v>12175004.49</v>
      </c>
      <c r="E129" s="15">
        <v>12175004.49</v>
      </c>
      <c r="F129" s="1" t="s">
        <v>149</v>
      </c>
      <c r="G129" s="1">
        <v>559</v>
      </c>
      <c r="H129" s="1" t="str">
        <f t="shared" si="24"/>
        <v>$G$129</v>
      </c>
      <c r="I129" s="1" t="str">
        <f t="shared" si="25"/>
        <v>$C$129</v>
      </c>
      <c r="J129" s="1" t="str">
        <f t="shared" si="26"/>
        <v>$D$129</v>
      </c>
      <c r="K129" s="1" t="str">
        <f t="shared" si="27"/>
        <v>$E$129</v>
      </c>
      <c r="L129" s="15">
        <f ca="1">IFERROR(VLOOKUP($G129,Regresiones!$E$6:$I$10,4,1)*$G129+VLOOKUP($G129,Regresiones!$E$6:$I$10,5,1),"")</f>
        <v>9223803.1569625773</v>
      </c>
      <c r="M129" s="15">
        <f ca="1">IFERROR(VLOOKUP($G129,Regresiones!$J$6:$N$10,4,1)*$G129+VLOOKUP($G129,Regresiones!$J$6:$N$10,5,1),"")</f>
        <v>9290201.3958416041</v>
      </c>
      <c r="N129" s="15">
        <f ca="1">IFERROR(VLOOKUP($G129,Regresiones!$O$6:$S$10,4,1)*$G129+VLOOKUP($G129,Regresiones!$O$6:$S$10,5,1),"")</f>
        <v>9290201.3958416041</v>
      </c>
      <c r="O129" s="15">
        <f ca="1">IFERROR(VLOOKUP($G129,Regresiones!$T$6:$V$10,2,1)*$G129+VLOOKUP($G129,Regresiones!$T$6:$V$10,3,1),"")</f>
        <v>7758758.5941205677</v>
      </c>
      <c r="P129" s="15">
        <f ca="1">IFERROR(VLOOKUP($G129,Regresiones!$W$6:$Y$10,2,1)*$G129+VLOOKUP($G129,Regresiones!$W$6:$Y$10,3,1),"")</f>
        <v>7820576.2852063477</v>
      </c>
      <c r="Q129" s="15">
        <f ca="1">IFERROR(VLOOKUP($G129,Regresiones!$Z$6:$AB$10,2,1)*$G129+VLOOKUP($G129,Regresiones!$Z$6:$AB$10,3,1),"")</f>
        <v>7840970.7433167696</v>
      </c>
      <c r="R129" s="15">
        <f>IF($W129=$W130,-1,DatosHoy[[#This Row],[G ajus PM]]-X130)</f>
        <v>-1</v>
      </c>
      <c r="S129" s="15">
        <f>IF($W129=$W130,-1,DatosHoy[[#This Row],[G+V ajus PM]]-Y130)</f>
        <v>-1</v>
      </c>
      <c r="T129" s="15">
        <f>IF($W129=$W130,-1,DatosHoy[[#This Row],[CT ajus PM]]-Z130)</f>
        <v>-1</v>
      </c>
      <c r="U129" s="15">
        <f ca="1">IFERROR(IF(DatosHoy[[#This Row],[G ajus PM]]=DatosHoy[[#This Row],[G+V ajus PM]],-1,DatosHoy[[#This Row],[G ajus PM]]-DatosHoy[[#This Row],[G+V ajus PM]]),"")</f>
        <v>-32589.166689030826</v>
      </c>
      <c r="V129" s="15">
        <f ca="1">IFERROR(IF(DatosHoy[[#This Row],[G+V ajus PM]]=DatosHoy[[#This Row],[CT ajus PM]],-1,DatosHoy[[#This Row],[G+V ajus PM]]-DatosHoy[[#This Row],[CT ajus PM]]),"")</f>
        <v>-22762.846794212237</v>
      </c>
      <c r="W129" s="15">
        <v>577</v>
      </c>
      <c r="X129" s="15">
        <f ca="1">IFERROR(IFERROR(VLOOKUP($W129,Regresiones!$T$6:$V$10,2,1)*$W129+VLOOKUP($W129,Regresiones!$T$6:$V$10,3,1),VLOOKUP(MIN(DatosHoy[Puntos]),Regresiones!$T$6:$V$10,2,1)*$W129+VLOOKUP(MIN(DatosHoy[Puntos]),Regresiones!$T$6:$V$10,3,1)),"NO")</f>
        <v>8085950.2104020286</v>
      </c>
      <c r="Y129" s="15">
        <f ca="1">IFERROR(IFERROR(VLOOKUP($W129,Regresiones!$W$6:$Y$10,2,1)*$W129+VLOOKUP($W129,Regresiones!$W$6:$Y$10,3,1),VLOOKUP(MIN(DatosHoy[Puntos]),Regresiones!$W$6:$Y$10,2,1)*$W129+VLOOKUP(MIN(DatosHoy[Puntos]),Regresiones!$W$6:$Y$10,3,1)),"NO")</f>
        <v>8118539.3770910595</v>
      </c>
      <c r="Z129" s="15">
        <f ca="1">IFERROR(IFERROR(VLOOKUP($W129,Regresiones!$Z$6:$AB$10,2,1)*$W129+VLOOKUP($W129,Regresiones!$Z$6:$AB$10,3,1),VLOOKUP(MIN(DatosHoy[Puntos]),Regresiones!$Z$6:$AB$10,2,1)*$W129+VLOOKUP(MIN(DatosHoy[Puntos]),Regresiones!$Z$6:$AB$10,3,1)),"NO")</f>
        <v>8141302.2238852717</v>
      </c>
      <c r="AA129" s="3">
        <f t="shared" ca="1" si="19"/>
        <v>1.4954615558037503</v>
      </c>
    </row>
    <row r="130" spans="2:27" x14ac:dyDescent="0.2">
      <c r="B130" s="1">
        <v>125</v>
      </c>
      <c r="C130" s="15">
        <v>6023373.7300000004</v>
      </c>
      <c r="D130" s="15">
        <v>6023373.7300000004</v>
      </c>
      <c r="E130" s="15">
        <v>6023373.7300000004</v>
      </c>
      <c r="F130" s="1" t="s">
        <v>150</v>
      </c>
      <c r="G130" s="1">
        <v>559</v>
      </c>
      <c r="H130" s="1" t="str">
        <f t="shared" si="24"/>
        <v>$G$130</v>
      </c>
      <c r="I130" s="1" t="str">
        <f t="shared" si="25"/>
        <v>$C$130</v>
      </c>
      <c r="J130" s="1" t="str">
        <f t="shared" si="26"/>
        <v>$D$130</v>
      </c>
      <c r="K130" s="1" t="str">
        <f t="shared" si="27"/>
        <v>$E$130</v>
      </c>
      <c r="L130" s="15">
        <f ca="1">IFERROR(VLOOKUP($G130,Regresiones!$E$6:$I$10,4,1)*$G130+VLOOKUP($G130,Regresiones!$E$6:$I$10,5,1),"")</f>
        <v>9223803.1569625773</v>
      </c>
      <c r="M130" s="15">
        <f ca="1">IFERROR(VLOOKUP($G130,Regresiones!$J$6:$N$10,4,1)*$G130+VLOOKUP($G130,Regresiones!$J$6:$N$10,5,1),"")</f>
        <v>9290201.3958416041</v>
      </c>
      <c r="N130" s="15">
        <f ca="1">IFERROR(VLOOKUP($G130,Regresiones!$O$6:$S$10,4,1)*$G130+VLOOKUP($G130,Regresiones!$O$6:$S$10,5,1),"")</f>
        <v>9290201.3958416041</v>
      </c>
      <c r="O130" s="15">
        <f ca="1">IFERROR(VLOOKUP($G130,Regresiones!$T$6:$V$10,2,1)*$G130+VLOOKUP($G130,Regresiones!$T$6:$V$10,3,1),"")</f>
        <v>7758758.5941205677</v>
      </c>
      <c r="P130" s="15">
        <f ca="1">IFERROR(VLOOKUP($G130,Regresiones!$W$6:$Y$10,2,1)*$G130+VLOOKUP($G130,Regresiones!$W$6:$Y$10,3,1),"")</f>
        <v>7820576.2852063477</v>
      </c>
      <c r="Q130" s="15">
        <f ca="1">IFERROR(VLOOKUP($G130,Regresiones!$Z$6:$AB$10,2,1)*$G130+VLOOKUP($G130,Regresiones!$Z$6:$AB$10,3,1),"")</f>
        <v>7840970.7433167696</v>
      </c>
      <c r="R130" s="15">
        <f>IF($W130=$W131,-1,DatosHoy[[#This Row],[G ajus PM]]-X131)</f>
        <v>-1</v>
      </c>
      <c r="S130" s="15">
        <f>IF($W130=$W131,-1,DatosHoy[[#This Row],[G+V ajus PM]]-Y131)</f>
        <v>-1</v>
      </c>
      <c r="T130" s="15">
        <f>IF($W130=$W131,-1,DatosHoy[[#This Row],[CT ajus PM]]-Z131)</f>
        <v>-1</v>
      </c>
      <c r="U130" s="15">
        <f ca="1">IFERROR(IF(DatosHoy[[#This Row],[G ajus PM]]=DatosHoy[[#This Row],[G+V ajus PM]],-1,DatosHoy[[#This Row],[G ajus PM]]-DatosHoy[[#This Row],[G+V ajus PM]]),"")</f>
        <v>-32589.166689030826</v>
      </c>
      <c r="V130" s="15">
        <f ca="1">IFERROR(IF(DatosHoy[[#This Row],[G+V ajus PM]]=DatosHoy[[#This Row],[CT ajus PM]],-1,DatosHoy[[#This Row],[G+V ajus PM]]-DatosHoy[[#This Row],[CT ajus PM]]),"")</f>
        <v>-22762.846794212237</v>
      </c>
      <c r="W130" s="15">
        <v>577</v>
      </c>
      <c r="X130" s="15">
        <f ca="1">IFERROR(IFERROR(VLOOKUP($W130,Regresiones!$T$6:$V$10,2,1)*$W130+VLOOKUP($W130,Regresiones!$T$6:$V$10,3,1),VLOOKUP(MIN(DatosHoy[Puntos]),Regresiones!$T$6:$V$10,2,1)*$W130+VLOOKUP(MIN(DatosHoy[Puntos]),Regresiones!$T$6:$V$10,3,1)),"NO")</f>
        <v>8085950.2104020286</v>
      </c>
      <c r="Y130" s="15">
        <f ca="1">IFERROR(IFERROR(VLOOKUP($W130,Regresiones!$W$6:$Y$10,2,1)*$W130+VLOOKUP($W130,Regresiones!$W$6:$Y$10,3,1),VLOOKUP(MIN(DatosHoy[Puntos]),Regresiones!$W$6:$Y$10,2,1)*$W130+VLOOKUP(MIN(DatosHoy[Puntos]),Regresiones!$W$6:$Y$10,3,1)),"NO")</f>
        <v>8118539.3770910595</v>
      </c>
      <c r="Z130" s="15">
        <f ca="1">IFERROR(IFERROR(VLOOKUP($W130,Regresiones!$Z$6:$AB$10,2,1)*$W130+VLOOKUP($W130,Regresiones!$Z$6:$AB$10,3,1),VLOOKUP(MIN(DatosHoy[Puntos]),Regresiones!$Z$6:$AB$10,2,1)*$W130+VLOOKUP(MIN(DatosHoy[Puntos]),Regresiones!$Z$6:$AB$10,3,1)),"NO")</f>
        <v>8141302.2238852717</v>
      </c>
      <c r="AA130" s="3">
        <f t="shared" ca="1" si="19"/>
        <v>0.73985384209523508</v>
      </c>
    </row>
    <row r="131" spans="2:27" x14ac:dyDescent="0.2">
      <c r="B131" s="1">
        <v>126</v>
      </c>
      <c r="C131" s="15">
        <v>11477239.180000002</v>
      </c>
      <c r="D131" s="15">
        <v>11477239.180000002</v>
      </c>
      <c r="E131" s="15">
        <v>11477239.180000002</v>
      </c>
      <c r="F131" s="1" t="s">
        <v>151</v>
      </c>
      <c r="G131" s="1">
        <v>599</v>
      </c>
      <c r="H131" s="1" t="str">
        <f t="shared" si="24"/>
        <v>$G$131</v>
      </c>
      <c r="I131" s="1" t="str">
        <f t="shared" si="25"/>
        <v>$C$131</v>
      </c>
      <c r="J131" s="1" t="str">
        <f t="shared" si="26"/>
        <v>$D$131</v>
      </c>
      <c r="K131" s="1" t="str">
        <f t="shared" si="27"/>
        <v>$E$131</v>
      </c>
      <c r="L131" s="15">
        <f ca="1">IFERROR(VLOOKUP($G131,Regresiones!$E$6:$I$10,4,1)*$G131+VLOOKUP($G131,Regresiones!$E$6:$I$10,5,1),"")</f>
        <v>10328971.653805338</v>
      </c>
      <c r="M131" s="15">
        <f ca="1">IFERROR(VLOOKUP($G131,Regresiones!$J$6:$N$10,4,1)*$G131+VLOOKUP($G131,Regresiones!$J$6:$N$10,5,1),"")</f>
        <v>10331599.693097012</v>
      </c>
      <c r="N131" s="15">
        <f ca="1">IFERROR(VLOOKUP($G131,Regresiones!$O$6:$S$10,4,1)*$G131+VLOOKUP($G131,Regresiones!$O$6:$S$10,5,1),"")</f>
        <v>10331599.693097012</v>
      </c>
      <c r="O131" s="15">
        <f ca="1">IFERROR(VLOOKUP($G131,Regresiones!$T$6:$V$10,2,1)*$G131+VLOOKUP($G131,Regresiones!$T$6:$V$10,3,1),"")</f>
        <v>8485851.0747460369</v>
      </c>
      <c r="P131" s="15">
        <f ca="1">IFERROR(VLOOKUP($G131,Regresiones!$W$6:$Y$10,2,1)*$G131+VLOOKUP($G131,Regresiones!$W$6:$Y$10,3,1),"")</f>
        <v>8482716.489394594</v>
      </c>
      <c r="Q131" s="15">
        <f ca="1">IFERROR(VLOOKUP($G131,Regresiones!$Z$6:$AB$10,2,1)*$G131+VLOOKUP($G131,Regresiones!$Z$6:$AB$10,3,1),"")</f>
        <v>8508374.0334689952</v>
      </c>
      <c r="R131" s="15">
        <f>IF($W131=$W132,-1,DatosHoy[[#This Row],[G ajus PM]]-X132)</f>
        <v>-1</v>
      </c>
      <c r="S131" s="15">
        <f>IF($W131=$W132,-1,DatosHoy[[#This Row],[G+V ajus PM]]-Y132)</f>
        <v>-1</v>
      </c>
      <c r="T131" s="15">
        <f>IF($W131=$W132,-1,DatosHoy[[#This Row],[CT ajus PM]]-Z132)</f>
        <v>-1</v>
      </c>
      <c r="U131" s="15">
        <f ca="1">IFERROR(IF(DatosHoy[[#This Row],[G ajus PM]]=DatosHoy[[#This Row],[G+V ajus PM]],-1,DatosHoy[[#This Row],[G ajus PM]]-DatosHoy[[#This Row],[G+V ajus PM]]),"")</f>
        <v>-32589.166689030826</v>
      </c>
      <c r="V131" s="15">
        <f ca="1">IFERROR(IF(DatosHoy[[#This Row],[G+V ajus PM]]=DatosHoy[[#This Row],[CT ajus PM]],-1,DatosHoy[[#This Row],[G+V ajus PM]]-DatosHoy[[#This Row],[CT ajus PM]]),"")</f>
        <v>-22762.846794212237</v>
      </c>
      <c r="W131" s="15">
        <v>577</v>
      </c>
      <c r="X131" s="15">
        <f ca="1">IFERROR(IFERROR(VLOOKUP($W131,Regresiones!$T$6:$V$10,2,1)*$W131+VLOOKUP($W131,Regresiones!$T$6:$V$10,3,1),VLOOKUP(MIN(DatosHoy[Puntos]),Regresiones!$T$6:$V$10,2,1)*$W131+VLOOKUP(MIN(DatosHoy[Puntos]),Regresiones!$T$6:$V$10,3,1)),"NO")</f>
        <v>8085950.2104020286</v>
      </c>
      <c r="Y131" s="15">
        <f ca="1">IFERROR(IFERROR(VLOOKUP($W131,Regresiones!$W$6:$Y$10,2,1)*$W131+VLOOKUP($W131,Regresiones!$W$6:$Y$10,3,1),VLOOKUP(MIN(DatosHoy[Puntos]),Regresiones!$W$6:$Y$10,2,1)*$W131+VLOOKUP(MIN(DatosHoy[Puntos]),Regresiones!$W$6:$Y$10,3,1)),"NO")</f>
        <v>8118539.3770910595</v>
      </c>
      <c r="Z131" s="15">
        <f ca="1">IFERROR(IFERROR(VLOOKUP($W131,Regresiones!$Z$6:$AB$10,2,1)*$W131+VLOOKUP($W131,Regresiones!$Z$6:$AB$10,3,1),VLOOKUP(MIN(DatosHoy[Puntos]),Regresiones!$Z$6:$AB$10,2,1)*$W131+VLOOKUP(MIN(DatosHoy[Puntos]),Regresiones!$Z$6:$AB$10,3,1)),"NO")</f>
        <v>8141302.2238852717</v>
      </c>
      <c r="AA131" s="3">
        <f t="shared" ca="1" si="19"/>
        <v>1.4097547129902177</v>
      </c>
    </row>
    <row r="132" spans="2:27" x14ac:dyDescent="0.2">
      <c r="B132" s="1">
        <v>127</v>
      </c>
      <c r="C132" s="15">
        <v>9295693</v>
      </c>
      <c r="D132" s="15">
        <v>9295693</v>
      </c>
      <c r="E132" s="15">
        <v>9295693</v>
      </c>
      <c r="F132" s="1" t="s">
        <v>152</v>
      </c>
      <c r="G132" s="1">
        <v>610</v>
      </c>
      <c r="H132" s="1" t="str">
        <f t="shared" si="24"/>
        <v>$G$132</v>
      </c>
      <c r="I132" s="1" t="str">
        <f t="shared" si="25"/>
        <v>$C$132</v>
      </c>
      <c r="J132" s="1" t="str">
        <f t="shared" si="26"/>
        <v>$D$132</v>
      </c>
      <c r="K132" s="1" t="str">
        <f t="shared" si="27"/>
        <v>$E$132</v>
      </c>
      <c r="L132" s="15">
        <f ca="1">IFERROR(VLOOKUP($G132,Regresiones!$E$6:$I$10,4,1)*$G132+VLOOKUP($G132,Regresiones!$E$6:$I$10,5,1),"")</f>
        <v>10632892.990437098</v>
      </c>
      <c r="M132" s="15">
        <f ca="1">IFERROR(VLOOKUP($G132,Regresiones!$J$6:$N$10,4,1)*$G132+VLOOKUP($G132,Regresiones!$J$6:$N$10,5,1),"")</f>
        <v>10617984.22484225</v>
      </c>
      <c r="N132" s="15">
        <f ca="1">IFERROR(VLOOKUP($G132,Regresiones!$O$6:$S$10,4,1)*$G132+VLOOKUP($G132,Regresiones!$O$6:$S$10,5,1),"")</f>
        <v>10617984.22484225</v>
      </c>
      <c r="O132" s="15">
        <f ca="1">IFERROR(VLOOKUP($G132,Regresiones!$T$6:$V$10,2,1)*$G132+VLOOKUP($G132,Regresiones!$T$6:$V$10,3,1),"")</f>
        <v>8685801.506918041</v>
      </c>
      <c r="P132" s="15">
        <f ca="1">IFERROR(VLOOKUP($G132,Regresiones!$W$6:$Y$10,2,1)*$G132+VLOOKUP($G132,Regresiones!$W$6:$Y$10,3,1),"")</f>
        <v>8664805.0455463622</v>
      </c>
      <c r="Q132" s="15">
        <f ca="1">IFERROR(VLOOKUP($G132,Regresiones!$Z$6:$AB$10,2,1)*$G132+VLOOKUP($G132,Regresiones!$Z$6:$AB$10,3,1),"")</f>
        <v>8691909.938260857</v>
      </c>
      <c r="R132" s="15">
        <f ca="1">IF($W132=$W133,-1,DatosHoy[[#This Row],[G ajus PM]]-X133)</f>
        <v>-2614442.0484215524</v>
      </c>
      <c r="S132" s="15">
        <f ca="1">IF($W132=$W133,-1,DatosHoy[[#This Row],[G+V ajus PM]]-Y133)</f>
        <v>-2802482.4628152903</v>
      </c>
      <c r="T132" s="15">
        <f ca="1">IF($W132=$W133,-1,DatosHoy[[#This Row],[CT ajus PM]]-Z133)</f>
        <v>-2825167.7813765742</v>
      </c>
      <c r="U132" s="15">
        <f ca="1">IFERROR(IF(DatosHoy[[#This Row],[G ajus PM]]=DatosHoy[[#This Row],[G+V ajus PM]],-1,DatosHoy[[#This Row],[G ajus PM]]-DatosHoy[[#This Row],[G+V ajus PM]]),"")</f>
        <v>-32589.166689030826</v>
      </c>
      <c r="V132" s="15">
        <f ca="1">IFERROR(IF(DatosHoy[[#This Row],[G+V ajus PM]]=DatosHoy[[#This Row],[CT ajus PM]],-1,DatosHoy[[#This Row],[G+V ajus PM]]-DatosHoy[[#This Row],[CT ajus PM]]),"")</f>
        <v>-22762.846794212237</v>
      </c>
      <c r="W132" s="15">
        <v>577</v>
      </c>
      <c r="X132" s="15">
        <f ca="1">IFERROR(IFERROR(VLOOKUP($W132,Regresiones!$T$6:$V$10,2,1)*$W132+VLOOKUP($W132,Regresiones!$T$6:$V$10,3,1),VLOOKUP(MIN(DatosHoy[Puntos]),Regresiones!$T$6:$V$10,2,1)*$W132+VLOOKUP(MIN(DatosHoy[Puntos]),Regresiones!$T$6:$V$10,3,1)),"NO")</f>
        <v>8085950.2104020286</v>
      </c>
      <c r="Y132" s="15">
        <f ca="1">IFERROR(IFERROR(VLOOKUP($W132,Regresiones!$W$6:$Y$10,2,1)*$W132+VLOOKUP($W132,Regresiones!$W$6:$Y$10,3,1),VLOOKUP(MIN(DatosHoy[Puntos]),Regresiones!$W$6:$Y$10,2,1)*$W132+VLOOKUP(MIN(DatosHoy[Puntos]),Regresiones!$W$6:$Y$10,3,1)),"NO")</f>
        <v>8118539.3770910595</v>
      </c>
      <c r="Z132" s="15">
        <f ca="1">IFERROR(IFERROR(VLOOKUP($W132,Regresiones!$Z$6:$AB$10,2,1)*$W132+VLOOKUP($W132,Regresiones!$Z$6:$AB$10,3,1),VLOOKUP(MIN(DatosHoy[Puntos]),Regresiones!$Z$6:$AB$10,2,1)*$W132+VLOOKUP(MIN(DatosHoy[Puntos]),Regresiones!$Z$6:$AB$10,3,1)),"NO")</f>
        <v>8141302.2238852717</v>
      </c>
      <c r="AA132" s="3">
        <f t="shared" ca="1" si="19"/>
        <v>1.1417943646322244</v>
      </c>
    </row>
    <row r="133" spans="2:27" x14ac:dyDescent="0.2">
      <c r="B133" s="1">
        <v>128</v>
      </c>
      <c r="C133" s="15">
        <v>9295693</v>
      </c>
      <c r="D133" s="15">
        <v>9295693</v>
      </c>
      <c r="E133" s="15">
        <v>9295693</v>
      </c>
      <c r="F133" s="1" t="s">
        <v>153</v>
      </c>
      <c r="G133" s="1">
        <v>619</v>
      </c>
      <c r="H133" s="1" t="str">
        <f t="shared" si="24"/>
        <v>$G$133</v>
      </c>
      <c r="I133" s="1" t="str">
        <f t="shared" si="25"/>
        <v>$C$133</v>
      </c>
      <c r="J133" s="1" t="str">
        <f t="shared" si="26"/>
        <v>$D$133</v>
      </c>
      <c r="K133" s="1" t="str">
        <f t="shared" si="27"/>
        <v>$E$133</v>
      </c>
      <c r="L133" s="15">
        <f ca="1">IFERROR(VLOOKUP($G133,Regresiones!$E$6:$I$10,4,1)*$G133+VLOOKUP($G133,Regresiones!$E$6:$I$10,5,1),"")</f>
        <v>10881555.90222672</v>
      </c>
      <c r="M133" s="15">
        <f ca="1">IFERROR(VLOOKUP($G133,Regresiones!$J$6:$N$10,4,1)*$G133+VLOOKUP($G133,Regresiones!$J$6:$N$10,5,1),"")</f>
        <v>10852298.841724716</v>
      </c>
      <c r="N133" s="15">
        <f ca="1">IFERROR(VLOOKUP($G133,Regresiones!$O$6:$S$10,4,1)*$G133+VLOOKUP($G133,Regresiones!$O$6:$S$10,5,1),"")</f>
        <v>10852298.841724716</v>
      </c>
      <c r="O133" s="15">
        <f ca="1">IFERROR(VLOOKUP($G133,Regresiones!$T$6:$V$10,2,1)*$G133+VLOOKUP($G133,Regresiones!$T$6:$V$10,3,1),"")</f>
        <v>8849397.3150587715</v>
      </c>
      <c r="P133" s="15">
        <f ca="1">IFERROR(VLOOKUP($G133,Regresiones!$W$6:$Y$10,2,1)*$G133+VLOOKUP($G133,Regresiones!$W$6:$Y$10,3,1),"")</f>
        <v>8813786.5914887171</v>
      </c>
      <c r="Q133" s="15">
        <f ca="1">IFERROR(VLOOKUP($G133,Regresiones!$Z$6:$AB$10,2,1)*$G133+VLOOKUP($G133,Regresiones!$Z$6:$AB$10,3,1),"")</f>
        <v>8842075.6785451081</v>
      </c>
      <c r="R133" s="15">
        <f>IF($W133=$W134,-1,DatosHoy[[#This Row],[G ajus PM]]-X134)</f>
        <v>-1</v>
      </c>
      <c r="S133" s="15">
        <f>IF($W133=$W134,-1,DatosHoy[[#This Row],[G+V ajus PM]]-Y134)</f>
        <v>-1</v>
      </c>
      <c r="T133" s="15">
        <f>IF($W133=$W134,-1,DatosHoy[[#This Row],[CT ajus PM]]-Z134)</f>
        <v>-1</v>
      </c>
      <c r="U133" s="15">
        <f ca="1">IFERROR(IF(DatosHoy[[#This Row],[G ajus PM]]=DatosHoy[[#This Row],[G+V ajus PM]],-1,DatosHoy[[#This Row],[G ajus PM]]-DatosHoy[[#This Row],[G+V ajus PM]]),"")</f>
        <v>-220629.58108276874</v>
      </c>
      <c r="V133" s="15">
        <f ca="1">IFERROR(IF(DatosHoy[[#This Row],[G+V ajus PM]]=DatosHoy[[#This Row],[CT ajus PM]],-1,DatosHoy[[#This Row],[G+V ajus PM]]-DatosHoy[[#This Row],[CT ajus PM]]),"")</f>
        <v>-45448.165355496109</v>
      </c>
      <c r="W133" s="15">
        <v>663</v>
      </c>
      <c r="X133" s="15">
        <f ca="1">IFERROR(IFERROR(VLOOKUP($W133,Regresiones!$T$6:$V$10,2,1)*$W133+VLOOKUP($W133,Regresiones!$T$6:$V$10,3,1),VLOOKUP(MIN(DatosHoy[Puntos]),Regresiones!$T$6:$V$10,2,1)*$W133+VLOOKUP(MIN(DatosHoy[Puntos]),Regresiones!$T$6:$V$10,3,1)),"NO")</f>
        <v>10700392.258823581</v>
      </c>
      <c r="Y133" s="15">
        <f ca="1">IFERROR(IFERROR(VLOOKUP($W133,Regresiones!$W$6:$Y$10,2,1)*$W133+VLOOKUP($W133,Regresiones!$W$6:$Y$10,3,1),VLOOKUP(MIN(DatosHoy[Puntos]),Regresiones!$W$6:$Y$10,2,1)*$W133+VLOOKUP(MIN(DatosHoy[Puntos]),Regresiones!$W$6:$Y$10,3,1)),"NO")</f>
        <v>10921021.83990635</v>
      </c>
      <c r="Z133" s="15">
        <f ca="1">IFERROR(IFERROR(VLOOKUP($W133,Regresiones!$Z$6:$AB$10,2,1)*$W133+VLOOKUP($W133,Regresiones!$Z$6:$AB$10,3,1),VLOOKUP(MIN(DatosHoy[Puntos]),Regresiones!$Z$6:$AB$10,2,1)*$W133+VLOOKUP(MIN(DatosHoy[Puntos]),Regresiones!$Z$6:$AB$10,3,1)),"NO")</f>
        <v>10966470.005261846</v>
      </c>
      <c r="AA133" s="3">
        <f t="shared" ca="1" si="19"/>
        <v>0.84764678110092062</v>
      </c>
    </row>
    <row r="134" spans="2:27" x14ac:dyDescent="0.2">
      <c r="B134" s="1">
        <v>129</v>
      </c>
      <c r="C134" s="15">
        <v>13526998.32</v>
      </c>
      <c r="D134" s="15">
        <v>13526998.32</v>
      </c>
      <c r="E134" s="15">
        <v>13526998.32</v>
      </c>
      <c r="F134" s="1" t="s">
        <v>154</v>
      </c>
      <c r="G134" s="1">
        <v>625</v>
      </c>
      <c r="H134" s="1" t="str">
        <f t="shared" si="24"/>
        <v>$G$134</v>
      </c>
      <c r="I134" s="1" t="str">
        <f t="shared" si="25"/>
        <v>$C$134</v>
      </c>
      <c r="J134" s="1" t="str">
        <f t="shared" si="26"/>
        <v>$D$134</v>
      </c>
      <c r="K134" s="1" t="str">
        <f t="shared" si="27"/>
        <v>$E$134</v>
      </c>
      <c r="L134" s="15">
        <f ca="1">IFERROR(VLOOKUP($G134,Regresiones!$E$6:$I$10,4,1)*$G134+VLOOKUP($G134,Regresiones!$E$6:$I$10,5,1),"")</f>
        <v>11047331.176753134</v>
      </c>
      <c r="M134" s="15">
        <f ca="1">IFERROR(VLOOKUP($G134,Regresiones!$J$6:$N$10,4,1)*$G134+VLOOKUP($G134,Regresiones!$J$6:$N$10,5,1),"")</f>
        <v>11008508.586313028</v>
      </c>
      <c r="N134" s="15">
        <f ca="1">IFERROR(VLOOKUP($G134,Regresiones!$O$6:$S$10,4,1)*$G134+VLOOKUP($G134,Regresiones!$O$6:$S$10,5,1),"")</f>
        <v>11008508.586313028</v>
      </c>
      <c r="O134" s="15">
        <f ca="1">IFERROR(VLOOKUP($G134,Regresiones!$T$6:$V$10,2,1)*$G134+VLOOKUP($G134,Regresiones!$T$6:$V$10,3,1),"")</f>
        <v>8958461.1871525906</v>
      </c>
      <c r="P134" s="15">
        <f ca="1">IFERROR(VLOOKUP($G134,Regresiones!$W$6:$Y$10,2,1)*$G134+VLOOKUP($G134,Regresiones!$W$6:$Y$10,3,1),"")</f>
        <v>8913107.6221169531</v>
      </c>
      <c r="Q134" s="15">
        <f ca="1">IFERROR(VLOOKUP($G134,Regresiones!$Z$6:$AB$10,2,1)*$G134+VLOOKUP($G134,Regresiones!$Z$6:$AB$10,3,1),"")</f>
        <v>8942186.1720679421</v>
      </c>
      <c r="R134" s="15">
        <f>IF($W134=$W135,-1,DatosHoy[[#This Row],[G ajus PM]]-X135)</f>
        <v>-1</v>
      </c>
      <c r="S134" s="15">
        <f>IF($W134=$W135,-1,DatosHoy[[#This Row],[G+V ajus PM]]-Y135)</f>
        <v>-1</v>
      </c>
      <c r="T134" s="15">
        <f>IF($W134=$W135,-1,DatosHoy[[#This Row],[CT ajus PM]]-Z135)</f>
        <v>-1</v>
      </c>
      <c r="U134" s="15">
        <f ca="1">IFERROR(IF(DatosHoy[[#This Row],[G ajus PM]]=DatosHoy[[#This Row],[G+V ajus PM]],-1,DatosHoy[[#This Row],[G ajus PM]]-DatosHoy[[#This Row],[G+V ajus PM]]),"")</f>
        <v>-220629.58108276874</v>
      </c>
      <c r="V134" s="15">
        <f ca="1">IFERROR(IF(DatosHoy[[#This Row],[G+V ajus PM]]=DatosHoy[[#This Row],[CT ajus PM]],-1,DatosHoy[[#This Row],[G+V ajus PM]]-DatosHoy[[#This Row],[CT ajus PM]]),"")</f>
        <v>-45448.165355496109</v>
      </c>
      <c r="W134" s="15">
        <v>663</v>
      </c>
      <c r="X134" s="15">
        <f ca="1">IFERROR(IFERROR(VLOOKUP($W134,Regresiones!$T$6:$V$10,2,1)*$W134+VLOOKUP($W134,Regresiones!$T$6:$V$10,3,1),VLOOKUP(MIN(DatosHoy[Puntos]),Regresiones!$T$6:$V$10,2,1)*$W134+VLOOKUP(MIN(DatosHoy[Puntos]),Regresiones!$T$6:$V$10,3,1)),"NO")</f>
        <v>10700392.258823581</v>
      </c>
      <c r="Y134" s="15">
        <f ca="1">IFERROR(IFERROR(VLOOKUP($W134,Regresiones!$W$6:$Y$10,2,1)*$W134+VLOOKUP($W134,Regresiones!$W$6:$Y$10,3,1),VLOOKUP(MIN(DatosHoy[Puntos]),Regresiones!$W$6:$Y$10,2,1)*$W134+VLOOKUP(MIN(DatosHoy[Puntos]),Regresiones!$W$6:$Y$10,3,1)),"NO")</f>
        <v>10921021.83990635</v>
      </c>
      <c r="Z134" s="15">
        <f ca="1">IFERROR(IFERROR(VLOOKUP($W134,Regresiones!$Z$6:$AB$10,2,1)*$W134+VLOOKUP($W134,Regresiones!$Z$6:$AB$10,3,1),VLOOKUP(MIN(DatosHoy[Puntos]),Regresiones!$Z$6:$AB$10,2,1)*$W134+VLOOKUP(MIN(DatosHoy[Puntos]),Regresiones!$Z$6:$AB$10,3,1)),"NO")</f>
        <v>10966470.005261846</v>
      </c>
      <c r="AA134" s="3">
        <f t="shared" ref="AA134:AA136" ca="1" si="28">IFERROR(E134/Z134,"NO")</f>
        <v>1.2334870120931878</v>
      </c>
    </row>
    <row r="135" spans="2:27" x14ac:dyDescent="0.2">
      <c r="B135" s="1">
        <v>130</v>
      </c>
      <c r="C135" s="15">
        <v>10253502.380000001</v>
      </c>
      <c r="D135" s="15">
        <v>10253502.380000001</v>
      </c>
      <c r="E135" s="15">
        <v>10253502.380000001</v>
      </c>
      <c r="F135" s="1" t="s">
        <v>155</v>
      </c>
      <c r="G135" s="1">
        <v>632</v>
      </c>
      <c r="H135" s="1" t="str">
        <f t="shared" si="24"/>
        <v>$G$135</v>
      </c>
      <c r="I135" s="1" t="str">
        <f t="shared" si="25"/>
        <v>$C$135</v>
      </c>
      <c r="J135" s="1" t="str">
        <f t="shared" si="26"/>
        <v>$D$135</v>
      </c>
      <c r="K135" s="1" t="str">
        <f t="shared" si="27"/>
        <v>$E$135</v>
      </c>
      <c r="L135" s="15">
        <f ca="1">IFERROR(VLOOKUP($G135,Regresiones!$E$6:$I$10,4,1)*$G135+VLOOKUP($G135,Regresiones!$E$6:$I$10,5,1),"")</f>
        <v>9085702.3712620474</v>
      </c>
      <c r="M135" s="15">
        <f ca="1">IFERROR(VLOOKUP($G135,Regresiones!$J$6:$N$10,4,1)*$G135+VLOOKUP($G135,Regresiones!$J$6:$N$10,5,1),"")</f>
        <v>9028982.1578498967</v>
      </c>
      <c r="N135" s="15">
        <f ca="1">IFERROR(VLOOKUP($G135,Regresiones!$O$6:$S$10,4,1)*$G135+VLOOKUP($G135,Regresiones!$O$6:$S$10,5,1),"")</f>
        <v>9058981.7478445806</v>
      </c>
      <c r="O135" s="15">
        <f ca="1">IFERROR(VLOOKUP($G135,Regresiones!$T$6:$V$10,2,1)*$G135+VLOOKUP($G135,Regresiones!$T$6:$V$10,3,1),"")</f>
        <v>9085702.3712620474</v>
      </c>
      <c r="P135" s="15">
        <f ca="1">IFERROR(VLOOKUP($G135,Regresiones!$W$6:$Y$10,2,1)*$G135+VLOOKUP($G135,Regresiones!$W$6:$Y$10,3,1),"")</f>
        <v>9028982.157849893</v>
      </c>
      <c r="Q135" s="15">
        <f ca="1">IFERROR(VLOOKUP($G135,Regresiones!$Z$6:$AB$10,2,1)*$G135+VLOOKUP($G135,Regresiones!$Z$6:$AB$10,3,1),"")</f>
        <v>9058981.7478445694</v>
      </c>
      <c r="R135" s="15">
        <f>IF($W135=$W136,-1,DatosHoy[[#This Row],[G ajus PM]]-X136)</f>
        <v>-1</v>
      </c>
      <c r="S135" s="15">
        <f>IF($W135=$W136,-1,DatosHoy[[#This Row],[G+V ajus PM]]-Y136)</f>
        <v>-1</v>
      </c>
      <c r="T135" s="15">
        <f>IF($W135=$W136,-1,DatosHoy[[#This Row],[CT ajus PM]]-Z136)</f>
        <v>-1</v>
      </c>
      <c r="U135" s="15">
        <f ca="1">IFERROR(IF(DatosHoy[[#This Row],[G ajus PM]]=DatosHoy[[#This Row],[G+V ajus PM]],-1,DatosHoy[[#This Row],[G ajus PM]]-DatosHoy[[#This Row],[G+V ajus PM]]),"")</f>
        <v>-220629.58108276874</v>
      </c>
      <c r="V135" s="15">
        <f ca="1">IFERROR(IF(DatosHoy[[#This Row],[G+V ajus PM]]=DatosHoy[[#This Row],[CT ajus PM]],-1,DatosHoy[[#This Row],[G+V ajus PM]]-DatosHoy[[#This Row],[CT ajus PM]]),"")</f>
        <v>-45448.165355496109</v>
      </c>
      <c r="W135" s="15">
        <v>663</v>
      </c>
      <c r="X135" s="15">
        <f ca="1">IFERROR(IFERROR(VLOOKUP($W135,Regresiones!$T$6:$V$10,2,1)*$W135+VLOOKUP($W135,Regresiones!$T$6:$V$10,3,1),VLOOKUP(MIN(DatosHoy[Puntos]),Regresiones!$T$6:$V$10,2,1)*$W135+VLOOKUP(MIN(DatosHoy[Puntos]),Regresiones!$T$6:$V$10,3,1)),"NO")</f>
        <v>10700392.258823581</v>
      </c>
      <c r="Y135" s="15">
        <f ca="1">IFERROR(IFERROR(VLOOKUP($W135,Regresiones!$W$6:$Y$10,2,1)*$W135+VLOOKUP($W135,Regresiones!$W$6:$Y$10,3,1),VLOOKUP(MIN(DatosHoy[Puntos]),Regresiones!$W$6:$Y$10,2,1)*$W135+VLOOKUP(MIN(DatosHoy[Puntos]),Regresiones!$W$6:$Y$10,3,1)),"NO")</f>
        <v>10921021.83990635</v>
      </c>
      <c r="Z135" s="15">
        <f ca="1">IFERROR(IFERROR(VLOOKUP($W135,Regresiones!$Z$6:$AB$10,2,1)*$W135+VLOOKUP($W135,Regresiones!$Z$6:$AB$10,3,1),VLOOKUP(MIN(DatosHoy[Puntos]),Regresiones!$Z$6:$AB$10,2,1)*$W135+VLOOKUP(MIN(DatosHoy[Puntos]),Regresiones!$Z$6:$AB$10,3,1)),"NO")</f>
        <v>10966470.005261846</v>
      </c>
      <c r="AA135" s="3">
        <f t="shared" ca="1" si="28"/>
        <v>0.93498658867258522</v>
      </c>
    </row>
    <row r="136" spans="2:27" x14ac:dyDescent="0.2">
      <c r="B136" s="1">
        <v>131</v>
      </c>
      <c r="C136" s="15">
        <v>13526998.32</v>
      </c>
      <c r="D136" s="15">
        <v>13526998.32</v>
      </c>
      <c r="E136" s="15">
        <v>13526998.32</v>
      </c>
      <c r="F136" s="1" t="s">
        <v>156</v>
      </c>
      <c r="G136" s="1">
        <v>633</v>
      </c>
      <c r="H136" s="1" t="str">
        <f t="shared" si="24"/>
        <v>$G$136</v>
      </c>
      <c r="I136" s="1" t="str">
        <f t="shared" si="25"/>
        <v>$C$136</v>
      </c>
      <c r="J136" s="1" t="str">
        <f t="shared" si="26"/>
        <v>$D$136</v>
      </c>
      <c r="K136" s="1" t="str">
        <f t="shared" si="27"/>
        <v>$E$136</v>
      </c>
      <c r="L136" s="15">
        <f ca="1">IFERROR(VLOOKUP($G136,Regresiones!$E$6:$I$10,4,1)*$G136+VLOOKUP($G136,Regresiones!$E$6:$I$10,5,1),"")</f>
        <v>9115605.429422278</v>
      </c>
      <c r="M136" s="15">
        <f ca="1">IFERROR(VLOOKUP($G136,Regresiones!$J$6:$N$10,4,1)*$G136+VLOOKUP($G136,Regresiones!$J$6:$N$10,5,1),"")</f>
        <v>9090015.6959807463</v>
      </c>
      <c r="N136" s="15">
        <f ca="1">IFERROR(VLOOKUP($G136,Regresiones!$O$6:$S$10,4,1)*$G136+VLOOKUP($G136,Regresiones!$O$6:$S$10,5,1),"")</f>
        <v>9120513.6271161102</v>
      </c>
      <c r="O136" s="15">
        <f ca="1">IFERROR(VLOOKUP($G136,Regresiones!$T$6:$V$10,2,1)*$G136+VLOOKUP($G136,Regresiones!$T$6:$V$10,3,1),"")</f>
        <v>9137789.1418285482</v>
      </c>
      <c r="P136" s="15">
        <f ca="1">IFERROR(VLOOKUP($G136,Regresiones!$W$6:$Y$10,2,1)*$G136+VLOOKUP($G136,Regresiones!$W$6:$Y$10,3,1),"")</f>
        <v>9090015.69598075</v>
      </c>
      <c r="Q136" s="15">
        <f ca="1">IFERROR(VLOOKUP($G136,Regresiones!$Z$6:$AB$10,2,1)*$G136+VLOOKUP($G136,Regresiones!$Z$6:$AB$10,3,1),"")</f>
        <v>9120513.627116099</v>
      </c>
      <c r="R136" s="15" t="e">
        <f>IF($W136=#REF!,-1,DatosHoy[[#This Row],[G ajus PM]]-#REF!)</f>
        <v>#REF!</v>
      </c>
      <c r="S136" s="15" t="e">
        <f>IF($W136=#REF!,-1,DatosHoy[[#This Row],[G+V ajus PM]]-#REF!)</f>
        <v>#REF!</v>
      </c>
      <c r="T136" s="15" t="e">
        <f>IF($W136=#REF!,-1,DatosHoy[[#This Row],[CT ajus PM]]-#REF!)</f>
        <v>#REF!</v>
      </c>
      <c r="U136" s="15">
        <f ca="1">IFERROR(IF(DatosHoy[[#This Row],[G ajus PM]]=DatosHoy[[#This Row],[G+V ajus PM]],-1,DatosHoy[[#This Row],[G ajus PM]]-DatosHoy[[#This Row],[G+V ajus PM]]),"")</f>
        <v>-220629.58108276874</v>
      </c>
      <c r="V136" s="15">
        <f ca="1">IFERROR(IF(DatosHoy[[#This Row],[G+V ajus PM]]=DatosHoy[[#This Row],[CT ajus PM]],-1,DatosHoy[[#This Row],[G+V ajus PM]]-DatosHoy[[#This Row],[CT ajus PM]]),"")</f>
        <v>-45448.165355496109</v>
      </c>
      <c r="W136" s="15">
        <v>663</v>
      </c>
      <c r="X136" s="15">
        <f ca="1">IFERROR(IFERROR(VLOOKUP($W136,Regresiones!$T$6:$V$10,2,1)*$W136+VLOOKUP($W136,Regresiones!$T$6:$V$10,3,1),VLOOKUP(MIN(DatosHoy[Puntos]),Regresiones!$T$6:$V$10,2,1)*$W136+VLOOKUP(MIN(DatosHoy[Puntos]),Regresiones!$T$6:$V$10,3,1)),"NO")</f>
        <v>10700392.258823581</v>
      </c>
      <c r="Y136" s="15">
        <f ca="1">IFERROR(IFERROR(VLOOKUP($W136,Regresiones!$W$6:$Y$10,2,1)*$W136+VLOOKUP($W136,Regresiones!$W$6:$Y$10,3,1),VLOOKUP(MIN(DatosHoy[Puntos]),Regresiones!$W$6:$Y$10,2,1)*$W136+VLOOKUP(MIN(DatosHoy[Puntos]),Regresiones!$W$6:$Y$10,3,1)),"NO")</f>
        <v>10921021.83990635</v>
      </c>
      <c r="Z136" s="15">
        <f ca="1">IFERROR(IFERROR(VLOOKUP($W136,Regresiones!$Z$6:$AB$10,2,1)*$W136+VLOOKUP($W136,Regresiones!$Z$6:$AB$10,3,1),VLOOKUP(MIN(DatosHoy[Puntos]),Regresiones!$Z$6:$AB$10,2,1)*$W136+VLOOKUP(MIN(DatosHoy[Puntos]),Regresiones!$Z$6:$AB$10,3,1)),"NO")</f>
        <v>10966470.005261846</v>
      </c>
      <c r="AA136" s="3">
        <f t="shared" ca="1" si="28"/>
        <v>1.2334870120931878</v>
      </c>
    </row>
    <row r="137" spans="2:27" x14ac:dyDescent="0.2">
      <c r="B137" s="1">
        <v>132</v>
      </c>
      <c r="C137" s="15">
        <v>6304597.8600000003</v>
      </c>
      <c r="D137" s="15">
        <v>9363939.8600000013</v>
      </c>
      <c r="E137" s="15">
        <v>9363939.8600000013</v>
      </c>
      <c r="F137" s="1" t="s">
        <v>157</v>
      </c>
      <c r="G137" s="1">
        <v>652</v>
      </c>
      <c r="H137" s="1" t="str">
        <f t="shared" ref="H137:H144" si="29">"$"&amp;"G"&amp;"$"&amp;ROW()</f>
        <v>$G$137</v>
      </c>
      <c r="I137" s="1" t="str">
        <f t="shared" ref="I137:I144" si="30">"$"&amp;"C"&amp;"$"&amp;ROW()</f>
        <v>$C$137</v>
      </c>
      <c r="J137" s="1" t="str">
        <f t="shared" ref="J137:J144" si="31">"$"&amp;"D"&amp;"$"&amp;ROW()</f>
        <v>$D$137</v>
      </c>
      <c r="K137" s="1" t="str">
        <f t="shared" ref="K137:K144" si="32">"$"&amp;"E"&amp;"$"&amp;ROW()</f>
        <v>$E$137</v>
      </c>
      <c r="L137" s="15">
        <f ca="1">IFERROR(VLOOKUP($G137,Regresiones!$E$6:$I$10,4,1)*$G137+VLOOKUP($G137,Regresiones!$E$6:$I$10,5,1),"")</f>
        <v>9683763.5344666913</v>
      </c>
      <c r="M137" s="15">
        <f ca="1">IFERROR(VLOOKUP($G137,Regresiones!$J$6:$N$10,4,1)*$G137+VLOOKUP($G137,Regresiones!$J$6:$N$10,5,1),"")</f>
        <v>10249652.920466956</v>
      </c>
      <c r="N137" s="15">
        <f ca="1">IFERROR(VLOOKUP($G137,Regresiones!$O$6:$S$10,4,1)*$G137+VLOOKUP($G137,Regresiones!$O$6:$S$10,5,1),"")</f>
        <v>10289619.333275083</v>
      </c>
      <c r="O137" s="15">
        <f ca="1">IFERROR(VLOOKUP($G137,Regresiones!$T$6:$V$10,2,1)*$G137+VLOOKUP($G137,Regresiones!$T$6:$V$10,3,1),"")</f>
        <v>10127437.782592066</v>
      </c>
      <c r="P137" s="15">
        <f ca="1">IFERROR(VLOOKUP($G137,Regresiones!$W$6:$Y$10,2,1)*$G137+VLOOKUP($G137,Regresiones!$W$6:$Y$10,3,1),"")</f>
        <v>10249652.920466959</v>
      </c>
      <c r="Q137" s="15">
        <f ca="1">IFERROR(VLOOKUP($G137,Regresiones!$Z$6:$AB$10,2,1)*$G137+VLOOKUP($G137,Regresiones!$Z$6:$AB$10,3,1),"")</f>
        <v>10289619.333275072</v>
      </c>
      <c r="R137" s="15">
        <f>IF($W137=$W138,-1,DatosHoy[[#This Row],[G ajus PM]]-X138)</f>
        <v>-1</v>
      </c>
      <c r="S137" s="15">
        <f>IF($W137=$W138,-1,DatosHoy[[#This Row],[G+V ajus PM]]-Y138)</f>
        <v>-1</v>
      </c>
      <c r="T137" s="15">
        <f>IF($W137=$W138,-1,DatosHoy[[#This Row],[CT ajus PM]]-Z138)</f>
        <v>-1</v>
      </c>
      <c r="U137" s="15">
        <f ca="1">IFERROR(IF(DatosHoy[[#This Row],[G ajus PM]]=DatosHoy[[#This Row],[G+V ajus PM]],-1,DatosHoy[[#This Row],[G ajus PM]]-DatosHoy[[#This Row],[G+V ajus PM]]),"")</f>
        <v>-220629.58108276874</v>
      </c>
      <c r="V137" s="15">
        <f ca="1">IFERROR(IF(DatosHoy[[#This Row],[G+V ajus PM]]=DatosHoy[[#This Row],[CT ajus PM]],-1,DatosHoy[[#This Row],[G+V ajus PM]]-DatosHoy[[#This Row],[CT ajus PM]]),"")</f>
        <v>-45448.165355496109</v>
      </c>
      <c r="W137" s="15">
        <v>663</v>
      </c>
      <c r="X137" s="15">
        <f ca="1">IFERROR(IFERROR(VLOOKUP($W137,Regresiones!$T$6:$V$10,2,1)*$W137+VLOOKUP($W137,Regresiones!$T$6:$V$10,3,1),VLOOKUP(MIN(DatosHoy[Puntos]),Regresiones!$T$6:$V$10,2,1)*$W137+VLOOKUP(MIN(DatosHoy[Puntos]),Regresiones!$T$6:$V$10,3,1)),"NO")</f>
        <v>10700392.258823581</v>
      </c>
      <c r="Y137" s="15">
        <f ca="1">IFERROR(IFERROR(VLOOKUP($W137,Regresiones!$W$6:$Y$10,2,1)*$W137+VLOOKUP($W137,Regresiones!$W$6:$Y$10,3,1),VLOOKUP(MIN(DatosHoy[Puntos]),Regresiones!$W$6:$Y$10,2,1)*$W137+VLOOKUP(MIN(DatosHoy[Puntos]),Regresiones!$W$6:$Y$10,3,1)),"NO")</f>
        <v>10921021.83990635</v>
      </c>
      <c r="Z137" s="15">
        <f ca="1">IFERROR(IFERROR(VLOOKUP($W137,Regresiones!$Z$6:$AB$10,2,1)*$W137+VLOOKUP($W137,Regresiones!$Z$6:$AB$10,3,1),VLOOKUP(MIN(DatosHoy[Puntos]),Regresiones!$Z$6:$AB$10,2,1)*$W137+VLOOKUP(MIN(DatosHoy[Puntos]),Regresiones!$Z$6:$AB$10,3,1)),"NO")</f>
        <v>10966470.005261846</v>
      </c>
      <c r="AA137" s="3">
        <f t="shared" ref="AA137:AA144" ca="1" si="33">IFERROR(E137/Z137,"NO")</f>
        <v>0.85387001063305412</v>
      </c>
    </row>
    <row r="138" spans="2:27" x14ac:dyDescent="0.2">
      <c r="B138" s="1">
        <v>133</v>
      </c>
      <c r="C138" s="15">
        <v>11766700.000000002</v>
      </c>
      <c r="D138" s="15">
        <v>11766700.000000002</v>
      </c>
      <c r="E138" s="15">
        <v>11766700.000000002</v>
      </c>
      <c r="F138" s="1" t="s">
        <v>158</v>
      </c>
      <c r="G138" s="1">
        <v>655</v>
      </c>
      <c r="H138" s="1" t="str">
        <f t="shared" si="29"/>
        <v>$G$138</v>
      </c>
      <c r="I138" s="1" t="str">
        <f t="shared" si="30"/>
        <v>$C$138</v>
      </c>
      <c r="J138" s="1" t="str">
        <f t="shared" si="31"/>
        <v>$D$138</v>
      </c>
      <c r="K138" s="1" t="str">
        <f t="shared" si="32"/>
        <v>$E$138</v>
      </c>
      <c r="L138" s="15">
        <f ca="1">IFERROR(VLOOKUP($G138,Regresiones!$E$6:$I$10,4,1)*$G138+VLOOKUP($G138,Regresiones!$E$6:$I$10,5,1),"")</f>
        <v>9773472.7089473903</v>
      </c>
      <c r="M138" s="15">
        <f ca="1">IFERROR(VLOOKUP($G138,Regresiones!$J$6:$N$10,4,1)*$G138+VLOOKUP($G138,Regresiones!$J$6:$N$10,5,1),"")</f>
        <v>10432753.534859519</v>
      </c>
      <c r="N138" s="15">
        <f ca="1">IFERROR(VLOOKUP($G138,Regresiones!$O$6:$S$10,4,1)*$G138+VLOOKUP($G138,Regresiones!$O$6:$S$10,5,1),"")</f>
        <v>10474214.971089657</v>
      </c>
      <c r="O138" s="15">
        <f ca="1">IFERROR(VLOOKUP($G138,Regresiones!$T$6:$V$10,2,1)*$G138+VLOOKUP($G138,Regresiones!$T$6:$V$10,3,1),"")</f>
        <v>10283698.094291575</v>
      </c>
      <c r="P138" s="15">
        <f ca="1">IFERROR(VLOOKUP($G138,Regresiones!$W$6:$Y$10,2,1)*$G138+VLOOKUP($G138,Regresiones!$W$6:$Y$10,3,1),"")</f>
        <v>10432753.534859523</v>
      </c>
      <c r="Q138" s="15">
        <f ca="1">IFERROR(VLOOKUP($G138,Regresiones!$Z$6:$AB$10,2,1)*$G138+VLOOKUP($G138,Regresiones!$Z$6:$AB$10,3,1),"")</f>
        <v>10474214.971089646</v>
      </c>
      <c r="R138" s="15">
        <f>IF($W138=$W139,-1,DatosHoy[[#This Row],[G ajus PM]]-X139)</f>
        <v>-1</v>
      </c>
      <c r="S138" s="15">
        <f>IF($W138=$W139,-1,DatosHoy[[#This Row],[G+V ajus PM]]-Y139)</f>
        <v>-1</v>
      </c>
      <c r="T138" s="15">
        <f>IF($W138=$W139,-1,DatosHoy[[#This Row],[CT ajus PM]]-Z139)</f>
        <v>-1</v>
      </c>
      <c r="U138" s="15">
        <f ca="1">IFERROR(IF(DatosHoy[[#This Row],[G ajus PM]]=DatosHoy[[#This Row],[G+V ajus PM]],-1,DatosHoy[[#This Row],[G ajus PM]]-DatosHoy[[#This Row],[G+V ajus PM]]),"")</f>
        <v>-220629.58108276874</v>
      </c>
      <c r="V138" s="15">
        <f ca="1">IFERROR(IF(DatosHoy[[#This Row],[G+V ajus PM]]=DatosHoy[[#This Row],[CT ajus PM]],-1,DatosHoy[[#This Row],[G+V ajus PM]]-DatosHoy[[#This Row],[CT ajus PM]]),"")</f>
        <v>-45448.165355496109</v>
      </c>
      <c r="W138" s="15">
        <v>663</v>
      </c>
      <c r="X138" s="15">
        <f ca="1">IFERROR(IFERROR(VLOOKUP($W138,Regresiones!$T$6:$V$10,2,1)*$W138+VLOOKUP($W138,Regresiones!$T$6:$V$10,3,1),VLOOKUP(MIN(DatosHoy[Puntos]),Regresiones!$T$6:$V$10,2,1)*$W138+VLOOKUP(MIN(DatosHoy[Puntos]),Regresiones!$T$6:$V$10,3,1)),"NO")</f>
        <v>10700392.258823581</v>
      </c>
      <c r="Y138" s="15">
        <f ca="1">IFERROR(IFERROR(VLOOKUP($W138,Regresiones!$W$6:$Y$10,2,1)*$W138+VLOOKUP($W138,Regresiones!$W$6:$Y$10,3,1),VLOOKUP(MIN(DatosHoy[Puntos]),Regresiones!$W$6:$Y$10,2,1)*$W138+VLOOKUP(MIN(DatosHoy[Puntos]),Regresiones!$W$6:$Y$10,3,1)),"NO")</f>
        <v>10921021.83990635</v>
      </c>
      <c r="Z138" s="15">
        <f ca="1">IFERROR(IFERROR(VLOOKUP($W138,Regresiones!$Z$6:$AB$10,2,1)*$W138+VLOOKUP($W138,Regresiones!$Z$6:$AB$10,3,1),VLOOKUP(MIN(DatosHoy[Puntos]),Regresiones!$Z$6:$AB$10,2,1)*$W138+VLOOKUP(MIN(DatosHoy[Puntos]),Regresiones!$Z$6:$AB$10,3,1)),"NO")</f>
        <v>10966470.005261846</v>
      </c>
      <c r="AA138" s="3">
        <f t="shared" ca="1" si="33"/>
        <v>1.0729706089885074</v>
      </c>
    </row>
    <row r="139" spans="2:27" x14ac:dyDescent="0.2">
      <c r="B139" s="1">
        <v>134</v>
      </c>
      <c r="C139" s="15">
        <v>7427141.040000001</v>
      </c>
      <c r="D139" s="15">
        <v>12133821.040000001</v>
      </c>
      <c r="E139" s="15">
        <v>12133821.040000001</v>
      </c>
      <c r="F139" s="1" t="s">
        <v>159</v>
      </c>
      <c r="G139" s="1">
        <v>666</v>
      </c>
      <c r="H139" s="1" t="str">
        <f t="shared" si="29"/>
        <v>$G$139</v>
      </c>
      <c r="I139" s="1" t="str">
        <f t="shared" si="30"/>
        <v>$C$139</v>
      </c>
      <c r="J139" s="1" t="str">
        <f t="shared" si="31"/>
        <v>$D$139</v>
      </c>
      <c r="K139" s="1" t="str">
        <f t="shared" si="32"/>
        <v>$E$139</v>
      </c>
      <c r="L139" s="15">
        <f ca="1">IFERROR(VLOOKUP($G139,Regresiones!$E$6:$I$10,4,1)*$G139+VLOOKUP($G139,Regresiones!$E$6:$I$10,5,1),"")</f>
        <v>10102406.348709945</v>
      </c>
      <c r="M139" s="15">
        <f ca="1">IFERROR(VLOOKUP($G139,Regresiones!$J$6:$N$10,4,1)*$G139+VLOOKUP($G139,Regresiones!$J$6:$N$10,5,1),"")</f>
        <v>11104122.454298902</v>
      </c>
      <c r="N139" s="15">
        <f ca="1">IFERROR(VLOOKUP($G139,Regresiones!$O$6:$S$10,4,1)*$G139+VLOOKUP($G139,Regresiones!$O$6:$S$10,5,1),"")</f>
        <v>11151065.643076431</v>
      </c>
      <c r="O139" s="15">
        <f ca="1">IFERROR(VLOOKUP($G139,Regresiones!$T$6:$V$10,2,1)*$G139+VLOOKUP($G139,Regresiones!$T$6:$V$10,3,1),"")</f>
        <v>10856652.570523083</v>
      </c>
      <c r="P139" s="15">
        <f ca="1">IFERROR(VLOOKUP($G139,Regresiones!$W$6:$Y$10,2,1)*$G139+VLOOKUP($G139,Regresiones!$W$6:$Y$10,3,1),"")</f>
        <v>11104122.454298906</v>
      </c>
      <c r="Q139" s="15">
        <f ca="1">IFERROR(VLOOKUP($G139,Regresiones!$Z$6:$AB$10,2,1)*$G139+VLOOKUP($G139,Regresiones!$Z$6:$AB$10,3,1),"")</f>
        <v>11151065.64307642</v>
      </c>
      <c r="R139" s="15">
        <f>IF($W139=$W140,-1,DatosHoy[[#This Row],[G ajus PM]]-X140)</f>
        <v>-1</v>
      </c>
      <c r="S139" s="15">
        <f>IF($W139=$W140,-1,DatosHoy[[#This Row],[G+V ajus PM]]-Y140)</f>
        <v>-1</v>
      </c>
      <c r="T139" s="15">
        <f>IF($W139=$W140,-1,DatosHoy[[#This Row],[CT ajus PM]]-Z140)</f>
        <v>-1</v>
      </c>
      <c r="U139" s="15">
        <f ca="1">IFERROR(IF(DatosHoy[[#This Row],[G ajus PM]]=DatosHoy[[#This Row],[G+V ajus PM]],-1,DatosHoy[[#This Row],[G ajus PM]]-DatosHoy[[#This Row],[G+V ajus PM]]),"")</f>
        <v>-220629.58108276874</v>
      </c>
      <c r="V139" s="15">
        <f ca="1">IFERROR(IF(DatosHoy[[#This Row],[G+V ajus PM]]=DatosHoy[[#This Row],[CT ajus PM]],-1,DatosHoy[[#This Row],[G+V ajus PM]]-DatosHoy[[#This Row],[CT ajus PM]]),"")</f>
        <v>-45448.165355496109</v>
      </c>
      <c r="W139" s="15">
        <v>663</v>
      </c>
      <c r="X139" s="15">
        <f ca="1">IFERROR(IFERROR(VLOOKUP($W139,Regresiones!$T$6:$V$10,2,1)*$W139+VLOOKUP($W139,Regresiones!$T$6:$V$10,3,1),VLOOKUP(MIN(DatosHoy[Puntos]),Regresiones!$T$6:$V$10,2,1)*$W139+VLOOKUP(MIN(DatosHoy[Puntos]),Regresiones!$T$6:$V$10,3,1)),"NO")</f>
        <v>10700392.258823581</v>
      </c>
      <c r="Y139" s="15">
        <f ca="1">IFERROR(IFERROR(VLOOKUP($W139,Regresiones!$W$6:$Y$10,2,1)*$W139+VLOOKUP($W139,Regresiones!$W$6:$Y$10,3,1),VLOOKUP(MIN(DatosHoy[Puntos]),Regresiones!$W$6:$Y$10,2,1)*$W139+VLOOKUP(MIN(DatosHoy[Puntos]),Regresiones!$W$6:$Y$10,3,1)),"NO")</f>
        <v>10921021.83990635</v>
      </c>
      <c r="Z139" s="15">
        <f ca="1">IFERROR(IFERROR(VLOOKUP($W139,Regresiones!$Z$6:$AB$10,2,1)*$W139+VLOOKUP($W139,Regresiones!$Z$6:$AB$10,3,1),VLOOKUP(MIN(DatosHoy[Puntos]),Regresiones!$Z$6:$AB$10,2,1)*$W139+VLOOKUP(MIN(DatosHoy[Puntos]),Regresiones!$Z$6:$AB$10,3,1)),"NO")</f>
        <v>10966470.005261846</v>
      </c>
      <c r="AA139" s="3">
        <f t="shared" ca="1" si="33"/>
        <v>1.1064472919889488</v>
      </c>
    </row>
    <row r="140" spans="2:27" x14ac:dyDescent="0.2">
      <c r="B140" s="1">
        <v>135</v>
      </c>
      <c r="C140" s="15">
        <v>5203234.74</v>
      </c>
      <c r="D140" s="15">
        <v>8450843.9400000013</v>
      </c>
      <c r="E140" s="15">
        <v>8450843.9400000013</v>
      </c>
      <c r="F140" s="1" t="s">
        <v>159</v>
      </c>
      <c r="G140" s="1">
        <v>666</v>
      </c>
      <c r="H140" s="1" t="str">
        <f t="shared" si="29"/>
        <v>$G$140</v>
      </c>
      <c r="I140" s="1" t="str">
        <f t="shared" si="30"/>
        <v>$C$140</v>
      </c>
      <c r="J140" s="1" t="str">
        <f t="shared" si="31"/>
        <v>$D$140</v>
      </c>
      <c r="K140" s="1" t="str">
        <f t="shared" si="32"/>
        <v>$E$140</v>
      </c>
      <c r="L140" s="15">
        <f ca="1">IFERROR(VLOOKUP($G140,Regresiones!$E$6:$I$10,4,1)*$G140+VLOOKUP($G140,Regresiones!$E$6:$I$10,5,1),"")</f>
        <v>10102406.348709945</v>
      </c>
      <c r="M140" s="15">
        <f ca="1">IFERROR(VLOOKUP($G140,Regresiones!$J$6:$N$10,4,1)*$G140+VLOOKUP($G140,Regresiones!$J$6:$N$10,5,1),"")</f>
        <v>11104122.454298902</v>
      </c>
      <c r="N140" s="15">
        <f ca="1">IFERROR(VLOOKUP($G140,Regresiones!$O$6:$S$10,4,1)*$G140+VLOOKUP($G140,Regresiones!$O$6:$S$10,5,1),"")</f>
        <v>11151065.643076431</v>
      </c>
      <c r="O140" s="15">
        <f ca="1">IFERROR(VLOOKUP($G140,Regresiones!$T$6:$V$10,2,1)*$G140+VLOOKUP($G140,Regresiones!$T$6:$V$10,3,1),"")</f>
        <v>10856652.570523083</v>
      </c>
      <c r="P140" s="15">
        <f ca="1">IFERROR(VLOOKUP($G140,Regresiones!$W$6:$Y$10,2,1)*$G140+VLOOKUP($G140,Regresiones!$W$6:$Y$10,3,1),"")</f>
        <v>11104122.454298906</v>
      </c>
      <c r="Q140" s="15">
        <f ca="1">IFERROR(VLOOKUP($G140,Regresiones!$Z$6:$AB$10,2,1)*$G140+VLOOKUP($G140,Regresiones!$Z$6:$AB$10,3,1),"")</f>
        <v>11151065.64307642</v>
      </c>
      <c r="R140" s="15">
        <f ca="1">IF($W140=$W141,-1,DatosHoy[[#This Row],[G ajus PM]]-X141)</f>
        <v>-5156590.2860836014</v>
      </c>
      <c r="S140" s="15">
        <f ca="1">IF($W140=$W141,-1,DatosHoy[[#This Row],[G+V ajus PM]]-Y141)</f>
        <v>-6042320.2749544755</v>
      </c>
      <c r="T140" s="15">
        <f ca="1">IF($W140=$W141,-1,DatosHoy[[#This Row],[CT ajus PM]]-Z141)</f>
        <v>-6091656.0478809774</v>
      </c>
      <c r="U140" s="15">
        <f ca="1">IFERROR(IF(DatosHoy[[#This Row],[G ajus PM]]=DatosHoy[[#This Row],[G+V ajus PM]],-1,DatosHoy[[#This Row],[G ajus PM]]-DatosHoy[[#This Row],[G+V ajus PM]]),"")</f>
        <v>-220629.58108276874</v>
      </c>
      <c r="V140" s="15">
        <f ca="1">IFERROR(IF(DatosHoy[[#This Row],[G+V ajus PM]]=DatosHoy[[#This Row],[CT ajus PM]],-1,DatosHoy[[#This Row],[G+V ajus PM]]-DatosHoy[[#This Row],[CT ajus PM]]),"")</f>
        <v>-45448.165355496109</v>
      </c>
      <c r="W140" s="15">
        <v>663</v>
      </c>
      <c r="X140" s="15">
        <f ca="1">IFERROR(IFERROR(VLOOKUP($W140,Regresiones!$T$6:$V$10,2,1)*$W140+VLOOKUP($W140,Regresiones!$T$6:$V$10,3,1),VLOOKUP(MIN(DatosHoy[Puntos]),Regresiones!$T$6:$V$10,2,1)*$W140+VLOOKUP(MIN(DatosHoy[Puntos]),Regresiones!$T$6:$V$10,3,1)),"NO")</f>
        <v>10700392.258823581</v>
      </c>
      <c r="Y140" s="15">
        <f ca="1">IFERROR(IFERROR(VLOOKUP($W140,Regresiones!$W$6:$Y$10,2,1)*$W140+VLOOKUP($W140,Regresiones!$W$6:$Y$10,3,1),VLOOKUP(MIN(DatosHoy[Puntos]),Regresiones!$W$6:$Y$10,2,1)*$W140+VLOOKUP(MIN(DatosHoy[Puntos]),Regresiones!$W$6:$Y$10,3,1)),"NO")</f>
        <v>10921021.83990635</v>
      </c>
      <c r="Z140" s="15">
        <f ca="1">IFERROR(IFERROR(VLOOKUP($W140,Regresiones!$Z$6:$AB$10,2,1)*$W140+VLOOKUP($W140,Regresiones!$Z$6:$AB$10,3,1),VLOOKUP(MIN(DatosHoy[Puntos]),Regresiones!$Z$6:$AB$10,2,1)*$W140+VLOOKUP(MIN(DatosHoy[Puntos]),Regresiones!$Z$6:$AB$10,3,1)),"NO")</f>
        <v>10966470.005261846</v>
      </c>
      <c r="AA140" s="3">
        <f t="shared" ca="1" si="33"/>
        <v>0.77060749137554596</v>
      </c>
    </row>
    <row r="141" spans="2:27" x14ac:dyDescent="0.2">
      <c r="B141" s="1">
        <v>136</v>
      </c>
      <c r="C141" s="15">
        <v>16233339.320000002</v>
      </c>
      <c r="D141" s="15">
        <v>16233339.320000002</v>
      </c>
      <c r="E141" s="15">
        <v>16233339.320000002</v>
      </c>
      <c r="F141" s="1" t="s">
        <v>160</v>
      </c>
      <c r="G141" s="1">
        <v>805</v>
      </c>
      <c r="H141" s="1" t="str">
        <f t="shared" si="29"/>
        <v>$G$141</v>
      </c>
      <c r="I141" s="1" t="str">
        <f t="shared" si="30"/>
        <v>$C$141</v>
      </c>
      <c r="J141" s="1" t="str">
        <f t="shared" si="31"/>
        <v>$D$141</v>
      </c>
      <c r="K141" s="1" t="str">
        <f t="shared" si="32"/>
        <v>$E$141</v>
      </c>
      <c r="L141" s="15">
        <f ca="1">IFERROR(VLOOKUP($G141,Regresiones!$E$6:$I$10,4,1)*$G141+VLOOKUP($G141,Regresiones!$E$6:$I$10,5,1),"")</f>
        <v>14258931.432982232</v>
      </c>
      <c r="M141" s="15">
        <f ca="1">IFERROR(VLOOKUP($G141,Regresiones!$J$6:$N$10,4,1)*$G141+VLOOKUP($G141,Regresiones!$J$6:$N$10,5,1),"")</f>
        <v>19587784.254487511</v>
      </c>
      <c r="N141" s="15">
        <f ca="1">IFERROR(VLOOKUP($G141,Regresiones!$O$6:$S$10,4,1)*$G141+VLOOKUP($G141,Regresiones!$O$6:$S$10,5,1),"")</f>
        <v>19703996.861818407</v>
      </c>
      <c r="O141" s="15">
        <f ca="1">IFERROR(VLOOKUP($G141,Regresiones!$T$6:$V$10,2,1)*$G141+VLOOKUP($G141,Regresiones!$T$6:$V$10,3,1),"")</f>
        <v>18096713.679266728</v>
      </c>
      <c r="P141" s="15">
        <f ca="1">IFERROR(VLOOKUP($G141,Regresiones!$W$6:$Y$10,2,1)*$G141+VLOOKUP($G141,Regresiones!$W$6:$Y$10,3,1),"")</f>
        <v>19587784.254487514</v>
      </c>
      <c r="Q141" s="15">
        <f ca="1">IFERROR(VLOOKUP($G141,Regresiones!$Z$6:$AB$10,2,1)*$G141+VLOOKUP($G141,Regresiones!$Z$6:$AB$10,3,1),"")</f>
        <v>19703996.861818403</v>
      </c>
      <c r="R141" s="15">
        <f ca="1">IF($W141=$W142,-1,DatosHoy[[#This Row],[G ajus PM]]-X142)</f>
        <v>-12761258.788792752</v>
      </c>
      <c r="S141" s="15">
        <f ca="1">IF($W141=$W142,-1,DatosHoy[[#This Row],[G+V ajus PM]]-Y142)</f>
        <v>-14953216.842059053</v>
      </c>
      <c r="T141" s="15">
        <f ca="1">IF($W141=$W142,-1,DatosHoy[[#This Row],[CT ajus PM]]-Z142)</f>
        <v>-15075310.421523631</v>
      </c>
      <c r="U141" s="15">
        <f ca="1">IFERROR(IF(DatosHoy[[#This Row],[G ajus PM]]=DatosHoy[[#This Row],[G+V ajus PM]],-1,DatosHoy[[#This Row],[G ajus PM]]-DatosHoy[[#This Row],[G+V ajus PM]]),"")</f>
        <v>-1106359.5699536428</v>
      </c>
      <c r="V141" s="15">
        <f ca="1">IFERROR(IF(DatosHoy[[#This Row],[G+V ajus PM]]=DatosHoy[[#This Row],[CT ajus PM]],-1,DatosHoy[[#This Row],[G+V ajus PM]]-DatosHoy[[#This Row],[CT ajus PM]]),"")</f>
        <v>-94783.938281998038</v>
      </c>
      <c r="W141" s="15">
        <v>762</v>
      </c>
      <c r="X141" s="15">
        <f ca="1">IFERROR(IFERROR(VLOOKUP($W141,Regresiones!$T$6:$V$10,2,1)*$W141+VLOOKUP($W141,Regresiones!$T$6:$V$10,3,1),VLOOKUP(MIN(DatosHoy[Puntos]),Regresiones!$T$6:$V$10,2,1)*$W141+VLOOKUP(MIN(DatosHoy[Puntos]),Regresiones!$T$6:$V$10,3,1)),"NO")</f>
        <v>15856982.544907182</v>
      </c>
      <c r="Y141" s="15">
        <f ca="1">IFERROR(IFERROR(VLOOKUP($W141,Regresiones!$W$6:$Y$10,2,1)*$W141+VLOOKUP($W141,Regresiones!$W$6:$Y$10,3,1),VLOOKUP(MIN(DatosHoy[Puntos]),Regresiones!$W$6:$Y$10,2,1)*$W141+VLOOKUP(MIN(DatosHoy[Puntos]),Regresiones!$W$6:$Y$10,3,1)),"NO")</f>
        <v>16963342.114860825</v>
      </c>
      <c r="Z141" s="15">
        <f ca="1">IFERROR(IFERROR(VLOOKUP($W141,Regresiones!$Z$6:$AB$10,2,1)*$W141+VLOOKUP($W141,Regresiones!$Z$6:$AB$10,3,1),VLOOKUP(MIN(DatosHoy[Puntos]),Regresiones!$Z$6:$AB$10,2,1)*$W141+VLOOKUP(MIN(DatosHoy[Puntos]),Regresiones!$Z$6:$AB$10,3,1)),"NO")</f>
        <v>17058126.053142823</v>
      </c>
      <c r="AA141" s="3">
        <f t="shared" ca="1" si="33"/>
        <v>0.95164845595739633</v>
      </c>
    </row>
    <row r="142" spans="2:27" x14ac:dyDescent="0.2">
      <c r="B142" s="1">
        <v>137</v>
      </c>
      <c r="C142" s="15">
        <v>20579917</v>
      </c>
      <c r="D142" s="15">
        <v>30950076</v>
      </c>
      <c r="E142" s="15">
        <v>31500076</v>
      </c>
      <c r="F142" s="1" t="s">
        <v>161</v>
      </c>
      <c r="G142" s="1">
        <v>1025</v>
      </c>
      <c r="H142" s="1" t="str">
        <f t="shared" si="29"/>
        <v>$G$142</v>
      </c>
      <c r="I142" s="1" t="str">
        <f t="shared" si="30"/>
        <v>$C$142</v>
      </c>
      <c r="J142" s="1" t="str">
        <f t="shared" si="31"/>
        <v>$D$142</v>
      </c>
      <c r="K142" s="1" t="str">
        <f t="shared" si="32"/>
        <v>$E$142</v>
      </c>
      <c r="L142" s="15">
        <f ca="1">IFERROR(VLOOKUP($G142,Regresiones!$E$6:$I$10,4,1)*$G142+VLOOKUP($G142,Regresiones!$E$6:$I$10,5,1),"")</f>
        <v>20837604.228233337</v>
      </c>
      <c r="M142" s="15">
        <f ca="1">IFERROR(VLOOKUP($G142,Regresiones!$J$6:$N$10,4,1)*$G142+VLOOKUP($G142,Regresiones!$J$6:$N$10,5,1),"")</f>
        <v>33015162.643275235</v>
      </c>
      <c r="N142" s="15">
        <f ca="1">IFERROR(VLOOKUP($G142,Regresiones!$O$6:$S$10,4,1)*$G142+VLOOKUP($G142,Regresiones!$O$6:$S$10,5,1),"")</f>
        <v>33241010.301553909</v>
      </c>
      <c r="O142" s="15">
        <f ca="1">IFERROR(VLOOKUP($G142,Regresiones!$T$6:$V$10,2,1)*$G142+VLOOKUP($G142,Regresiones!$T$6:$V$10,3,1),"")</f>
        <v>29555803.203896955</v>
      </c>
      <c r="P142" s="15">
        <f ca="1">IFERROR(VLOOKUP($G142,Regresiones!$W$6:$Y$10,2,1)*$G142+VLOOKUP($G142,Regresiones!$W$6:$Y$10,3,1),"")</f>
        <v>33015162.643275231</v>
      </c>
      <c r="Q142" s="15">
        <f ca="1">IFERROR(VLOOKUP($G142,Regresiones!$Z$6:$AB$10,2,1)*$G142+VLOOKUP($G142,Regresiones!$Z$6:$AB$10,3,1),"")</f>
        <v>33241010.301553905</v>
      </c>
      <c r="R142" s="15">
        <f>IF($W142=$W143,-1,DatosHoy[[#This Row],[G ajus PM]]-X143)</f>
        <v>-1</v>
      </c>
      <c r="S142" s="15">
        <f>IF($W142=$W143,-1,DatosHoy[[#This Row],[G+V ajus PM]]-Y143)</f>
        <v>-1</v>
      </c>
      <c r="T142" s="15">
        <f>IF($W142=$W143,-1,DatosHoy[[#This Row],[CT ajus PM]]-Z143)</f>
        <v>-1</v>
      </c>
      <c r="U142" s="15">
        <f ca="1">IFERROR(IF(DatosHoy[[#This Row],[G ajus PM]]=DatosHoy[[#This Row],[G+V ajus PM]],-1,DatosHoy[[#This Row],[G ajus PM]]-DatosHoy[[#This Row],[G+V ajus PM]]),"")</f>
        <v>-3298317.6232199445</v>
      </c>
      <c r="V142" s="15">
        <f ca="1">IFERROR(IF(DatosHoy[[#This Row],[G+V ajus PM]]=DatosHoy[[#This Row],[CT ajus PM]],-1,DatosHoy[[#This Row],[G+V ajus PM]]-DatosHoy[[#This Row],[CT ajus PM]]),"")</f>
        <v>-216877.51774657518</v>
      </c>
      <c r="W142" s="15">
        <v>1007</v>
      </c>
      <c r="X142" s="15">
        <f ca="1">IFERROR(IFERROR(VLOOKUP($W142,Regresiones!$T$6:$V$10,2,1)*$W142+VLOOKUP($W142,Regresiones!$T$6:$V$10,3,1),VLOOKUP(MIN(DatosHoy[Puntos]),Regresiones!$T$6:$V$10,2,1)*$W142+VLOOKUP(MIN(DatosHoy[Puntos]),Regresiones!$T$6:$V$10,3,1)),"NO")</f>
        <v>28618241.333699934</v>
      </c>
      <c r="Y142" s="15">
        <f ca="1">IFERROR(IFERROR(VLOOKUP($W142,Regresiones!$W$6:$Y$10,2,1)*$W142+VLOOKUP($W142,Regresiones!$W$6:$Y$10,3,1),VLOOKUP(MIN(DatosHoy[Puntos]),Regresiones!$W$6:$Y$10,2,1)*$W142+VLOOKUP(MIN(DatosHoy[Puntos]),Regresiones!$W$6:$Y$10,3,1)),"NO")</f>
        <v>31916558.956919879</v>
      </c>
      <c r="Z142" s="15">
        <f ca="1">IFERROR(IFERROR(VLOOKUP($W142,Regresiones!$Z$6:$AB$10,2,1)*$W142+VLOOKUP($W142,Regresiones!$Z$6:$AB$10,3,1),VLOOKUP(MIN(DatosHoy[Puntos]),Regresiones!$Z$6:$AB$10,2,1)*$W142+VLOOKUP(MIN(DatosHoy[Puntos]),Regresiones!$Z$6:$AB$10,3,1)),"NO")</f>
        <v>32133436.474666454</v>
      </c>
      <c r="AA142" s="3">
        <f t="shared" ca="1" si="33"/>
        <v>0.98028967505029263</v>
      </c>
    </row>
    <row r="143" spans="2:27" x14ac:dyDescent="0.2">
      <c r="B143" s="1">
        <v>138</v>
      </c>
      <c r="C143" s="15">
        <v>25412333</v>
      </c>
      <c r="D143" s="15">
        <v>31834025</v>
      </c>
      <c r="E143" s="15">
        <v>32484025</v>
      </c>
      <c r="F143" s="1" t="s">
        <v>162</v>
      </c>
      <c r="G143" s="1">
        <v>1048</v>
      </c>
      <c r="H143" s="1" t="str">
        <f t="shared" si="29"/>
        <v>$G$143</v>
      </c>
      <c r="I143" s="1" t="str">
        <f t="shared" si="30"/>
        <v>$C$143</v>
      </c>
      <c r="J143" s="1" t="str">
        <f t="shared" si="31"/>
        <v>$D$143</v>
      </c>
      <c r="K143" s="1" t="str">
        <f t="shared" si="32"/>
        <v>$E$143</v>
      </c>
      <c r="L143" s="15">
        <f ca="1">IFERROR(VLOOKUP($G143,Regresiones!$E$6:$I$10,4,1)*$G143+VLOOKUP($G143,Regresiones!$E$6:$I$10,5,1),"")</f>
        <v>21525374.56591868</v>
      </c>
      <c r="M143" s="15">
        <f ca="1">IFERROR(VLOOKUP($G143,Regresiones!$J$6:$N$10,4,1)*$G143+VLOOKUP($G143,Regresiones!$J$6:$N$10,5,1),"")</f>
        <v>34418934.020284861</v>
      </c>
      <c r="N143" s="15">
        <f ca="1">IFERROR(VLOOKUP($G143,Regresiones!$O$6:$S$10,4,1)*$G143+VLOOKUP($G143,Regresiones!$O$6:$S$10,5,1),"")</f>
        <v>34656243.524798989</v>
      </c>
      <c r="O143" s="15">
        <f ca="1">IFERROR(VLOOKUP($G143,Regresiones!$T$6:$V$10,2,1)*$G143+VLOOKUP($G143,Regresiones!$T$6:$V$10,3,1),"")</f>
        <v>30753798.926926479</v>
      </c>
      <c r="P143" s="15">
        <f ca="1">IFERROR(VLOOKUP($G143,Regresiones!$W$6:$Y$10,2,1)*$G143+VLOOKUP($G143,Regresiones!$W$6:$Y$10,3,1),"")</f>
        <v>34418934.020284861</v>
      </c>
      <c r="Q143" s="15">
        <f ca="1">IFERROR(VLOOKUP($G143,Regresiones!$Z$6:$AB$10,2,1)*$G143+VLOOKUP($G143,Regresiones!$Z$6:$AB$10,3,1),"")</f>
        <v>34656243.524798982</v>
      </c>
      <c r="R143" s="15">
        <f ca="1">IF($W143=$W144,-1,DatosHoy[[#This Row],[G ajus PM]]-X144)</f>
        <v>-16876113.663546331</v>
      </c>
      <c r="S143" s="15">
        <f ca="1">IF($W143=$W144,-1,DatosHoy[[#This Row],[G+V ajus PM]]-Y144)</f>
        <v>-19774866.354396462</v>
      </c>
      <c r="T143" s="15">
        <f ca="1">IF($W143=$W144,-1,DatosHoy[[#This Row],[CT ajus PM]]-Z144)</f>
        <v>-19936328.883974113</v>
      </c>
      <c r="U143" s="15">
        <f ca="1">IFERROR(IF(DatosHoy[[#This Row],[G ajus PM]]=DatosHoy[[#This Row],[G+V ajus PM]],-1,DatosHoy[[#This Row],[G ajus PM]]-DatosHoy[[#This Row],[G+V ajus PM]]),"")</f>
        <v>-3298317.6232199445</v>
      </c>
      <c r="V143" s="15">
        <f ca="1">IFERROR(IF(DatosHoy[[#This Row],[G+V ajus PM]]=DatosHoy[[#This Row],[CT ajus PM]],-1,DatosHoy[[#This Row],[G+V ajus PM]]-DatosHoy[[#This Row],[CT ajus PM]]),"")</f>
        <v>-216877.51774657518</v>
      </c>
      <c r="W143" s="15">
        <v>1007</v>
      </c>
      <c r="X143" s="15">
        <f ca="1">IFERROR(IFERROR(VLOOKUP($W143,Regresiones!$T$6:$V$10,2,1)*$W143+VLOOKUP($W143,Regresiones!$T$6:$V$10,3,1),VLOOKUP(MIN(DatosHoy[Puntos]),Regresiones!$T$6:$V$10,2,1)*$W143+VLOOKUP(MIN(DatosHoy[Puntos]),Regresiones!$T$6:$V$10,3,1)),"NO")</f>
        <v>28618241.333699934</v>
      </c>
      <c r="Y143" s="15">
        <f ca="1">IFERROR(IFERROR(VLOOKUP($W143,Regresiones!$W$6:$Y$10,2,1)*$W143+VLOOKUP($W143,Regresiones!$W$6:$Y$10,3,1),VLOOKUP(MIN(DatosHoy[Puntos]),Regresiones!$W$6:$Y$10,2,1)*$W143+VLOOKUP(MIN(DatosHoy[Puntos]),Regresiones!$W$6:$Y$10,3,1)),"NO")</f>
        <v>31916558.956919879</v>
      </c>
      <c r="Z143" s="15">
        <f ca="1">IFERROR(IFERROR(VLOOKUP($W143,Regresiones!$Z$6:$AB$10,2,1)*$W143+VLOOKUP($W143,Regresiones!$Z$6:$AB$10,3,1),VLOOKUP(MIN(DatosHoy[Puntos]),Regresiones!$Z$6:$AB$10,2,1)*$W143+VLOOKUP(MIN(DatosHoy[Puntos]),Regresiones!$Z$6:$AB$10,3,1)),"NO")</f>
        <v>32133436.474666454</v>
      </c>
      <c r="AA143" s="3">
        <f t="shared" ca="1" si="33"/>
        <v>1.0109103962662054</v>
      </c>
    </row>
    <row r="144" spans="2:27" x14ac:dyDescent="0.2">
      <c r="B144" s="1">
        <v>139</v>
      </c>
      <c r="C144" s="15">
        <v>28154183.090000004</v>
      </c>
      <c r="D144" s="15">
        <v>56003145.582820006</v>
      </c>
      <c r="E144" s="15">
        <v>56003145.582820006</v>
      </c>
      <c r="F144" s="1" t="s">
        <v>163</v>
      </c>
      <c r="G144" s="1">
        <v>1344</v>
      </c>
      <c r="H144" s="1" t="str">
        <f t="shared" si="29"/>
        <v>$G$144</v>
      </c>
      <c r="I144" s="1" t="str">
        <f t="shared" si="30"/>
        <v>$C$144</v>
      </c>
      <c r="J144" s="1" t="str">
        <f t="shared" si="31"/>
        <v>$D$144</v>
      </c>
      <c r="K144" s="1" t="str">
        <f t="shared" si="32"/>
        <v>$E$144</v>
      </c>
      <c r="L144" s="15">
        <f ca="1">IFERROR(VLOOKUP($G144,Regresiones!$E$6:$I$10,4,1)*$G144+VLOOKUP($G144,Regresiones!$E$6:$I$10,5,1),"")</f>
        <v>30376679.781347442</v>
      </c>
      <c r="M144" s="15">
        <f ca="1">IFERROR(VLOOKUP($G144,Regresiones!$J$6:$N$10,4,1)*$G144+VLOOKUP($G144,Regresiones!$J$6:$N$10,5,1),"")</f>
        <v>52484861.307017431</v>
      </c>
      <c r="N144" s="15">
        <f ca="1">IFERROR(VLOOKUP($G144,Regresiones!$O$6:$S$10,4,1)*$G144+VLOOKUP($G144,Regresiones!$O$6:$S$10,5,1),"")</f>
        <v>52869679.789170399</v>
      </c>
      <c r="O144" s="15">
        <f ca="1">IFERROR(VLOOKUP($G144,Regresiones!$T$6:$V$10,2,1)*$G144+VLOOKUP($G144,Regresiones!$T$6:$V$10,3,1),"")</f>
        <v>46171483.014610782</v>
      </c>
      <c r="P144" s="15">
        <f ca="1">IFERROR(VLOOKUP($G144,Regresiones!$W$6:$Y$10,2,1)*$G144+VLOOKUP($G144,Regresiones!$W$6:$Y$10,3,1),"")</f>
        <v>52484861.307017431</v>
      </c>
      <c r="Q144" s="15">
        <f ca="1">IFERROR(VLOOKUP($G144,Regresiones!$Z$6:$AB$10,2,1)*$G144+VLOOKUP($G144,Regresiones!$Z$6:$AB$10,3,1),"")</f>
        <v>52869679.789170399</v>
      </c>
      <c r="R144" s="15" t="e">
        <f>IF($W144=#REF!,-1,DatosHoy[[#This Row],[G ajus PM]]-#REF!)</f>
        <v>#REF!</v>
      </c>
      <c r="S144" s="15" t="e">
        <f>IF($W144=#REF!,-1,DatosHoy[[#This Row],[G+V ajus PM]]-#REF!)</f>
        <v>#REF!</v>
      </c>
      <c r="T144" s="15" t="e">
        <f>IF($W144=#REF!,-1,DatosHoy[[#This Row],[CT ajus PM]]-#REF!)</f>
        <v>#REF!</v>
      </c>
      <c r="U144" s="15">
        <f ca="1">IFERROR(IF(DatosHoy[[#This Row],[G ajus PM]]=DatosHoy[[#This Row],[G+V ajus PM]],-1,DatosHoy[[#This Row],[G ajus PM]]-DatosHoy[[#This Row],[G+V ajus PM]]),"")</f>
        <v>-6197070.3140700758</v>
      </c>
      <c r="V144" s="15">
        <f ca="1">IFERROR(IF(DatosHoy[[#This Row],[G+V ajus PM]]=DatosHoy[[#This Row],[CT ajus PM]],-1,DatosHoy[[#This Row],[G+V ajus PM]]-DatosHoy[[#This Row],[CT ajus PM]]),"")</f>
        <v>-378340.04732422531</v>
      </c>
      <c r="W144" s="15">
        <v>1331</v>
      </c>
      <c r="X144" s="15">
        <f ca="1">IFERROR(IFERROR(VLOOKUP($W144,Regresiones!$T$6:$V$10,2,1)*$W144+VLOOKUP($W144,Regresiones!$T$6:$V$10,3,1),VLOOKUP(MIN(DatosHoy[Puntos]),Regresiones!$T$6:$V$10,2,1)*$W144+VLOOKUP(MIN(DatosHoy[Puntos]),Regresiones!$T$6:$V$10,3,1)),"NO")</f>
        <v>45494354.997246265</v>
      </c>
      <c r="Y144" s="15">
        <f ca="1">IFERROR(IFERROR(VLOOKUP($W144,Regresiones!$W$6:$Y$10,2,1)*$W144+VLOOKUP($W144,Regresiones!$W$6:$Y$10,3,1),VLOOKUP(MIN(DatosHoy[Puntos]),Regresiones!$W$6:$Y$10,2,1)*$W144+VLOOKUP(MIN(DatosHoy[Puntos]),Regresiones!$W$6:$Y$10,3,1)),"NO")</f>
        <v>51691425.311316341</v>
      </c>
      <c r="Z144" s="15">
        <f ca="1">IFERROR(IFERROR(VLOOKUP($W144,Regresiones!$Z$6:$AB$10,2,1)*$W144+VLOOKUP($W144,Regresiones!$Z$6:$AB$10,3,1),VLOOKUP(MIN(DatosHoy[Puntos]),Regresiones!$Z$6:$AB$10,2,1)*$W144+VLOOKUP(MIN(DatosHoy[Puntos]),Regresiones!$Z$6:$AB$10,3,1)),"NO")</f>
        <v>52069765.358640566</v>
      </c>
      <c r="AA144" s="3">
        <f t="shared" ca="1" si="33"/>
        <v>1.0755405790113999</v>
      </c>
    </row>
    <row r="145" spans="2:27" x14ac:dyDescent="0.2">
      <c r="B145" s="1" t="s">
        <v>38</v>
      </c>
      <c r="C145" s="15">
        <f>SUBTOTAL(109,DatosHoy[G Actual])</f>
        <v>715395106.32000053</v>
      </c>
      <c r="D145" s="15">
        <f>SUBTOTAL(109,DatosHoy[G+V Actual])</f>
        <v>779756909.0128206</v>
      </c>
      <c r="E145" s="15">
        <f>SUBTOTAL(109,DatosHoy[CT Actual])</f>
        <v>780956909.0128206</v>
      </c>
      <c r="F145" s="1"/>
      <c r="G145" s="1"/>
      <c r="H145" s="1"/>
      <c r="I145" s="1"/>
      <c r="J145" s="1"/>
      <c r="K145" s="1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>
        <f ca="1">SUBTOTAL(109,DatosHoy[G ajus PM])</f>
        <v>734790140.59605825</v>
      </c>
      <c r="Y145" s="15">
        <f ca="1">SUBTOTAL(109,DatosHoy[G+V ajus PM])</f>
        <v>780023450.15282595</v>
      </c>
      <c r="Z145" s="15">
        <f ca="1">SUBTOTAL(109,DatosHoy[CT ajus PM])</f>
        <v>781796733.07458615</v>
      </c>
      <c r="AA145" s="76">
        <f ca="1">IFERROR(IF(VLOOKUP("NO",DatosHoy[Posicion.],1,FALSE)="NO","",SUBTOTAL(109,DatosHoy[Posicion.])),SUBTOTAL(109,DatosHoy[Posicion.]))</f>
        <v>135.41879526187961</v>
      </c>
    </row>
  </sheetData>
  <conditionalFormatting sqref="R6:V144">
    <cfRule type="cellIs" dxfId="0" priority="3" operator="greaterThanOr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B2:AF2254"/>
  <sheetViews>
    <sheetView showGridLines="0" tabSelected="1" topLeftCell="S1" zoomScale="80" zoomScaleNormal="80" workbookViewId="0">
      <selection activeCell="C7" sqref="C7:AE10"/>
    </sheetView>
  </sheetViews>
  <sheetFormatPr baseColWidth="10" defaultColWidth="11" defaultRowHeight="14.25" x14ac:dyDescent="0.2"/>
  <cols>
    <col min="1" max="1" width="1.625" style="2" customWidth="1"/>
    <col min="2" max="2" width="10.375" style="2" customWidth="1"/>
    <col min="3" max="5" width="10.375" style="1" customWidth="1"/>
    <col min="6" max="7" width="19.75" style="1" customWidth="1"/>
    <col min="8" max="8" width="25.25" style="2" customWidth="1"/>
    <col min="9" max="9" width="19.75" style="2" customWidth="1"/>
    <col min="10" max="10" width="10.375" style="2" customWidth="1"/>
    <col min="11" max="12" width="19.75" style="2" customWidth="1"/>
    <col min="13" max="14" width="19.75" style="5" customWidth="1"/>
    <col min="15" max="15" width="10.375" style="5" customWidth="1"/>
    <col min="16" max="19" width="19.75" style="2" customWidth="1"/>
    <col min="20" max="20" width="10.375" style="2" customWidth="1"/>
    <col min="21" max="22" width="19.75" style="2" customWidth="1"/>
    <col min="23" max="23" width="10.375" style="2" customWidth="1"/>
    <col min="24" max="25" width="19.75" style="2" customWidth="1"/>
    <col min="26" max="26" width="10.375" style="2" customWidth="1"/>
    <col min="27" max="31" width="19.75" style="2" customWidth="1"/>
    <col min="32" max="16384" width="11" style="2"/>
  </cols>
  <sheetData>
    <row r="2" spans="2:32" ht="15" x14ac:dyDescent="0.2">
      <c r="D2" s="37" t="s">
        <v>39</v>
      </c>
      <c r="E2" s="38" t="s">
        <v>40</v>
      </c>
    </row>
    <row r="3" spans="2:32" ht="15" x14ac:dyDescent="0.2">
      <c r="B3" s="37" t="s">
        <v>41</v>
      </c>
      <c r="C3" s="24">
        <f>$D$40</f>
        <v>1814</v>
      </c>
      <c r="D3" s="24">
        <f>IFERROR(VLOOKUP($C3,Duplas[],4,0),"")</f>
        <v>404</v>
      </c>
      <c r="E3" s="24">
        <f>IFERROR(VLOOKUP($C3,Duplas[],5,0),"")</f>
        <v>632</v>
      </c>
    </row>
    <row r="4" spans="2:32" x14ac:dyDescent="0.2"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2:32" ht="15" x14ac:dyDescent="0.2">
      <c r="E5" s="86" t="s">
        <v>42</v>
      </c>
      <c r="F5" s="86"/>
      <c r="G5" s="86"/>
      <c r="H5" s="86"/>
      <c r="I5" s="86"/>
      <c r="J5" s="88" t="s">
        <v>43</v>
      </c>
      <c r="K5" s="88"/>
      <c r="L5" s="88"/>
      <c r="M5" s="88"/>
      <c r="N5" s="88"/>
      <c r="O5" s="87" t="s">
        <v>44</v>
      </c>
      <c r="P5" s="87"/>
      <c r="Q5" s="87"/>
      <c r="R5" s="87"/>
      <c r="S5" s="87"/>
      <c r="T5" s="80" t="s">
        <v>45</v>
      </c>
      <c r="U5" s="80"/>
      <c r="V5" s="80"/>
      <c r="W5" s="80" t="s">
        <v>46</v>
      </c>
      <c r="X5" s="80"/>
      <c r="Y5" s="80"/>
      <c r="Z5" s="80" t="s">
        <v>47</v>
      </c>
      <c r="AA5" s="80"/>
      <c r="AB5" s="80"/>
      <c r="AC5" s="80" t="s">
        <v>48</v>
      </c>
      <c r="AD5" s="80"/>
      <c r="AE5" s="80"/>
    </row>
    <row r="6" spans="2:32" ht="15" x14ac:dyDescent="0.2">
      <c r="B6" s="25" t="s">
        <v>49</v>
      </c>
      <c r="C6" s="81" t="s">
        <v>17</v>
      </c>
      <c r="D6" s="92"/>
      <c r="E6" s="33" t="s">
        <v>50</v>
      </c>
      <c r="F6" s="33" t="s">
        <v>51</v>
      </c>
      <c r="G6" s="33" t="s">
        <v>52</v>
      </c>
      <c r="H6" s="33" t="s">
        <v>53</v>
      </c>
      <c r="I6" s="33" t="s">
        <v>54</v>
      </c>
      <c r="J6" s="56" t="s">
        <v>50</v>
      </c>
      <c r="K6" s="56" t="s">
        <v>51</v>
      </c>
      <c r="L6" s="56" t="s">
        <v>52</v>
      </c>
      <c r="M6" s="56" t="s">
        <v>53</v>
      </c>
      <c r="N6" s="56" t="s">
        <v>54</v>
      </c>
      <c r="O6" s="55" t="s">
        <v>50</v>
      </c>
      <c r="P6" s="55" t="s">
        <v>51</v>
      </c>
      <c r="Q6" s="55" t="s">
        <v>52</v>
      </c>
      <c r="R6" s="55" t="s">
        <v>53</v>
      </c>
      <c r="S6" s="55" t="s">
        <v>54</v>
      </c>
      <c r="T6" s="37" t="s">
        <v>50</v>
      </c>
      <c r="U6" s="37" t="s">
        <v>53</v>
      </c>
      <c r="V6" s="37" t="s">
        <v>54</v>
      </c>
      <c r="W6" s="37" t="s">
        <v>50</v>
      </c>
      <c r="X6" s="37" t="s">
        <v>53</v>
      </c>
      <c r="Y6" s="37" t="s">
        <v>54</v>
      </c>
      <c r="Z6" s="37" t="s">
        <v>50</v>
      </c>
      <c r="AA6" s="37" t="s">
        <v>53</v>
      </c>
      <c r="AB6" s="37" t="s">
        <v>54</v>
      </c>
      <c r="AC6" s="37" t="s">
        <v>55</v>
      </c>
      <c r="AD6" s="37" t="s">
        <v>56</v>
      </c>
      <c r="AE6" s="37" t="s">
        <v>57</v>
      </c>
    </row>
    <row r="7" spans="2:32" ht="15" x14ac:dyDescent="0.2">
      <c r="B7" s="25">
        <v>1</v>
      </c>
      <c r="C7" s="26">
        <f>MIN(DatosHoy[Puntos])</f>
        <v>138</v>
      </c>
      <c r="D7" s="24">
        <f>C8</f>
        <v>404</v>
      </c>
      <c r="E7" s="24">
        <f>$C7</f>
        <v>138</v>
      </c>
      <c r="F7" s="44" t="str">
        <f>IFERROR("Datos!"&amp;CONCATENATE(VLOOKUP($C7,DatosHoy[[#Headers],[#Data],[Puntos]:[CT colum]],3,IF(COUNTIF(DatosHoy[Puntos],$C7)&lt;=1,0,1)),":",VLOOKUP($D7,DatosHoy[[#Headers],[#Data],[Puntos]:[CT colum]],3,IF(COUNTIF(DatosHoy[Puntos],$D7)&lt;=1,0,1))),"")</f>
        <v>Datos!$C$6:$C$98</v>
      </c>
      <c r="G7" s="44" t="str">
        <f>IFERROR("Datos!"&amp;CONCATENATE(VLOOKUP($C7,DatosHoy[[#Headers],[#Data],[Puntos]:[CT colum]],2,IF(COUNTIF(DatosHoy[Puntos],$C7)&lt;=1,0,1)),":",VLOOKUP($D7,DatosHoy[[#Headers],[#Data],[Puntos]:[CT colum]],2,IF(COUNTIF(DatosHoy[Puntos],$D7)&lt;=1,0,1))),"")</f>
        <v>Datos!$G$6:$G$98</v>
      </c>
      <c r="H7" s="43">
        <f ca="1">IFERROR(SLOPE(INDIRECT(F7),INDIRECT($G7)),H6)</f>
        <v>12739.000157563974</v>
      </c>
      <c r="I7" s="43">
        <f ca="1">IFERROR(INTERCEPT(INDIRECT(F7),INDIRECT($G7)),I6)</f>
        <v>162508.06865826761</v>
      </c>
      <c r="J7" s="24">
        <f>$C7</f>
        <v>138</v>
      </c>
      <c r="K7" s="44" t="str">
        <f>IFERROR("Datos!"&amp;CONCATENATE(VLOOKUP($C7,DatosHoy[[#Headers],[#Data],[Puntos]:[CT colum]],4,IF(COUNTIF(DatosHoy[Puntos],$C7)&lt;=1,0,1)),":",VLOOKUP($D7,DatosHoy[[#Headers],[#Data],[Puntos]:[CT colum]],4,IF(COUNTIF(DatosHoy[Puntos],$D7)&lt;=1,0,1))),"")</f>
        <v>Datos!$D$6:$D$98</v>
      </c>
      <c r="L7" s="44" t="str">
        <f>IFERROR("Datos!"&amp;CONCATENATE(VLOOKUP($C7,DatosHoy[[#Headers],[#Data],[Puntos]:[CT colum]],2,IF(COUNTIF(DatosHoy[Puntos],$C7)&lt;=1,0,1)),":",VLOOKUP($D7,DatosHoy[[#Headers],[#Data],[Puntos]:[CT colum]],2,IF(COUNTIF(DatosHoy[Puntos],$D7)&lt;=1,0,1))),"")</f>
        <v>Datos!$G$6:$G$98</v>
      </c>
      <c r="M7" s="43">
        <f ca="1">IFERROR(SLOPE(INDIRECT(K7),INDIRECT($G7)),M6)</f>
        <v>12956.685628161009</v>
      </c>
      <c r="N7" s="43">
        <f ca="1">IFERROR(INTERCEPT(INDIRECT(K7),INDIRECT($G7)),N6)</f>
        <v>118489.65007090382</v>
      </c>
      <c r="O7" s="24">
        <f>$C7</f>
        <v>138</v>
      </c>
      <c r="P7" s="44" t="str">
        <f>IFERROR("Datos!"&amp;CONCATENATE(VLOOKUP($C7,DatosHoy[[#Headers],[#Data],[Puntos]:[CT colum]],5,IF(COUNTIF(DatosHoy[Puntos],$C7)&lt;=1,0,1)),":",VLOOKUP($D7,DatosHoy[[#Headers],[#Data],[Puntos]:[CT colum]],5,IF(COUNTIF(DatosHoy[Puntos],$D7)&lt;=1,0,1))),"")</f>
        <v>Datos!$E$6:$E$98</v>
      </c>
      <c r="Q7" s="44" t="str">
        <f>IFERROR("Datos!"&amp;CONCATENATE(VLOOKUP($C7,DatosHoy[[#Headers],[#Data],[Puntos]:[CT colum]],2,IF(COUNTIF(DatosHoy[Puntos],$C7)&lt;=1,0,1)),":",VLOOKUP($D7,DatosHoy[[#Headers],[#Data],[Puntos]:[CT colum]],2,IF(COUNTIF(DatosHoy[Puntos],$D7)&lt;=1,0,1))),"")</f>
        <v>Datos!$G$6:$G$98</v>
      </c>
      <c r="R7" s="43">
        <f ca="1">IFERROR(SLOPE(INDIRECT(P7),INDIRECT($G7)),R6)</f>
        <v>12956.685628161009</v>
      </c>
      <c r="S7" s="43">
        <f ca="1">IFERROR(INTERCEPT(INDIRECT(P7),INDIRECT($G7)),S6)</f>
        <v>118489.65007090382</v>
      </c>
      <c r="T7" s="24">
        <f>$C7</f>
        <v>138</v>
      </c>
      <c r="U7" s="43">
        <f ca="1">IFERROR((AC8-AC7)/(T8-T7),U6)</f>
        <v>10670.361075008719</v>
      </c>
      <c r="V7" s="43">
        <f ca="1">IFERROR(AC8-(T8*U7),V6)</f>
        <v>630449.35739335231</v>
      </c>
      <c r="W7" s="24">
        <f>$C7</f>
        <v>138</v>
      </c>
      <c r="X7" s="43">
        <f ca="1">IFERROR((AD8-AD7)/(W8-W7),X6)</f>
        <v>11137.696679277093</v>
      </c>
      <c r="Y7" s="43">
        <f ca="1">IFERROR(AD8-(W8*X7),Y6)</f>
        <v>755153.53554895148</v>
      </c>
      <c r="Z7" s="24">
        <f>$C7</f>
        <v>138</v>
      </c>
      <c r="AA7" s="43">
        <f ca="1">IFERROR((AE8-AE7)/(Z8-Z7),AA6)</f>
        <v>11124.435428484572</v>
      </c>
      <c r="AB7" s="43">
        <f ca="1">IFERROR(AE8-(Z8*AA7),AB6)</f>
        <v>760511.08086912986</v>
      </c>
      <c r="AC7" s="43">
        <f ca="1">IFERROR(F18,"")</f>
        <v>2102959.1857445557</v>
      </c>
      <c r="AD7" s="43">
        <f ca="1">IFERROR(G18,"")</f>
        <v>2292155.6772891898</v>
      </c>
      <c r="AE7" s="43">
        <f ca="1">IFERROR(H18,"")</f>
        <v>2295683.1700000004</v>
      </c>
    </row>
    <row r="8" spans="2:32" ht="15" x14ac:dyDescent="0.2">
      <c r="B8" s="25">
        <v>2</v>
      </c>
      <c r="C8" s="24">
        <f>D3</f>
        <v>404</v>
      </c>
      <c r="D8" s="24">
        <f>C9</f>
        <v>632</v>
      </c>
      <c r="E8" s="24">
        <f>$C8</f>
        <v>404</v>
      </c>
      <c r="F8" s="44" t="str">
        <f>IFERROR("Datos!"&amp;CONCATENATE(VLOOKUP($C8,DatosHoy[[#Headers],[#Data],[Puntos]:[CT colum]],3,IF(COUNTIF(DatosHoy[Puntos],$C8)&lt;=1,0,1)),":",VLOOKUP($D8,DatosHoy[[#Headers],[#Data],[Puntos]:[CT colum]],3,IF(COUNTIF(DatosHoy[Puntos],$D8)&lt;=1,0,1))),"")</f>
        <v>Datos!$C$98:$C$135</v>
      </c>
      <c r="G8" s="44" t="str">
        <f>IFERROR("Datos!"&amp;CONCATENATE(VLOOKUP($C8,DatosHoy[[#Headers],[#Data],[Puntos]:[CT colum]],2,IF(COUNTIF(DatosHoy[Puntos],$C8)&lt;=1,0,1)),":",VLOOKUP($D8,DatosHoy[[#Headers],[#Data],[Puntos]:[CT colum]],2,IF(COUNTIF(DatosHoy[Puntos],$D8)&lt;=1,0,1))),"")</f>
        <v>Datos!$G$98:$G$135</v>
      </c>
      <c r="H8" s="43">
        <f ca="1">IFERROR(SLOPE(INDIRECT(F8),INDIRECT($G8)),H7)</f>
        <v>27629.212421069049</v>
      </c>
      <c r="I8" s="43">
        <f ca="1">IFERROR(INTERCEPT(INDIRECT(F8),INDIRECT($G8)),I7)</f>
        <v>-6220926.5864150217</v>
      </c>
      <c r="J8" s="24">
        <f>$C8</f>
        <v>404</v>
      </c>
      <c r="K8" s="44" t="str">
        <f>IFERROR("Datos!"&amp;CONCATENATE(VLOOKUP($C8,DatosHoy[[#Headers],[#Data],[Puntos]:[CT colum]],4,IF(COUNTIF(DatosHoy[Puntos],$C8)&lt;=1,0,1)),":",VLOOKUP($D8,DatosHoy[[#Headers],[#Data],[Puntos]:[CT colum]],4,IF(COUNTIF(DatosHoy[Puntos],$D8)&lt;=1,0,1))),"")</f>
        <v>Datos!$D$98:$D$135</v>
      </c>
      <c r="L8" s="44" t="str">
        <f>IFERROR("Datos!"&amp;CONCATENATE(VLOOKUP($C8,DatosHoy[[#Headers],[#Data],[Puntos]:[CT colum]],2,IF(COUNTIF(DatosHoy[Puntos],$C8)&lt;=1,0,1)),":",VLOOKUP($D8,DatosHoy[[#Headers],[#Data],[Puntos]:[CT colum]],2,IF(COUNTIF(DatosHoy[Puntos],$D8)&lt;=1,0,1))),"")</f>
        <v>Datos!$G$98:$G$135</v>
      </c>
      <c r="M8" s="43">
        <f ca="1">IFERROR(SLOPE(INDIRECT(K8),INDIRECT($G8)),M7)</f>
        <v>26034.957431385214</v>
      </c>
      <c r="N8" s="43">
        <f ca="1">IFERROR(INTERCEPT(INDIRECT(K8),INDIRECT($G8)),N7)</f>
        <v>-5263339.8083027303</v>
      </c>
      <c r="O8" s="24">
        <f>$C8</f>
        <v>404</v>
      </c>
      <c r="P8" s="44" t="str">
        <f>IFERROR("Datos!"&amp;CONCATENATE(VLOOKUP($C8,DatosHoy[[#Headers],[#Data],[Puntos]:[CT colum]],5,IF(COUNTIF(DatosHoy[Puntos],$C8)&lt;=1,0,1)),":",VLOOKUP($D8,DatosHoy[[#Headers],[#Data],[Puntos]:[CT colum]],5,IF(COUNTIF(DatosHoy[Puntos],$D8)&lt;=1,0,1))),"")</f>
        <v>Datos!$E$98:$E$135</v>
      </c>
      <c r="Q8" s="44" t="str">
        <f>IFERROR("Datos!"&amp;CONCATENATE(VLOOKUP($C8,DatosHoy[[#Headers],[#Data],[Puntos]:[CT colum]],2,IF(COUNTIF(DatosHoy[Puntos],$C8)&lt;=1,0,1)),":",VLOOKUP($D8,DatosHoy[[#Headers],[#Data],[Puntos]:[CT colum]],2,IF(COUNTIF(DatosHoy[Puntos],$D8)&lt;=1,0,1))),"")</f>
        <v>Datos!$G$98:$G$135</v>
      </c>
      <c r="R8" s="43">
        <f ca="1">IFERROR(SLOPE(INDIRECT(P8),INDIRECT($G8)),R7)</f>
        <v>26034.957431385214</v>
      </c>
      <c r="S8" s="43">
        <f ca="1">IFERROR(INTERCEPT(INDIRECT(P8),INDIRECT($G8)),S7)</f>
        <v>-5263339.8083027303</v>
      </c>
      <c r="T8" s="24">
        <f>$C8</f>
        <v>404</v>
      </c>
      <c r="U8" s="43">
        <f ca="1">IFERROR((AC9-AC8)/(T9-T8),U7)</f>
        <v>18177.312015636722</v>
      </c>
      <c r="V8" s="43">
        <f ca="1">IFERROR(AC9-(T9*U8),V7)</f>
        <v>-2402358.8226203602</v>
      </c>
      <c r="W8" s="24">
        <f>$C8</f>
        <v>404</v>
      </c>
      <c r="X8" s="43">
        <f ca="1">IFERROR((AD9-AD8)/(W9-W8),X7)</f>
        <v>16553.505104706142</v>
      </c>
      <c r="Y8" s="43">
        <f ca="1">IFERROR(AD9-(W9*X8),Y7)</f>
        <v>-1432833.0683243852</v>
      </c>
      <c r="Z8" s="24">
        <f>$C8</f>
        <v>404</v>
      </c>
      <c r="AA8" s="43">
        <f ca="1">IFERROR((AE9-AE8)/(Z9-Z8),AA7)</f>
        <v>16685.082253805631</v>
      </c>
      <c r="AB8" s="43">
        <f ca="1">IFERROR(AE9-(Z9*AA8),AB7)</f>
        <v>-1485990.2365605775</v>
      </c>
      <c r="AC8" s="43">
        <f ca="1">IFERROR(IF(T8=T7,AC7,VLOOKUP($T8,$E$6:$I$10,4,1)*$T8+VLOOKUP($T8,$E$6:$I$10,5,1)),"")</f>
        <v>4941275.2316968748</v>
      </c>
      <c r="AD8" s="43">
        <f ca="1">IFERROR(IF(W8=W7,AD7,VLOOKUP($W8,$J$6:$N$10,4,1)*$W8+VLOOKUP($W8,$J$6:$N$10,5,1)),"")</f>
        <v>5254782.9939768966</v>
      </c>
      <c r="AE8" s="43">
        <f ca="1">IFERROR(IF(Z8=Z7,AE7,VLOOKUP($Z8,$O$6:$S$10,4,1)*$Z8+VLOOKUP($Z8,$O$6:$S$10,5,1)),"")</f>
        <v>5254782.9939768966</v>
      </c>
    </row>
    <row r="9" spans="2:32" ht="15" x14ac:dyDescent="0.2">
      <c r="B9" s="25">
        <v>3</v>
      </c>
      <c r="C9" s="24">
        <f>E3</f>
        <v>632</v>
      </c>
      <c r="D9" s="26">
        <f>MAX(DatosHoy[Puntos])</f>
        <v>1344</v>
      </c>
      <c r="E9" s="24">
        <f>$C9</f>
        <v>632</v>
      </c>
      <c r="F9" s="44" t="str">
        <f>IFERROR("Datos!"&amp;CONCATENATE(VLOOKUP($C9,DatosHoy[[#Headers],[#Data],[Puntos]:[CT colum]],3,IF(COUNTIF(DatosHoy[Puntos],$C9)&lt;=1,0,1)),":",VLOOKUP($D9,DatosHoy[[#Headers],[#Data],[Puntos]:[CT colum]],3,IF(COUNTIF(DatosHoy[Puntos],$D9)&lt;=1,0,1))),"")</f>
        <v>Datos!$C$135:$C$144</v>
      </c>
      <c r="G9" s="44" t="str">
        <f>IFERROR("Datos!"&amp;CONCATENATE(VLOOKUP($C9,DatosHoy[[#Headers],[#Data],[Puntos]:[CT colum]],2,IF(COUNTIF(DatosHoy[Puntos],$C9)&lt;=1,0,1)),":",VLOOKUP($D9,DatosHoy[[#Headers],[#Data],[Puntos]:[CT colum]],2,IF(COUNTIF(DatosHoy[Puntos],$D9)&lt;=1,0,1))),"")</f>
        <v>Datos!$G$135:$G$144</v>
      </c>
      <c r="H9" s="43">
        <f ca="1">IFERROR(SLOPE(INDIRECT(F9),INDIRECT($G9)),H8)</f>
        <v>29903.058160232296</v>
      </c>
      <c r="I9" s="43">
        <f ca="1">IFERROR(INTERCEPT(INDIRECT(F9),INDIRECT($G9)),I8)</f>
        <v>-9813030.3860047646</v>
      </c>
      <c r="J9" s="24">
        <f>$C9</f>
        <v>632</v>
      </c>
      <c r="K9" s="44" t="str">
        <f>IFERROR("Datos!"&amp;CONCATENATE(VLOOKUP($C9,DatosHoy[[#Headers],[#Data],[Puntos]:[CT colum]],4,IF(COUNTIF(DatosHoy[Puntos],$C9)&lt;=1,0,1)),":",VLOOKUP($D9,DatosHoy[[#Headers],[#Data],[Puntos]:[CT colum]],4,IF(COUNTIF(DatosHoy[Puntos],$D9)&lt;=1,0,1))),"")</f>
        <v>Datos!$D$135:$D$144</v>
      </c>
      <c r="L9" s="44" t="str">
        <f>IFERROR("Datos!"&amp;CONCATENATE(VLOOKUP($C9,DatosHoy[[#Headers],[#Data],[Puntos]:[CT colum]],2,IF(COUNTIF(DatosHoy[Puntos],$C9)&lt;=1,0,1)),":",VLOOKUP($D9,DatosHoy[[#Headers],[#Data],[Puntos]:[CT colum]],2,IF(COUNTIF(DatosHoy[Puntos],$D9)&lt;=1,0,1))),"")</f>
        <v>Datos!$G$135:$G$144</v>
      </c>
      <c r="M9" s="43">
        <f ca="1">IFERROR(SLOPE(INDIRECT(K9),INDIRECT($G9)),M8)</f>
        <v>61033.538130853296</v>
      </c>
      <c r="N9" s="43">
        <f ca="1">IFERROR(INTERCEPT(INDIRECT(K9),INDIRECT($G9)),N8)</f>
        <v>-29544213.94084939</v>
      </c>
      <c r="O9" s="24">
        <f>$C9</f>
        <v>632</v>
      </c>
      <c r="P9" s="44" t="str">
        <f>IFERROR("Datos!"&amp;CONCATENATE(VLOOKUP($C9,DatosHoy[[#Headers],[#Data],[Puntos]:[CT colum]],5,IF(COUNTIF(DatosHoy[Puntos],$C9)&lt;=1,0,1)),":",VLOOKUP($D9,DatosHoy[[#Headers],[#Data],[Puntos]:[CT colum]],5,IF(COUNTIF(DatosHoy[Puntos],$D9)&lt;=1,0,1))),"")</f>
        <v>Datos!$E$135:$E$144</v>
      </c>
      <c r="Q9" s="44" t="str">
        <f>IFERROR("Datos!"&amp;CONCATENATE(VLOOKUP($C9,DatosHoy[[#Headers],[#Data],[Puntos]:[CT colum]],2,IF(COUNTIF(DatosHoy[Puntos],$C9)&lt;=1,0,1)),":",VLOOKUP($D9,DatosHoy[[#Headers],[#Data],[Puntos]:[CT colum]],2,IF(COUNTIF(DatosHoy[Puntos],$D9)&lt;=1,0,1))),"")</f>
        <v>Datos!$G$135:$G$144</v>
      </c>
      <c r="R9" s="43">
        <f ca="1">IFERROR(SLOPE(INDIRECT(P9),INDIRECT($G9)),R8)</f>
        <v>61531.879271525009</v>
      </c>
      <c r="S9" s="43">
        <f ca="1">IFERROR(INTERCEPT(INDIRECT(P9),INDIRECT($G9)),S8)</f>
        <v>-29829165.951759223</v>
      </c>
      <c r="T9" s="24">
        <f>$C9</f>
        <v>632</v>
      </c>
      <c r="U9" s="43">
        <f ca="1">IFERROR((AC10-AC9)/(T10-T9),U8)</f>
        <v>52086.770566501036</v>
      </c>
      <c r="V9" s="43">
        <f ca="1">IFERROR(AC10-(T10*U9),V8)</f>
        <v>-23833136.626766607</v>
      </c>
      <c r="W9" s="24">
        <f>$C9</f>
        <v>632</v>
      </c>
      <c r="X9" s="43">
        <f ca="1">IFERROR((AD10-AD9)/(W10-W9),X8)</f>
        <v>61033.538130853281</v>
      </c>
      <c r="Y9" s="43">
        <f ca="1">IFERROR(AD10-(W10*X9),Y8)</f>
        <v>-29544213.940849379</v>
      </c>
      <c r="Z9" s="24">
        <f>$C9</f>
        <v>632</v>
      </c>
      <c r="AA9" s="43">
        <f ca="1">IFERROR((AE10-AE9)/(Z10-Z9),AA8)</f>
        <v>61531.879271525031</v>
      </c>
      <c r="AB9" s="43">
        <f ca="1">IFERROR(AE10-(Z10*AA9),AB8)</f>
        <v>-29829165.951759249</v>
      </c>
      <c r="AC9" s="43">
        <f ca="1">IFERROR(IF(T9=T10,AC10,VLOOKUP($T9,$E$6:$I$10,4,1)*$T9+VLOOKUP($T9,$E$6:$I$10,5,1)),"")</f>
        <v>9085702.3712620474</v>
      </c>
      <c r="AD9" s="43">
        <f ca="1">IFERROR(IF(W9=W10,AD10,VLOOKUP($W9,$J$6:$N$10,4,1)*$W9+VLOOKUP($W9,$J$6:$N$10,5,1)),"")</f>
        <v>9028982.1578498967</v>
      </c>
      <c r="AE9" s="43">
        <f ca="1">IFERROR(IF(Z9=Z10,AE10,VLOOKUP($Z9,$O$6:$S$10,4,1)*$Z9+VLOOKUP($Z9,$O$6:$S$10,5,1)),"")</f>
        <v>9058981.7478445806</v>
      </c>
    </row>
    <row r="10" spans="2:32" ht="15" x14ac:dyDescent="0.2">
      <c r="B10" s="25">
        <v>4</v>
      </c>
      <c r="C10" s="26">
        <f>D9</f>
        <v>1344</v>
      </c>
      <c r="D10" s="24">
        <v>2623</v>
      </c>
      <c r="E10" s="24">
        <f>$C10</f>
        <v>1344</v>
      </c>
      <c r="F10" s="44" t="str">
        <f>F9</f>
        <v>Datos!$C$135:$C$144</v>
      </c>
      <c r="G10" s="44" t="str">
        <f>G9</f>
        <v>Datos!$G$135:$G$144</v>
      </c>
      <c r="H10" s="43">
        <f ca="1">IFERROR(SLOPE(INDIRECT(F10),INDIRECT($G10)),H9)</f>
        <v>29903.058160232296</v>
      </c>
      <c r="I10" s="43">
        <f ca="1">IFERROR(INTERCEPT(INDIRECT(F10),INDIRECT($G10)),I9)</f>
        <v>-9813030.3860047646</v>
      </c>
      <c r="J10" s="24">
        <f>$C10</f>
        <v>1344</v>
      </c>
      <c r="K10" s="44" t="str">
        <f>K9</f>
        <v>Datos!$D$135:$D$144</v>
      </c>
      <c r="L10" s="44" t="str">
        <f>L9</f>
        <v>Datos!$G$135:$G$144</v>
      </c>
      <c r="M10" s="43">
        <f ca="1">IFERROR(SLOPE(INDIRECT(K10),INDIRECT($G10)),M9)</f>
        <v>61033.538130853296</v>
      </c>
      <c r="N10" s="43">
        <f ca="1">IFERROR(INTERCEPT(INDIRECT(K10),INDIRECT($G10)),N9)</f>
        <v>-29544213.94084939</v>
      </c>
      <c r="O10" s="24">
        <f>$C10</f>
        <v>1344</v>
      </c>
      <c r="P10" s="44" t="str">
        <f>P9</f>
        <v>Datos!$E$135:$E$144</v>
      </c>
      <c r="Q10" s="44" t="str">
        <f>Q9</f>
        <v>Datos!$G$135:$G$144</v>
      </c>
      <c r="R10" s="43">
        <f ca="1">IFERROR(SLOPE(INDIRECT(P10),INDIRECT($G10)),R9)</f>
        <v>61531.879271525009</v>
      </c>
      <c r="S10" s="43">
        <f ca="1">IFERROR(INTERCEPT(INDIRECT(P10),INDIRECT($G10)),S9)</f>
        <v>-29829165.951759223</v>
      </c>
      <c r="T10" s="24">
        <f>$C10</f>
        <v>1344</v>
      </c>
      <c r="U10" s="43">
        <f ca="1">U9</f>
        <v>52086.770566501036</v>
      </c>
      <c r="V10" s="43">
        <f ca="1">V9</f>
        <v>-23833136.626766607</v>
      </c>
      <c r="W10" s="24">
        <f>$C10</f>
        <v>1344</v>
      </c>
      <c r="X10" s="43">
        <f ca="1">X9</f>
        <v>61033.538130853281</v>
      </c>
      <c r="Y10" s="43">
        <f ca="1">Y9</f>
        <v>-29544213.940849379</v>
      </c>
      <c r="Z10" s="24">
        <f>$C10</f>
        <v>1344</v>
      </c>
      <c r="AA10" s="43">
        <f ca="1">AA9</f>
        <v>61531.879271525031</v>
      </c>
      <c r="AB10" s="43">
        <f ca="1">AB9</f>
        <v>-29829165.951759249</v>
      </c>
      <c r="AC10" s="43">
        <f ca="1">IFERROR(F23,"")</f>
        <v>46171483.014610782</v>
      </c>
      <c r="AD10" s="43">
        <f ca="1">IFERROR(G23,"")</f>
        <v>52484861.307017431</v>
      </c>
      <c r="AE10" s="43">
        <f ca="1">IFERROR(H23,"")</f>
        <v>52869679.789170399</v>
      </c>
    </row>
    <row r="13" spans="2:32" ht="15" x14ac:dyDescent="0.2">
      <c r="C13" s="86" t="s">
        <v>58</v>
      </c>
      <c r="D13" s="86"/>
      <c r="E13" s="86"/>
      <c r="F13" s="86"/>
      <c r="G13" s="86"/>
      <c r="H13" s="86"/>
      <c r="M13" s="2"/>
      <c r="P13" s="5"/>
    </row>
    <row r="14" spans="2:32" ht="15" x14ac:dyDescent="0.2">
      <c r="C14" s="89" t="s">
        <v>59</v>
      </c>
      <c r="D14" s="90"/>
      <c r="E14" s="91"/>
      <c r="F14" s="33" t="s">
        <v>55</v>
      </c>
      <c r="G14" s="33" t="s">
        <v>56</v>
      </c>
      <c r="H14" s="33" t="s">
        <v>57</v>
      </c>
      <c r="M14" s="2"/>
      <c r="P14" s="5"/>
    </row>
    <row r="15" spans="2:32" x14ac:dyDescent="0.2">
      <c r="B15" s="84" t="s">
        <v>60</v>
      </c>
      <c r="C15" s="105" t="s">
        <v>61</v>
      </c>
      <c r="D15" s="106"/>
      <c r="E15" s="73">
        <f>MIN(DatosHoy[Puntos])</f>
        <v>138</v>
      </c>
      <c r="F15" s="60">
        <f ca="1">IFERROR(VLOOKUP($E15,$E$6:$I$10,4,1)*$E15+VLOOKUP($E15,$E$6:$I$10,5,1),"")</f>
        <v>1920490.090402096</v>
      </c>
      <c r="G15" s="28">
        <f ca="1">IFERROR(VLOOKUP($E15,$J$6:$N$10,4,1)*$E15+VLOOKUP($E15,$J$6:$N$10,5,1),"")</f>
        <v>1906512.2667571232</v>
      </c>
      <c r="H15" s="28">
        <f ca="1">IFERROR(VLOOKUP($E15,$O$6:$S$10,4,1)*$E15+VLOOKUP($E15,$O$6:$S$10,5,1),"")</f>
        <v>1906512.2667571232</v>
      </c>
      <c r="J15" s="1"/>
      <c r="K15" s="1"/>
      <c r="L15" s="1"/>
      <c r="M15" s="1"/>
      <c r="P15" s="5"/>
    </row>
    <row r="16" spans="2:32" x14ac:dyDescent="0.2">
      <c r="B16" s="84"/>
      <c r="C16" s="103" t="s">
        <v>62</v>
      </c>
      <c r="D16" s="104"/>
      <c r="E16" s="69"/>
      <c r="F16" s="29">
        <f>IFERROR($H16*Datos!$C$3,"")</f>
        <v>2102959.1857445557</v>
      </c>
      <c r="G16" s="29">
        <f>IFERROR($H16*Datos!$D$3,"")</f>
        <v>2292155.6772891898</v>
      </c>
      <c r="H16" s="29">
        <f>MIN(DatosHoy[CT Actual])</f>
        <v>2295683.1700000004</v>
      </c>
      <c r="M16" s="2"/>
      <c r="P16" s="5"/>
    </row>
    <row r="17" spans="2:16" x14ac:dyDescent="0.2">
      <c r="B17" s="84"/>
      <c r="C17" s="101" t="s">
        <v>63</v>
      </c>
      <c r="D17" s="102"/>
      <c r="E17" s="62">
        <v>0.1</v>
      </c>
      <c r="F17" s="63">
        <f>IFERROR(F16*(1+$E$17),"")</f>
        <v>2313255.1043190113</v>
      </c>
      <c r="G17" s="63">
        <f>IFERROR(G16*(1+$E$17),"")</f>
        <v>2521371.2450181087</v>
      </c>
      <c r="H17" s="63">
        <f>H16*(1+$E$17)</f>
        <v>2525251.4870000007</v>
      </c>
      <c r="M17" s="2"/>
      <c r="P17" s="5"/>
    </row>
    <row r="18" spans="2:16" x14ac:dyDescent="0.2">
      <c r="B18" s="85"/>
      <c r="C18" s="100" t="s">
        <v>64</v>
      </c>
      <c r="D18" s="100"/>
      <c r="E18" s="70"/>
      <c r="F18" s="71">
        <f ca="1">IF(AND(F15&lt;&gt;"",F15&gt;F17),F17,IF(AND(F15&lt;&gt;"",F15&lt;F16),F16,F15))</f>
        <v>2102959.1857445557</v>
      </c>
      <c r="G18" s="71">
        <f t="shared" ref="G18:H18" ca="1" si="0">IF(AND(G15&lt;&gt;"",G15&gt;G17),G17,IF(AND(G15&lt;&gt;"",G15&lt;G16),G16,G15))</f>
        <v>2292155.6772891898</v>
      </c>
      <c r="H18" s="71">
        <f t="shared" ca="1" si="0"/>
        <v>2295683.1700000004</v>
      </c>
      <c r="J18" s="1"/>
      <c r="K18" s="1"/>
      <c r="L18" s="1"/>
      <c r="M18" s="1"/>
      <c r="P18" s="5"/>
    </row>
    <row r="19" spans="2:16" x14ac:dyDescent="0.2">
      <c r="B19" s="84" t="s">
        <v>65</v>
      </c>
      <c r="C19" s="93" t="s">
        <v>66</v>
      </c>
      <c r="D19" s="94"/>
      <c r="E19" s="72">
        <f>MAX(DatosHoy[Puntos])</f>
        <v>1344</v>
      </c>
      <c r="F19" s="66">
        <f ca="1">IFERROR(VLOOKUP($E19,$E$6:$I$10,4,1)*$E19+VLOOKUP($E19,$E$6:$I$10,5,1),"")</f>
        <v>30376679.781347442</v>
      </c>
      <c r="G19" s="67">
        <f ca="1">IFERROR(VLOOKUP($E19,$J$6:$N$10,4,1)*$E19+VLOOKUP($E19,$J$6:$N$10,5,1),"")</f>
        <v>52484861.307017431</v>
      </c>
      <c r="H19" s="67">
        <f ca="1">IFERROR(VLOOKUP($E19,$O$6:$S$10,4,1)*$E19+VLOOKUP($E19,$O$6:$S$10,5,1),"")</f>
        <v>52869679.789170399</v>
      </c>
      <c r="M19" s="2"/>
      <c r="P19" s="5"/>
    </row>
    <row r="20" spans="2:16" x14ac:dyDescent="0.2">
      <c r="B20" s="84"/>
      <c r="C20" s="105" t="s">
        <v>67</v>
      </c>
      <c r="D20" s="107"/>
      <c r="E20" s="68"/>
      <c r="F20" s="29">
        <f>IFERROR(F21*(1-$E$21),"")</f>
        <v>46171483.014610782</v>
      </c>
      <c r="G20" s="29">
        <f>IFERROR(G21*(1-$E$21),"")</f>
        <v>50325383.221040241</v>
      </c>
      <c r="H20" s="29">
        <f>H21*(1-$E$21)</f>
        <v>50402831.024538003</v>
      </c>
      <c r="M20" s="2"/>
      <c r="P20" s="5"/>
    </row>
    <row r="21" spans="2:16" x14ac:dyDescent="0.2">
      <c r="B21" s="84"/>
      <c r="C21" s="105" t="s">
        <v>68</v>
      </c>
      <c r="D21" s="107"/>
      <c r="E21" s="30">
        <v>0.1</v>
      </c>
      <c r="F21" s="29">
        <f>IFERROR($H21*Datos!$C$3,"")</f>
        <v>51301647.79401198</v>
      </c>
      <c r="G21" s="29">
        <f>IFERROR($H21*Datos!$D$3,"")</f>
        <v>55917092.467822492</v>
      </c>
      <c r="H21" s="29">
        <f>MAX(DatosHoy[CT Actual])</f>
        <v>56003145.582820006</v>
      </c>
      <c r="M21" s="2"/>
      <c r="P21" s="5"/>
    </row>
    <row r="22" spans="2:16" x14ac:dyDescent="0.2">
      <c r="B22" s="84"/>
      <c r="C22" s="101" t="s">
        <v>69</v>
      </c>
      <c r="D22" s="102"/>
      <c r="E22" s="64"/>
      <c r="F22" s="65">
        <f>IFERROR(F21*(1+$E$21),"")</f>
        <v>56431812.573413186</v>
      </c>
      <c r="G22" s="65">
        <f>IFERROR(G21*(1+$E$21),"")</f>
        <v>61508801.714604743</v>
      </c>
      <c r="H22" s="65">
        <f>H21*(1+$E$21)</f>
        <v>61603460.141102009</v>
      </c>
      <c r="M22" s="2"/>
      <c r="P22" s="5"/>
    </row>
    <row r="23" spans="2:16" x14ac:dyDescent="0.2">
      <c r="B23" s="85"/>
      <c r="C23" s="100" t="s">
        <v>70</v>
      </c>
      <c r="D23" s="100"/>
      <c r="E23" s="72"/>
      <c r="F23" s="74">
        <f ca="1">IF(AND(F19&lt;&gt;"",F19&gt;F22),F22,IF(AND(F19&lt;&gt;"",F19&lt;F20),F20,F19))</f>
        <v>46171483.014610782</v>
      </c>
      <c r="G23" s="74">
        <f t="shared" ref="G23:H23" ca="1" si="1">IF(AND(G19&lt;&gt;"",G19&gt;G22),G22,IF(AND(G19&lt;&gt;"",G19&lt;G20),G20,G19))</f>
        <v>52484861.307017431</v>
      </c>
      <c r="H23" s="74">
        <f t="shared" ca="1" si="1"/>
        <v>52869679.789170399</v>
      </c>
      <c r="M23" s="2"/>
      <c r="P23" s="5"/>
    </row>
    <row r="26" spans="2:16" ht="15" x14ac:dyDescent="0.2">
      <c r="C26" s="2"/>
      <c r="D26" s="95" t="s">
        <v>71</v>
      </c>
      <c r="E26" s="95"/>
      <c r="F26" s="86"/>
      <c r="G26" s="86"/>
      <c r="H26" s="86"/>
      <c r="M26" s="2"/>
      <c r="P26" s="5"/>
    </row>
    <row r="27" spans="2:16" ht="15" x14ac:dyDescent="0.2">
      <c r="C27" s="2"/>
      <c r="D27" s="35"/>
      <c r="E27" s="36"/>
      <c r="F27" s="32" t="s">
        <v>55</v>
      </c>
      <c r="G27" s="32" t="s">
        <v>56</v>
      </c>
      <c r="H27" s="33" t="s">
        <v>57</v>
      </c>
      <c r="M27" s="2"/>
      <c r="P27" s="5"/>
    </row>
    <row r="28" spans="2:16" ht="15" x14ac:dyDescent="0.2">
      <c r="C28" s="2"/>
      <c r="D28" s="81" t="s">
        <v>72</v>
      </c>
      <c r="E28" s="92"/>
      <c r="F28" s="31">
        <f>DatosHoy[[#Totals],[G Actual]]</f>
        <v>715395106.32000053</v>
      </c>
      <c r="G28" s="31">
        <f>DatosHoy[[#Totals],[G+V Actual]]</f>
        <v>779756909.0128206</v>
      </c>
      <c r="H28" s="31">
        <f>DatosHoy[[#Totals],[CT Actual]]</f>
        <v>780956909.0128206</v>
      </c>
      <c r="M28" s="2"/>
      <c r="P28" s="5"/>
    </row>
    <row r="29" spans="2:16" ht="15" x14ac:dyDescent="0.2">
      <c r="C29" s="2"/>
      <c r="D29" s="81" t="s">
        <v>73</v>
      </c>
      <c r="E29" s="83"/>
      <c r="F29" s="31">
        <f ca="1">IFERROR(DatosHoy[[#Totals],[G ajus PM]],"")</f>
        <v>734790140.59605825</v>
      </c>
      <c r="G29" s="31">
        <f ca="1">IFERROR(DatosHoy[[#Totals],[G+V ajus PM]],"")</f>
        <v>780023450.15282595</v>
      </c>
      <c r="H29" s="31">
        <f ca="1">IFERROR(DatosHoy[[#Totals],[CT ajus PM]],"")</f>
        <v>781796733.07458615</v>
      </c>
      <c r="M29" s="2"/>
      <c r="P29" s="5"/>
    </row>
    <row r="30" spans="2:16" ht="15" x14ac:dyDescent="0.2">
      <c r="C30" s="2"/>
      <c r="D30" s="54" t="s">
        <v>74</v>
      </c>
      <c r="E30" s="75">
        <f ca="1">IFERROR(SUM(F30:H30),"")</f>
        <v>2.7811270387346654E-2</v>
      </c>
      <c r="F30" s="61">
        <f ca="1">IFERROR(ABS(1-F28/F29),"")</f>
        <v>2.6395338212247377E-2</v>
      </c>
      <c r="G30" s="34">
        <f ca="1">IFERROR(ABS(1-G28/G29),"")</f>
        <v>3.4170913701780936E-4</v>
      </c>
      <c r="H30" s="34">
        <f ca="1">IFERROR(ABS(1-H28/H29),"")</f>
        <v>1.0742230380814677E-3</v>
      </c>
      <c r="M30" s="2"/>
      <c r="P30" s="5"/>
    </row>
    <row r="31" spans="2:16" ht="15" x14ac:dyDescent="0.2">
      <c r="C31" s="2"/>
      <c r="D31" s="81" t="s">
        <v>75</v>
      </c>
      <c r="E31" s="82"/>
      <c r="F31" s="27">
        <f ca="1">SUMIF(DatosHoy[G ajus PM],"&lt;0")</f>
        <v>0</v>
      </c>
      <c r="G31" s="27">
        <f ca="1">SUMIF(DatosHoy[G+V ajus PM],"&lt;0")</f>
        <v>0</v>
      </c>
      <c r="H31" s="27">
        <f ca="1">SUMIF(DatosHoy[CT ajus PM],"&lt;0")</f>
        <v>0</v>
      </c>
      <c r="M31" s="2"/>
      <c r="P31" s="5"/>
    </row>
    <row r="32" spans="2:16" ht="15" x14ac:dyDescent="0.2">
      <c r="C32" s="10"/>
      <c r="E32" s="5"/>
      <c r="F32" s="5"/>
      <c r="G32" s="5"/>
    </row>
    <row r="33" spans="2:15" ht="15" x14ac:dyDescent="0.2">
      <c r="B33" s="81" t="s">
        <v>76</v>
      </c>
      <c r="C33" s="99"/>
      <c r="D33" s="92"/>
      <c r="E33" s="2"/>
      <c r="F33" s="2"/>
      <c r="G33" s="2"/>
      <c r="L33" s="5"/>
      <c r="O33" s="2"/>
    </row>
    <row r="34" spans="2:15" ht="15" x14ac:dyDescent="0.2">
      <c r="B34" s="25">
        <v>2</v>
      </c>
      <c r="C34" s="81" t="s">
        <v>77</v>
      </c>
      <c r="D34" s="99"/>
      <c r="E34" s="75">
        <f ca="1">IF(OR(OR(F30="",G30="",H30=""),AND(F30="",G30="",H30="")),"NO",SUM(F30:H30))</f>
        <v>2.7811270387346654E-2</v>
      </c>
      <c r="F34" s="2"/>
      <c r="G34" s="2"/>
      <c r="L34" s="5"/>
      <c r="O34" s="2"/>
    </row>
    <row r="35" spans="2:15" ht="15" x14ac:dyDescent="0.2">
      <c r="B35" s="25">
        <v>1</v>
      </c>
      <c r="C35" s="81" t="s">
        <v>78</v>
      </c>
      <c r="D35" s="92"/>
      <c r="E35" s="68">
        <f ca="1">COUNTIF(DatosHoy[[V1]:[V5]],"&gt;=0")</f>
        <v>0</v>
      </c>
      <c r="F35" s="2"/>
      <c r="G35" s="2"/>
      <c r="L35" s="5"/>
      <c r="O35" s="2"/>
    </row>
    <row r="36" spans="2:15" ht="15" x14ac:dyDescent="0.2">
      <c r="B36" s="96">
        <v>3</v>
      </c>
      <c r="C36" s="81" t="s">
        <v>79</v>
      </c>
      <c r="D36" s="92"/>
      <c r="E36" s="34">
        <f ca="1">IFERROR(COUNTIFS(DatosHoy[Posicion.],"&gt;120%")/COUNT(DatosHoy[Posicion.]),"")</f>
        <v>9.3525179856115109E-2</v>
      </c>
      <c r="F36" s="2"/>
      <c r="G36" s="2"/>
      <c r="L36" s="5"/>
      <c r="O36" s="2"/>
    </row>
    <row r="37" spans="2:15" ht="15" x14ac:dyDescent="0.2">
      <c r="B37" s="97"/>
      <c r="C37" s="81" t="s">
        <v>80</v>
      </c>
      <c r="D37" s="92"/>
      <c r="E37" s="34">
        <f ca="1">IFERROR(COUNTIFS(DatosHoy[Posicion.],"&gt;=80%",DatosHoy[Posicion.],"&lt;=120%")/COUNT(DatosHoy[Posicion.]),"NO")</f>
        <v>0.81294964028776984</v>
      </c>
      <c r="F37" s="2"/>
      <c r="G37" s="2"/>
      <c r="L37" s="5"/>
      <c r="O37" s="2"/>
    </row>
    <row r="38" spans="2:15" ht="15" x14ac:dyDescent="0.2">
      <c r="B38" s="98"/>
      <c r="C38" s="81" t="s">
        <v>81</v>
      </c>
      <c r="D38" s="92"/>
      <c r="E38" s="34">
        <f ca="1">IFERROR(COUNTIFS(DatosHoy[Posicion.],"&lt;80%")/COUNT(DatosHoy[Posicion.]),"")</f>
        <v>9.3525179856115109E-2</v>
      </c>
      <c r="F38" s="2"/>
      <c r="G38" s="2"/>
      <c r="L38" s="5"/>
      <c r="O38" s="2"/>
    </row>
    <row r="39" spans="2:15" x14ac:dyDescent="0.2">
      <c r="E39" s="2"/>
    </row>
    <row r="40" spans="2:15" ht="15" x14ac:dyDescent="0.2">
      <c r="C40" s="59" t="s">
        <v>41</v>
      </c>
      <c r="D40" s="72">
        <v>1814</v>
      </c>
      <c r="E40" s="2"/>
    </row>
    <row r="42" spans="2:15" x14ac:dyDescent="0.2">
      <c r="B42" s="1"/>
      <c r="C42" s="46" t="s">
        <v>77</v>
      </c>
      <c r="D42" s="46" t="s">
        <v>78</v>
      </c>
      <c r="E42" s="46" t="s">
        <v>80</v>
      </c>
      <c r="G42" s="2"/>
      <c r="L42" s="5"/>
      <c r="O42" s="2"/>
    </row>
    <row r="43" spans="2:15" ht="15" x14ac:dyDescent="0.2">
      <c r="B43" s="42" t="s">
        <v>41</v>
      </c>
      <c r="C43" s="47">
        <f ca="1">E34</f>
        <v>2.7811270387346654E-2</v>
      </c>
      <c r="D43" s="48">
        <f ca="1">E35</f>
        <v>0</v>
      </c>
      <c r="E43" s="49">
        <f ca="1">E37</f>
        <v>0.81294964028776984</v>
      </c>
      <c r="G43" s="2"/>
      <c r="L43" s="5"/>
      <c r="O43" s="2"/>
    </row>
    <row r="44" spans="2:15" ht="15" x14ac:dyDescent="0.2">
      <c r="B44" s="50">
        <v>1893</v>
      </c>
      <c r="C44" s="51">
        <v>2.5864345727500848E-2</v>
      </c>
      <c r="D44" s="52">
        <v>0</v>
      </c>
      <c r="E44" s="53">
        <v>0.72661870503597126</v>
      </c>
      <c r="G44" s="2"/>
      <c r="H44" s="77" t="s">
        <v>82</v>
      </c>
      <c r="L44" s="5"/>
      <c r="O44" s="2"/>
    </row>
    <row r="45" spans="2:15" x14ac:dyDescent="0.2">
      <c r="B45" s="50">
        <v>1814</v>
      </c>
      <c r="C45" s="51">
        <v>2.7811270387346654E-2</v>
      </c>
      <c r="D45" s="52">
        <v>0</v>
      </c>
      <c r="E45" s="53">
        <v>0.81294964028776984</v>
      </c>
      <c r="G45" s="2"/>
      <c r="H45" s="78">
        <v>1893</v>
      </c>
      <c r="L45" s="5"/>
      <c r="O45" s="2"/>
    </row>
    <row r="46" spans="2:15" x14ac:dyDescent="0.2">
      <c r="B46" s="50">
        <v>1840</v>
      </c>
      <c r="C46" s="51">
        <v>3.0508483855159141E-2</v>
      </c>
      <c r="D46" s="52">
        <v>0</v>
      </c>
      <c r="E46" s="53">
        <v>0.63309352517985606</v>
      </c>
      <c r="G46" s="2"/>
      <c r="H46" s="78">
        <v>1814</v>
      </c>
      <c r="L46" s="5"/>
      <c r="O46" s="2"/>
    </row>
    <row r="47" spans="2:15" x14ac:dyDescent="0.2">
      <c r="B47" s="50">
        <v>1755</v>
      </c>
      <c r="C47" s="51">
        <v>3.0852633061690171E-2</v>
      </c>
      <c r="D47" s="52">
        <v>0</v>
      </c>
      <c r="E47" s="53">
        <v>0.84172661870503596</v>
      </c>
      <c r="G47" s="2"/>
      <c r="H47" s="78">
        <v>1755</v>
      </c>
      <c r="L47" s="5"/>
      <c r="O47" s="2"/>
    </row>
    <row r="48" spans="2:15" x14ac:dyDescent="0.2">
      <c r="B48" s="50">
        <v>1785</v>
      </c>
      <c r="C48" s="51">
        <v>3.1262364814234389E-2</v>
      </c>
      <c r="D48" s="52">
        <v>0</v>
      </c>
      <c r="E48" s="53">
        <v>0.81294964028776984</v>
      </c>
      <c r="G48" s="2"/>
      <c r="H48" s="78"/>
      <c r="L48" s="5"/>
      <c r="O48" s="2"/>
    </row>
    <row r="49" spans="2:15" x14ac:dyDescent="0.2">
      <c r="B49" s="50">
        <v>1894</v>
      </c>
      <c r="C49" s="51">
        <v>3.2475958351513179E-2</v>
      </c>
      <c r="D49" s="52">
        <v>0</v>
      </c>
      <c r="E49" s="53">
        <v>0.73381294964028776</v>
      </c>
      <c r="G49" s="2"/>
      <c r="H49" s="78"/>
      <c r="L49" s="5"/>
      <c r="O49" s="2"/>
    </row>
    <row r="50" spans="2:15" x14ac:dyDescent="0.2">
      <c r="B50" s="50">
        <v>1813</v>
      </c>
      <c r="C50" s="51">
        <v>3.3748090237120887E-2</v>
      </c>
      <c r="D50" s="52">
        <v>0</v>
      </c>
      <c r="E50" s="53">
        <v>0.84172661870503596</v>
      </c>
      <c r="G50" s="2"/>
      <c r="H50" s="78"/>
      <c r="L50" s="5"/>
      <c r="O50" s="2"/>
    </row>
    <row r="51" spans="2:15" x14ac:dyDescent="0.2">
      <c r="B51" s="50">
        <v>1783</v>
      </c>
      <c r="C51" s="51">
        <v>3.3838579037157257E-2</v>
      </c>
      <c r="D51" s="52">
        <v>0</v>
      </c>
      <c r="E51" s="53">
        <v>0.73381294964028776</v>
      </c>
      <c r="G51" s="2"/>
      <c r="H51" s="78"/>
      <c r="L51" s="5"/>
      <c r="O51" s="2"/>
    </row>
    <row r="52" spans="2:15" x14ac:dyDescent="0.2">
      <c r="B52" s="50">
        <v>1784</v>
      </c>
      <c r="C52" s="51">
        <v>3.4375434533287397E-2</v>
      </c>
      <c r="D52" s="52">
        <v>0</v>
      </c>
      <c r="E52" s="53">
        <v>0.84172661870503596</v>
      </c>
      <c r="G52" s="2"/>
      <c r="H52" s="78"/>
      <c r="L52" s="5"/>
      <c r="O52" s="2"/>
    </row>
    <row r="53" spans="2:15" x14ac:dyDescent="0.2">
      <c r="B53" s="50">
        <v>1812</v>
      </c>
      <c r="C53" s="51">
        <v>3.5012009606725458E-2</v>
      </c>
      <c r="D53" s="52">
        <v>0</v>
      </c>
      <c r="E53" s="53">
        <v>0.73381294964028776</v>
      </c>
      <c r="G53" s="2"/>
      <c r="L53" s="5"/>
      <c r="O53" s="2"/>
    </row>
    <row r="54" spans="2:15" x14ac:dyDescent="0.2">
      <c r="B54" s="50">
        <v>1892</v>
      </c>
      <c r="C54" s="51">
        <v>3.9276683267144397E-2</v>
      </c>
      <c r="D54" s="52">
        <v>0</v>
      </c>
      <c r="E54" s="53">
        <v>0.72661870503597126</v>
      </c>
      <c r="G54" s="2"/>
      <c r="L54" s="5"/>
      <c r="O54" s="2"/>
    </row>
    <row r="55" spans="2:15" x14ac:dyDescent="0.2">
      <c r="B55" s="50">
        <v>1754</v>
      </c>
      <c r="C55" s="51">
        <v>4.0432883963156807E-2</v>
      </c>
      <c r="D55" s="52">
        <v>0</v>
      </c>
      <c r="E55" s="53">
        <v>0.84172661870503596</v>
      </c>
      <c r="G55" s="2"/>
      <c r="L55" s="5"/>
      <c r="O55" s="2"/>
    </row>
    <row r="56" spans="2:15" x14ac:dyDescent="0.2">
      <c r="B56" s="50">
        <v>1839</v>
      </c>
      <c r="C56" s="51">
        <v>4.2306803357862854E-2</v>
      </c>
      <c r="D56" s="52">
        <v>0</v>
      </c>
      <c r="E56" s="53">
        <v>0.63309352517985606</v>
      </c>
      <c r="G56" s="2"/>
      <c r="L56" s="5"/>
      <c r="O56" s="2"/>
    </row>
    <row r="57" spans="2:15" x14ac:dyDescent="0.2">
      <c r="B57" s="50">
        <v>1692</v>
      </c>
      <c r="C57" s="51">
        <v>4.5116438290863203E-2</v>
      </c>
      <c r="D57" s="52">
        <v>0</v>
      </c>
      <c r="E57" s="53">
        <v>0.84172661870503596</v>
      </c>
      <c r="G57" s="2"/>
      <c r="L57" s="5"/>
      <c r="O57" s="2"/>
    </row>
    <row r="58" spans="2:15" x14ac:dyDescent="0.2">
      <c r="B58" s="50">
        <v>1753</v>
      </c>
      <c r="C58" s="51">
        <v>4.7529633631711699E-2</v>
      </c>
      <c r="D58" s="52">
        <v>0</v>
      </c>
      <c r="E58" s="53">
        <v>0.83453237410071945</v>
      </c>
      <c r="G58" s="2"/>
      <c r="L58" s="5"/>
      <c r="O58" s="2"/>
    </row>
    <row r="59" spans="2:15" x14ac:dyDescent="0.2">
      <c r="B59" s="50">
        <v>1841</v>
      </c>
      <c r="C59" s="51">
        <v>4.860386459845889E-2</v>
      </c>
      <c r="D59" s="52">
        <v>0</v>
      </c>
      <c r="E59" s="53">
        <v>0.64028776978417268</v>
      </c>
      <c r="G59" s="2"/>
      <c r="L59" s="5"/>
      <c r="O59" s="2"/>
    </row>
    <row r="60" spans="2:15" x14ac:dyDescent="0.2">
      <c r="B60" s="50">
        <v>1811</v>
      </c>
      <c r="C60" s="51">
        <v>4.9315819068793343E-2</v>
      </c>
      <c r="D60" s="52">
        <v>0</v>
      </c>
      <c r="E60" s="53">
        <v>0.73381294964028776</v>
      </c>
      <c r="G60" s="2"/>
      <c r="L60" s="5"/>
      <c r="O60" s="2"/>
    </row>
    <row r="61" spans="2:15" x14ac:dyDescent="0.2">
      <c r="B61" s="50">
        <v>1867</v>
      </c>
      <c r="C61" s="51">
        <v>4.9395353404298015E-2</v>
      </c>
      <c r="D61" s="52">
        <v>0</v>
      </c>
      <c r="E61" s="53">
        <v>0.62589928057553956</v>
      </c>
      <c r="G61" s="2"/>
      <c r="L61" s="5"/>
      <c r="O61" s="2"/>
    </row>
    <row r="62" spans="2:15" x14ac:dyDescent="0.2">
      <c r="B62" s="50">
        <v>1782</v>
      </c>
      <c r="C62" s="51">
        <v>5.0218605156900908E-2</v>
      </c>
      <c r="D62" s="52">
        <v>0</v>
      </c>
      <c r="E62" s="53">
        <v>0.80575539568345322</v>
      </c>
      <c r="G62" s="2"/>
      <c r="L62" s="5"/>
      <c r="O62" s="2"/>
    </row>
    <row r="63" spans="2:15" x14ac:dyDescent="0.2">
      <c r="B63" s="50">
        <v>1691</v>
      </c>
      <c r="C63" s="51">
        <v>5.5317392900634532E-2</v>
      </c>
      <c r="D63" s="52">
        <v>0</v>
      </c>
      <c r="E63" s="53">
        <v>0.84172661870503596</v>
      </c>
      <c r="G63" s="2"/>
      <c r="L63" s="5"/>
      <c r="O63" s="2"/>
    </row>
    <row r="64" spans="2:15" x14ac:dyDescent="0.2">
      <c r="B64" s="50">
        <v>1752</v>
      </c>
      <c r="C64" s="51">
        <v>5.6478239247505613E-2</v>
      </c>
      <c r="D64" s="52">
        <v>0</v>
      </c>
      <c r="E64" s="53">
        <v>0.83453237410071945</v>
      </c>
      <c r="G64" s="2"/>
      <c r="L64" s="5"/>
      <c r="O64" s="2"/>
    </row>
    <row r="65" spans="2:15" x14ac:dyDescent="0.2">
      <c r="B65" s="50">
        <v>1624</v>
      </c>
      <c r="C65" s="51">
        <v>5.6681009391586934E-2</v>
      </c>
      <c r="D65" s="52">
        <v>0</v>
      </c>
      <c r="E65" s="53">
        <v>0.84172661870503596</v>
      </c>
      <c r="G65" s="2"/>
      <c r="L65" s="5"/>
      <c r="O65" s="2"/>
    </row>
    <row r="66" spans="2:15" x14ac:dyDescent="0.2">
      <c r="B66" s="50">
        <v>1623</v>
      </c>
      <c r="C66" s="51">
        <v>5.8103105647218767E-2</v>
      </c>
      <c r="D66" s="52">
        <v>0</v>
      </c>
      <c r="E66" s="53">
        <v>0.83453237410071945</v>
      </c>
      <c r="G66" s="2"/>
      <c r="L66" s="5"/>
      <c r="O66" s="2"/>
    </row>
    <row r="67" spans="2:15" x14ac:dyDescent="0.2">
      <c r="B67" s="50">
        <v>1724</v>
      </c>
      <c r="C67" s="51">
        <v>5.9807342950897402E-2</v>
      </c>
      <c r="D67" s="52">
        <v>0</v>
      </c>
      <c r="E67" s="53">
        <v>0.84172661870503596</v>
      </c>
      <c r="G67" s="2"/>
      <c r="L67" s="5"/>
      <c r="O67" s="2"/>
    </row>
    <row r="68" spans="2:15" x14ac:dyDescent="0.2">
      <c r="B68" s="50">
        <v>1866</v>
      </c>
      <c r="C68" s="51">
        <v>6.0568821978794429E-2</v>
      </c>
      <c r="D68" s="52">
        <v>0</v>
      </c>
      <c r="E68" s="53">
        <v>0.62589928057553956</v>
      </c>
      <c r="G68" s="2"/>
      <c r="L68" s="5"/>
      <c r="O68" s="2"/>
    </row>
    <row r="69" spans="2:15" x14ac:dyDescent="0.2">
      <c r="B69" s="50">
        <v>1658</v>
      </c>
      <c r="C69" s="51">
        <v>6.1552047989289704E-2</v>
      </c>
      <c r="D69" s="52">
        <v>0</v>
      </c>
      <c r="E69" s="53">
        <v>0.84172661870503596</v>
      </c>
      <c r="G69" s="2"/>
      <c r="L69" s="5"/>
      <c r="O69" s="2"/>
    </row>
    <row r="70" spans="2:15" x14ac:dyDescent="0.2">
      <c r="B70" s="50">
        <v>1868</v>
      </c>
      <c r="C70" s="51">
        <v>6.4900360032788762E-2</v>
      </c>
      <c r="D70" s="52">
        <v>0</v>
      </c>
      <c r="E70" s="53">
        <v>0.64028776978417268</v>
      </c>
      <c r="G70" s="2"/>
      <c r="L70" s="5"/>
      <c r="O70" s="2"/>
    </row>
    <row r="71" spans="2:15" x14ac:dyDescent="0.2">
      <c r="B71" s="50">
        <v>1690</v>
      </c>
      <c r="C71" s="51">
        <v>6.5464841641786897E-2</v>
      </c>
      <c r="D71" s="52">
        <v>0</v>
      </c>
      <c r="E71" s="53">
        <v>0.83453237410071945</v>
      </c>
      <c r="G71" s="2"/>
      <c r="L71" s="5"/>
      <c r="O71" s="2"/>
    </row>
    <row r="72" spans="2:15" x14ac:dyDescent="0.2">
      <c r="B72" s="50">
        <v>1920</v>
      </c>
      <c r="C72" s="51">
        <v>6.5723107619041432E-2</v>
      </c>
      <c r="D72" s="52">
        <v>0</v>
      </c>
      <c r="E72" s="53">
        <v>0.84172661870503596</v>
      </c>
      <c r="G72" s="2"/>
      <c r="L72" s="5"/>
      <c r="O72" s="2"/>
    </row>
    <row r="73" spans="2:15" x14ac:dyDescent="0.2">
      <c r="B73" s="50">
        <v>1689</v>
      </c>
      <c r="C73" s="51">
        <v>7.2193146766133642E-2</v>
      </c>
      <c r="D73" s="52">
        <v>0</v>
      </c>
      <c r="E73" s="53">
        <v>0.83453237410071945</v>
      </c>
      <c r="G73" s="2"/>
      <c r="L73" s="5"/>
      <c r="O73" s="2"/>
    </row>
    <row r="74" spans="2:15" x14ac:dyDescent="0.2">
      <c r="B74" s="50">
        <v>1895</v>
      </c>
      <c r="C74" s="51">
        <v>7.479259578917119E-2</v>
      </c>
      <c r="D74" s="52">
        <v>0</v>
      </c>
      <c r="E74" s="53">
        <v>0.64028776978417268</v>
      </c>
      <c r="G74" s="2"/>
      <c r="L74" s="5"/>
      <c r="O74" s="2"/>
    </row>
    <row r="75" spans="2:15" x14ac:dyDescent="0.2">
      <c r="B75" s="50">
        <v>73</v>
      </c>
      <c r="C75" s="51">
        <v>7.9551200015247847E-2</v>
      </c>
      <c r="D75" s="52">
        <v>0</v>
      </c>
      <c r="E75" s="53">
        <v>0.5611510791366906</v>
      </c>
      <c r="G75" s="2"/>
      <c r="L75" s="5"/>
      <c r="O75" s="2"/>
    </row>
    <row r="76" spans="2:15" x14ac:dyDescent="0.2">
      <c r="B76" s="50">
        <v>2191</v>
      </c>
      <c r="C76" s="51">
        <v>7.9551200015247847E-2</v>
      </c>
      <c r="D76" s="52">
        <v>0</v>
      </c>
      <c r="E76" s="53">
        <v>0.5611510791366906</v>
      </c>
      <c r="G76" s="2"/>
      <c r="L76" s="5"/>
      <c r="O76" s="2"/>
    </row>
    <row r="77" spans="2:15" x14ac:dyDescent="0.2">
      <c r="B77" s="50">
        <v>1723</v>
      </c>
      <c r="C77" s="51">
        <v>8.153426327160318E-2</v>
      </c>
      <c r="D77" s="52">
        <v>0</v>
      </c>
      <c r="E77" s="53">
        <v>0.83453237410071945</v>
      </c>
      <c r="G77" s="2"/>
      <c r="L77" s="5"/>
      <c r="O77" s="2"/>
    </row>
    <row r="78" spans="2:15" x14ac:dyDescent="0.2">
      <c r="B78" s="50">
        <v>1657</v>
      </c>
      <c r="C78" s="51">
        <v>8.1793311887434772E-2</v>
      </c>
      <c r="D78" s="52">
        <v>0</v>
      </c>
      <c r="E78" s="53">
        <v>0.83453237410071945</v>
      </c>
      <c r="G78" s="2"/>
      <c r="L78" s="5"/>
      <c r="O78" s="2"/>
    </row>
    <row r="79" spans="2:15" x14ac:dyDescent="0.2">
      <c r="B79" s="50">
        <v>1842</v>
      </c>
      <c r="C79" s="51">
        <v>8.5602859598926551E-2</v>
      </c>
      <c r="D79" s="52">
        <v>0</v>
      </c>
      <c r="E79" s="53">
        <v>0.64028776978417268</v>
      </c>
      <c r="G79" s="2"/>
      <c r="L79" s="5"/>
      <c r="O79" s="2"/>
    </row>
    <row r="80" spans="2:15" x14ac:dyDescent="0.2">
      <c r="B80" s="50">
        <v>1917</v>
      </c>
      <c r="C80" s="51">
        <v>9.4418981970556537E-2</v>
      </c>
      <c r="D80" s="52">
        <v>0</v>
      </c>
      <c r="E80" s="53">
        <v>0.83453237410071945</v>
      </c>
      <c r="G80" s="2"/>
      <c r="L80" s="5"/>
      <c r="O80" s="2"/>
    </row>
    <row r="81" spans="2:15" x14ac:dyDescent="0.2">
      <c r="B81" s="50">
        <v>1721</v>
      </c>
      <c r="C81" s="51">
        <v>0.10073003515209478</v>
      </c>
      <c r="D81" s="52">
        <v>0</v>
      </c>
      <c r="E81" s="53">
        <v>0.83453237410071945</v>
      </c>
      <c r="G81" s="2"/>
      <c r="L81" s="5"/>
      <c r="O81" s="2"/>
    </row>
    <row r="82" spans="2:15" x14ac:dyDescent="0.2">
      <c r="B82" s="50">
        <v>1869</v>
      </c>
      <c r="C82" s="51">
        <v>0.10305759996144948</v>
      </c>
      <c r="D82" s="52">
        <v>0</v>
      </c>
      <c r="E82" s="53">
        <v>0.63309352517985606</v>
      </c>
      <c r="G82" s="2"/>
      <c r="L82" s="5"/>
      <c r="O82" s="2"/>
    </row>
    <row r="83" spans="2:15" x14ac:dyDescent="0.2">
      <c r="B83" s="50">
        <v>1943</v>
      </c>
      <c r="C83" s="51">
        <v>0.10640761279964239</v>
      </c>
      <c r="D83" s="52">
        <v>0</v>
      </c>
      <c r="E83" s="53">
        <v>0.56834532374100721</v>
      </c>
      <c r="G83" s="2"/>
      <c r="L83" s="5"/>
      <c r="O83" s="2"/>
    </row>
    <row r="84" spans="2:15" x14ac:dyDescent="0.2">
      <c r="B84" s="50">
        <v>1919</v>
      </c>
      <c r="C84" s="51">
        <v>0.1076725612594287</v>
      </c>
      <c r="D84" s="52">
        <v>0</v>
      </c>
      <c r="E84" s="53">
        <v>0.84172661870503596</v>
      </c>
      <c r="G84" s="2"/>
      <c r="L84" s="5"/>
      <c r="O84" s="2"/>
    </row>
    <row r="85" spans="2:15" x14ac:dyDescent="0.2">
      <c r="B85" s="50">
        <v>1918</v>
      </c>
      <c r="C85" s="51">
        <v>0.10926719554228526</v>
      </c>
      <c r="D85" s="52">
        <v>0</v>
      </c>
      <c r="E85" s="53">
        <v>0.83453237410071945</v>
      </c>
      <c r="G85" s="2"/>
      <c r="L85" s="5"/>
      <c r="O85" s="2"/>
    </row>
    <row r="86" spans="2:15" x14ac:dyDescent="0.2">
      <c r="B86" s="50">
        <v>1942</v>
      </c>
      <c r="C86" s="51">
        <v>0.1125243222252682</v>
      </c>
      <c r="D86" s="52">
        <v>0</v>
      </c>
      <c r="E86" s="53">
        <v>0.56834532374100721</v>
      </c>
      <c r="G86" s="2"/>
      <c r="L86" s="5"/>
      <c r="O86" s="2"/>
    </row>
    <row r="87" spans="2:15" x14ac:dyDescent="0.2">
      <c r="B87" s="50">
        <v>1722</v>
      </c>
      <c r="C87" s="51">
        <v>0.11685499475805061</v>
      </c>
      <c r="D87" s="52">
        <v>0</v>
      </c>
      <c r="E87" s="53">
        <v>0.83453237410071945</v>
      </c>
      <c r="G87" s="2"/>
      <c r="L87" s="5"/>
      <c r="O87" s="2"/>
    </row>
    <row r="88" spans="2:15" x14ac:dyDescent="0.2">
      <c r="B88" s="50">
        <v>1941</v>
      </c>
      <c r="C88" s="51">
        <v>0.12131866464796492</v>
      </c>
      <c r="D88" s="52">
        <v>0</v>
      </c>
      <c r="E88" s="53">
        <v>0.56834532374100721</v>
      </c>
      <c r="G88" s="2"/>
      <c r="L88" s="5"/>
      <c r="O88" s="2"/>
    </row>
    <row r="89" spans="2:15" x14ac:dyDescent="0.2">
      <c r="B89" s="50">
        <v>1478</v>
      </c>
      <c r="C89" s="51">
        <v>0.12527557178471826</v>
      </c>
      <c r="D89" s="52">
        <v>0</v>
      </c>
      <c r="E89" s="53">
        <v>0.87050359712230219</v>
      </c>
      <c r="G89" s="2"/>
      <c r="L89" s="5"/>
      <c r="O89" s="2"/>
    </row>
    <row r="90" spans="2:15" x14ac:dyDescent="0.2">
      <c r="B90" s="50">
        <v>1944</v>
      </c>
      <c r="C90" s="51">
        <v>0.14450435534353701</v>
      </c>
      <c r="D90" s="52">
        <v>0</v>
      </c>
      <c r="E90" s="53">
        <v>0.57553956834532372</v>
      </c>
      <c r="G90" s="2"/>
      <c r="L90" s="5"/>
      <c r="O90" s="2"/>
    </row>
    <row r="91" spans="2:15" x14ac:dyDescent="0.2">
      <c r="B91" s="50">
        <v>1477</v>
      </c>
      <c r="C91" s="51">
        <v>0.16241887462136462</v>
      </c>
      <c r="D91" s="52">
        <v>0</v>
      </c>
      <c r="E91" s="53">
        <v>0.86330935251798557</v>
      </c>
      <c r="G91" s="2"/>
      <c r="L91" s="5"/>
      <c r="O91" s="2"/>
    </row>
    <row r="92" spans="2:15" x14ac:dyDescent="0.2">
      <c r="B92" s="50">
        <v>2196</v>
      </c>
      <c r="C92" s="51">
        <v>0.1918212488862312</v>
      </c>
      <c r="D92" s="52">
        <v>0</v>
      </c>
      <c r="E92" s="53">
        <v>0.5611510791366906</v>
      </c>
      <c r="G92" s="2"/>
      <c r="L92" s="5"/>
      <c r="O92" s="2"/>
    </row>
    <row r="93" spans="2:15" x14ac:dyDescent="0.2">
      <c r="B93" s="50">
        <v>1358</v>
      </c>
      <c r="C93" s="51">
        <v>0.19381702711400361</v>
      </c>
      <c r="D93" s="52">
        <v>0</v>
      </c>
      <c r="E93" s="53">
        <v>0.7769784172661871</v>
      </c>
      <c r="G93" s="2"/>
      <c r="L93" s="5"/>
      <c r="O93" s="2"/>
    </row>
    <row r="94" spans="2:15" x14ac:dyDescent="0.2">
      <c r="B94" s="50">
        <v>2155</v>
      </c>
      <c r="C94" s="51">
        <v>0.21048544105803069</v>
      </c>
      <c r="D94" s="52">
        <v>0</v>
      </c>
      <c r="E94" s="53">
        <v>0.58992805755395683</v>
      </c>
      <c r="G94" s="2"/>
      <c r="L94" s="5"/>
      <c r="O94" s="2"/>
    </row>
    <row r="95" spans="2:15" x14ac:dyDescent="0.2">
      <c r="B95" s="50">
        <v>1357</v>
      </c>
      <c r="C95" s="51">
        <v>0.2341323467681482</v>
      </c>
      <c r="D95" s="52">
        <v>0</v>
      </c>
      <c r="E95" s="53">
        <v>0.7769784172661871</v>
      </c>
      <c r="G95" s="2"/>
      <c r="L95" s="5"/>
      <c r="O95" s="2"/>
    </row>
    <row r="96" spans="2:15" x14ac:dyDescent="0.2">
      <c r="B96" s="50">
        <v>1228</v>
      </c>
      <c r="C96" s="51">
        <v>0.24891899865691047</v>
      </c>
      <c r="D96" s="52">
        <v>0</v>
      </c>
      <c r="E96" s="53">
        <v>0.76978417266187049</v>
      </c>
      <c r="G96" s="2"/>
      <c r="L96" s="5"/>
      <c r="O96" s="2"/>
    </row>
    <row r="97" spans="2:15" x14ac:dyDescent="0.2">
      <c r="B97" s="50">
        <v>1399</v>
      </c>
      <c r="C97" s="51">
        <v>0.26720918327618293</v>
      </c>
      <c r="D97" s="52">
        <v>0</v>
      </c>
      <c r="E97" s="53">
        <v>0.74820143884892087</v>
      </c>
      <c r="G97" s="2"/>
      <c r="L97" s="5"/>
      <c r="O97" s="2"/>
    </row>
    <row r="98" spans="2:15" x14ac:dyDescent="0.2">
      <c r="B98" s="50">
        <v>1315</v>
      </c>
      <c r="C98" s="51">
        <v>0.27365529670780409</v>
      </c>
      <c r="D98" s="52">
        <v>0</v>
      </c>
      <c r="E98" s="53">
        <v>0.76258992805755399</v>
      </c>
      <c r="G98" s="2"/>
      <c r="L98" s="5"/>
      <c r="O98" s="2"/>
    </row>
    <row r="99" spans="2:15" x14ac:dyDescent="0.2">
      <c r="B99" s="50">
        <v>1183</v>
      </c>
      <c r="C99" s="51">
        <v>0.27473045245194383</v>
      </c>
      <c r="D99" s="52">
        <v>0</v>
      </c>
      <c r="E99" s="53">
        <v>0.76258992805755399</v>
      </c>
      <c r="G99" s="2"/>
      <c r="L99" s="5"/>
      <c r="O99" s="2"/>
    </row>
    <row r="100" spans="2:15" x14ac:dyDescent="0.2">
      <c r="B100" s="50">
        <v>1439</v>
      </c>
      <c r="C100" s="51">
        <v>0.28035682918243765</v>
      </c>
      <c r="D100" s="52">
        <v>0</v>
      </c>
      <c r="E100" s="53">
        <v>0.74820143884892087</v>
      </c>
      <c r="G100" s="2"/>
      <c r="L100" s="5"/>
      <c r="O100" s="2"/>
    </row>
    <row r="101" spans="2:15" x14ac:dyDescent="0.2">
      <c r="B101" s="50">
        <v>2153</v>
      </c>
      <c r="C101" s="51">
        <v>0.28038636294044506</v>
      </c>
      <c r="D101" s="52">
        <v>0</v>
      </c>
      <c r="E101" s="53">
        <v>0.5611510791366906</v>
      </c>
      <c r="G101" s="2"/>
      <c r="L101" s="5"/>
      <c r="O101" s="2"/>
    </row>
    <row r="102" spans="2:15" x14ac:dyDescent="0.2">
      <c r="B102" s="50">
        <v>2166</v>
      </c>
      <c r="C102" s="51">
        <v>0.29684276292647771</v>
      </c>
      <c r="D102" s="52">
        <v>0</v>
      </c>
      <c r="E102" s="53">
        <v>0.57553956834532372</v>
      </c>
      <c r="G102" s="2"/>
      <c r="L102" s="5"/>
      <c r="O102" s="2"/>
    </row>
    <row r="103" spans="2:15" x14ac:dyDescent="0.2">
      <c r="B103" s="50">
        <v>1398</v>
      </c>
      <c r="C103" s="51">
        <v>0.30489586431295446</v>
      </c>
      <c r="D103" s="52">
        <v>0</v>
      </c>
      <c r="E103" s="53">
        <v>0.74820143884892087</v>
      </c>
      <c r="G103" s="2"/>
      <c r="L103" s="5"/>
      <c r="O103" s="2"/>
    </row>
    <row r="104" spans="2:15" x14ac:dyDescent="0.2">
      <c r="B104" s="50">
        <v>1438</v>
      </c>
      <c r="C104" s="51">
        <v>0.31128357076648361</v>
      </c>
      <c r="D104" s="52">
        <v>0</v>
      </c>
      <c r="E104" s="53">
        <v>0.74100719424460426</v>
      </c>
      <c r="G104" s="2"/>
      <c r="L104" s="5"/>
      <c r="O104" s="2"/>
    </row>
    <row r="105" spans="2:15" x14ac:dyDescent="0.2">
      <c r="B105" s="50">
        <v>2156</v>
      </c>
      <c r="C105" s="51">
        <v>0.31926278015176068</v>
      </c>
      <c r="D105" s="52">
        <v>0</v>
      </c>
      <c r="E105" s="53">
        <v>0.56834532374100721</v>
      </c>
      <c r="G105" s="2"/>
      <c r="L105" s="5"/>
      <c r="O105" s="2"/>
    </row>
    <row r="106" spans="2:15" x14ac:dyDescent="0.2">
      <c r="B106" s="50">
        <v>1272</v>
      </c>
      <c r="C106" s="51">
        <v>0.32141975989310501</v>
      </c>
      <c r="D106" s="52">
        <v>0</v>
      </c>
      <c r="E106" s="53">
        <v>0.74820143884892087</v>
      </c>
      <c r="G106" s="2"/>
      <c r="L106" s="5"/>
      <c r="O106" s="2"/>
    </row>
    <row r="107" spans="2:15" x14ac:dyDescent="0.2">
      <c r="B107" s="50">
        <v>2154</v>
      </c>
      <c r="C107" s="51">
        <v>0.32857859528773392</v>
      </c>
      <c r="D107" s="52">
        <v>0</v>
      </c>
      <c r="E107" s="53">
        <v>0.50359712230215825</v>
      </c>
      <c r="G107" s="2"/>
      <c r="L107" s="5"/>
      <c r="O107" s="2"/>
    </row>
    <row r="108" spans="2:15" x14ac:dyDescent="0.2">
      <c r="B108" s="50">
        <v>2183</v>
      </c>
      <c r="C108" s="51">
        <v>0.38195923837035939</v>
      </c>
      <c r="D108" s="52">
        <v>0</v>
      </c>
      <c r="E108" s="53">
        <v>0.41007194244604317</v>
      </c>
      <c r="G108" s="2"/>
      <c r="L108" s="5"/>
      <c r="O108" s="2"/>
    </row>
    <row r="109" spans="2:15" x14ac:dyDescent="0.2">
      <c r="B109" s="50">
        <v>2164</v>
      </c>
      <c r="C109" s="51">
        <v>0.43379634579679649</v>
      </c>
      <c r="D109" s="52">
        <v>0</v>
      </c>
      <c r="E109" s="53">
        <v>0.40287769784172661</v>
      </c>
      <c r="G109" s="2"/>
      <c r="L109" s="5"/>
      <c r="O109" s="2"/>
    </row>
    <row r="110" spans="2:15" x14ac:dyDescent="0.2">
      <c r="B110" s="50">
        <v>2141</v>
      </c>
      <c r="C110" s="51">
        <v>0.44595592054489785</v>
      </c>
      <c r="D110" s="52">
        <v>0</v>
      </c>
      <c r="E110" s="53">
        <v>0.40287769784172661</v>
      </c>
      <c r="G110" s="2"/>
      <c r="L110" s="5"/>
      <c r="O110" s="2"/>
    </row>
    <row r="111" spans="2:15" x14ac:dyDescent="0.2">
      <c r="B111" s="50">
        <v>2165</v>
      </c>
      <c r="C111" s="51">
        <v>0.47262483595354898</v>
      </c>
      <c r="D111" s="52">
        <v>0</v>
      </c>
      <c r="E111" s="53">
        <v>0.38848920863309355</v>
      </c>
      <c r="G111" s="2"/>
      <c r="L111" s="5"/>
      <c r="O111" s="2"/>
    </row>
    <row r="112" spans="2:15" x14ac:dyDescent="0.2">
      <c r="B112" s="50">
        <v>2143</v>
      </c>
      <c r="C112" s="51">
        <v>0.47694317355826754</v>
      </c>
      <c r="D112" s="52">
        <v>0</v>
      </c>
      <c r="E112" s="53">
        <v>0.40287769784172661</v>
      </c>
      <c r="G112" s="2"/>
      <c r="L112" s="5"/>
      <c r="O112" s="2"/>
    </row>
    <row r="113" spans="2:15" x14ac:dyDescent="0.2">
      <c r="B113" s="50">
        <v>2142</v>
      </c>
      <c r="C113" s="51">
        <v>0.50366815282487964</v>
      </c>
      <c r="D113" s="52">
        <v>0</v>
      </c>
      <c r="E113" s="53">
        <v>0.38129496402877699</v>
      </c>
      <c r="G113" s="2"/>
      <c r="L113" s="5"/>
      <c r="O113" s="2"/>
    </row>
    <row r="114" spans="2:15" x14ac:dyDescent="0.2">
      <c r="B114" s="50">
        <v>2144</v>
      </c>
      <c r="C114" s="51">
        <v>0.60731838596784504</v>
      </c>
      <c r="D114" s="52">
        <v>0</v>
      </c>
      <c r="E114" s="53">
        <v>0.36690647482014388</v>
      </c>
      <c r="G114" s="2"/>
      <c r="L114" s="5"/>
      <c r="O114" s="2"/>
    </row>
    <row r="115" spans="2:15" x14ac:dyDescent="0.2">
      <c r="B115" s="50">
        <v>2208</v>
      </c>
      <c r="C115" s="51">
        <v>0.70744655105068843</v>
      </c>
      <c r="D115" s="52">
        <v>0</v>
      </c>
      <c r="E115" s="53">
        <v>0.34532374100719426</v>
      </c>
      <c r="G115" s="2"/>
      <c r="L115" s="5"/>
      <c r="O115" s="2"/>
    </row>
    <row r="116" spans="2:15" x14ac:dyDescent="0.2">
      <c r="B116" s="50">
        <v>2210</v>
      </c>
      <c r="C116" s="51">
        <v>1.0773145092600771</v>
      </c>
      <c r="D116" s="52">
        <v>0</v>
      </c>
      <c r="E116" s="53">
        <v>6.4748201438848921E-2</v>
      </c>
      <c r="G116" s="2"/>
      <c r="L116" s="5"/>
      <c r="O116" s="2"/>
    </row>
    <row r="117" spans="2:15" x14ac:dyDescent="0.2">
      <c r="B117" s="50">
        <v>69</v>
      </c>
      <c r="C117" s="51">
        <v>1.1170369331798589</v>
      </c>
      <c r="D117" s="52">
        <v>0</v>
      </c>
      <c r="E117" s="53">
        <v>0.1079136690647482</v>
      </c>
      <c r="G117" s="2"/>
      <c r="L117" s="5"/>
      <c r="O117" s="2"/>
    </row>
    <row r="118" spans="2:15" x14ac:dyDescent="0.2">
      <c r="B118" s="50">
        <v>2209</v>
      </c>
      <c r="C118" s="51">
        <v>1.1170369331798589</v>
      </c>
      <c r="D118" s="52">
        <v>0</v>
      </c>
      <c r="E118" s="53">
        <v>0.1079136690647482</v>
      </c>
      <c r="G118" s="2"/>
      <c r="L118" s="5"/>
      <c r="O118" s="2"/>
    </row>
    <row r="119" spans="2:15" x14ac:dyDescent="0.2">
      <c r="B119" s="50">
        <v>68</v>
      </c>
      <c r="C119" s="51">
        <v>1.1798865586335547</v>
      </c>
      <c r="D119" s="52">
        <v>0</v>
      </c>
      <c r="E119" s="53">
        <v>6.4748201438848921E-2</v>
      </c>
      <c r="G119" s="2"/>
      <c r="L119" s="5"/>
      <c r="O119" s="2"/>
    </row>
    <row r="120" spans="2:15" x14ac:dyDescent="0.2">
      <c r="B120" s="50">
        <v>2211</v>
      </c>
      <c r="C120" s="51">
        <v>1.1798865586335547</v>
      </c>
      <c r="D120" s="52">
        <v>0</v>
      </c>
      <c r="E120" s="53">
        <v>6.4748201438848921E-2</v>
      </c>
      <c r="G120" s="2"/>
      <c r="L120" s="5"/>
      <c r="O120" s="2"/>
    </row>
    <row r="121" spans="2:15" x14ac:dyDescent="0.2">
      <c r="B121" s="50">
        <v>67</v>
      </c>
      <c r="C121" s="51">
        <v>1.4825940241641264</v>
      </c>
      <c r="D121" s="52">
        <v>0</v>
      </c>
      <c r="E121" s="53">
        <v>4.3165467625899283E-2</v>
      </c>
      <c r="G121" s="2"/>
      <c r="L121" s="5"/>
      <c r="O121" s="2"/>
    </row>
    <row r="122" spans="2:15" x14ac:dyDescent="0.2">
      <c r="B122" s="50">
        <v>11</v>
      </c>
      <c r="C122" s="51">
        <v>7.2532764262107206</v>
      </c>
      <c r="D122" s="52">
        <v>0</v>
      </c>
      <c r="E122" s="53">
        <v>0.83333333333333337</v>
      </c>
      <c r="G122" s="2"/>
      <c r="L122" s="5"/>
      <c r="O122" s="2"/>
    </row>
    <row r="123" spans="2:15" x14ac:dyDescent="0.2">
      <c r="B123" s="50">
        <v>10</v>
      </c>
      <c r="C123" s="51">
        <v>7.2821605083998762</v>
      </c>
      <c r="D123" s="52">
        <v>0</v>
      </c>
      <c r="E123" s="53">
        <v>0.91666666666666663</v>
      </c>
      <c r="G123" s="2"/>
      <c r="L123" s="5"/>
      <c r="O123" s="2"/>
    </row>
    <row r="124" spans="2:15" x14ac:dyDescent="0.2">
      <c r="B124" s="50">
        <v>9</v>
      </c>
      <c r="C124" s="51">
        <v>7.5819489845772754</v>
      </c>
      <c r="D124" s="52">
        <v>0</v>
      </c>
      <c r="E124" s="53">
        <v>0.75</v>
      </c>
      <c r="G124" s="2"/>
      <c r="L124" s="5"/>
      <c r="O124" s="2"/>
    </row>
    <row r="125" spans="2:15" x14ac:dyDescent="0.2">
      <c r="B125" s="50">
        <v>8</v>
      </c>
      <c r="C125" s="51">
        <v>7.683307085626792</v>
      </c>
      <c r="D125" s="52">
        <v>0</v>
      </c>
      <c r="E125" s="53">
        <v>0.75</v>
      </c>
      <c r="G125" s="2"/>
      <c r="L125" s="5"/>
      <c r="O125" s="2"/>
    </row>
    <row r="126" spans="2:15" x14ac:dyDescent="0.2">
      <c r="B126" s="50">
        <v>6</v>
      </c>
      <c r="C126" s="51">
        <v>8.1887525855517946</v>
      </c>
      <c r="D126" s="52">
        <v>0</v>
      </c>
      <c r="E126" s="53">
        <v>0.66666666666666663</v>
      </c>
      <c r="G126" s="2"/>
      <c r="L126" s="5"/>
      <c r="O126" s="2"/>
    </row>
    <row r="127" spans="2:15" x14ac:dyDescent="0.2">
      <c r="B127" s="50">
        <v>7</v>
      </c>
      <c r="C127" s="51">
        <v>8.2572587529408406</v>
      </c>
      <c r="D127" s="52">
        <v>0</v>
      </c>
      <c r="E127" s="53">
        <v>0.66666666666666663</v>
      </c>
      <c r="G127" s="2"/>
      <c r="L127" s="5"/>
      <c r="O127" s="2"/>
    </row>
    <row r="128" spans="2:15" x14ac:dyDescent="0.2">
      <c r="B128" s="50">
        <v>4</v>
      </c>
      <c r="C128" s="51">
        <v>17.63053060855896</v>
      </c>
      <c r="D128" s="52">
        <v>0</v>
      </c>
      <c r="E128" s="53">
        <v>1</v>
      </c>
      <c r="G128" s="2"/>
      <c r="L128" s="5"/>
      <c r="O128" s="2"/>
    </row>
    <row r="129" spans="2:15" x14ac:dyDescent="0.2">
      <c r="B129" s="50">
        <v>2</v>
      </c>
      <c r="C129" s="51">
        <v>41.205788892090304</v>
      </c>
      <c r="D129" s="52">
        <v>0</v>
      </c>
      <c r="E129" s="53">
        <v>1</v>
      </c>
      <c r="G129" s="2"/>
      <c r="L129" s="5"/>
      <c r="O129" s="2"/>
    </row>
    <row r="130" spans="2:15" x14ac:dyDescent="0.2">
      <c r="B130" s="50">
        <v>3</v>
      </c>
      <c r="C130" s="51">
        <v>41.227197686283787</v>
      </c>
      <c r="D130" s="52">
        <v>0</v>
      </c>
      <c r="E130" s="53">
        <v>1</v>
      </c>
      <c r="G130" s="2"/>
      <c r="L130" s="5"/>
      <c r="O130" s="2"/>
    </row>
    <row r="131" spans="2:15" x14ac:dyDescent="0.2">
      <c r="B131" s="50">
        <v>1</v>
      </c>
      <c r="C131" s="51" t="s">
        <v>165</v>
      </c>
      <c r="D131" s="52">
        <v>0</v>
      </c>
      <c r="E131" s="53" t="s">
        <v>165</v>
      </c>
      <c r="G131" s="2"/>
      <c r="L131" s="5"/>
      <c r="O131" s="2"/>
    </row>
    <row r="132" spans="2:15" x14ac:dyDescent="0.2">
      <c r="B132" s="50">
        <v>2194</v>
      </c>
      <c r="C132" s="51">
        <v>0.22707074391198623</v>
      </c>
      <c r="D132" s="52">
        <v>1</v>
      </c>
      <c r="E132" s="53">
        <v>0.51079136690647486</v>
      </c>
      <c r="G132" s="2"/>
      <c r="L132" s="5"/>
      <c r="O132" s="2"/>
    </row>
    <row r="133" spans="2:15" x14ac:dyDescent="0.2">
      <c r="B133" s="50">
        <v>2200</v>
      </c>
      <c r="C133" s="51">
        <v>0.22757612065589172</v>
      </c>
      <c r="D133" s="52">
        <v>1</v>
      </c>
      <c r="E133" s="53">
        <v>0.41726618705035973</v>
      </c>
      <c r="G133" s="2"/>
      <c r="L133" s="5"/>
      <c r="O133" s="2"/>
    </row>
    <row r="134" spans="2:15" x14ac:dyDescent="0.2">
      <c r="B134" s="50">
        <v>2187</v>
      </c>
      <c r="C134" s="51">
        <v>0.29372651108901482</v>
      </c>
      <c r="D134" s="52">
        <v>1</v>
      </c>
      <c r="E134" s="53">
        <v>0.43165467625899279</v>
      </c>
      <c r="G134" s="2"/>
      <c r="L134" s="5"/>
      <c r="O134" s="2"/>
    </row>
    <row r="135" spans="2:15" x14ac:dyDescent="0.2">
      <c r="B135" s="50">
        <v>2179</v>
      </c>
      <c r="C135" s="51">
        <v>0.3153844853091804</v>
      </c>
      <c r="D135" s="52">
        <v>1</v>
      </c>
      <c r="E135" s="53">
        <v>0.42446043165467628</v>
      </c>
      <c r="G135" s="2"/>
      <c r="L135" s="5"/>
      <c r="O135" s="2"/>
    </row>
    <row r="136" spans="2:15" x14ac:dyDescent="0.2">
      <c r="B136" s="50">
        <v>2205</v>
      </c>
      <c r="C136" s="51">
        <v>0.35038065236793647</v>
      </c>
      <c r="D136" s="52">
        <v>1</v>
      </c>
      <c r="E136" s="53">
        <v>0.68345323741007191</v>
      </c>
      <c r="G136" s="2"/>
      <c r="L136" s="5"/>
      <c r="O136" s="2"/>
    </row>
    <row r="137" spans="2:15" x14ac:dyDescent="0.2">
      <c r="B137" s="50">
        <v>2149</v>
      </c>
      <c r="C137" s="51">
        <v>0.36768083876277169</v>
      </c>
      <c r="D137" s="52">
        <v>1</v>
      </c>
      <c r="E137" s="53">
        <v>0.42446043165467628</v>
      </c>
      <c r="G137" s="2"/>
      <c r="L137" s="5"/>
      <c r="O137" s="2"/>
    </row>
    <row r="138" spans="2:15" x14ac:dyDescent="0.2">
      <c r="B138" s="50">
        <v>2160</v>
      </c>
      <c r="C138" s="51">
        <v>0.39549794315060127</v>
      </c>
      <c r="D138" s="52">
        <v>1</v>
      </c>
      <c r="E138" s="53">
        <v>0.41007194244604317</v>
      </c>
      <c r="G138" s="2"/>
      <c r="L138" s="5"/>
      <c r="O138" s="2"/>
    </row>
    <row r="139" spans="2:15" x14ac:dyDescent="0.2">
      <c r="B139" s="50">
        <v>2170</v>
      </c>
      <c r="C139" s="51">
        <v>0.42826641598840343</v>
      </c>
      <c r="D139" s="52">
        <v>1</v>
      </c>
      <c r="E139" s="53">
        <v>0.38129496402877699</v>
      </c>
      <c r="G139" s="2"/>
      <c r="L139" s="5"/>
      <c r="O139" s="2"/>
    </row>
    <row r="140" spans="2:15" x14ac:dyDescent="0.2">
      <c r="B140" s="50">
        <v>5</v>
      </c>
      <c r="C140" s="51">
        <v>15.302117429083285</v>
      </c>
      <c r="D140" s="52">
        <v>1</v>
      </c>
      <c r="E140" s="53">
        <v>1</v>
      </c>
      <c r="G140" s="2"/>
      <c r="L140" s="5"/>
      <c r="O140" s="2"/>
    </row>
    <row r="141" spans="2:15" x14ac:dyDescent="0.2">
      <c r="B141" s="50">
        <v>1589</v>
      </c>
      <c r="C141" s="51">
        <v>7.7374825440264416E-2</v>
      </c>
      <c r="D141" s="52">
        <v>2</v>
      </c>
      <c r="E141" s="53">
        <v>0.84172661870503596</v>
      </c>
      <c r="G141" s="2"/>
      <c r="L141" s="5"/>
      <c r="O141" s="2"/>
    </row>
    <row r="142" spans="2:15" x14ac:dyDescent="0.2">
      <c r="B142" s="50">
        <v>1553</v>
      </c>
      <c r="C142" s="51">
        <v>8.8097223217144416E-2</v>
      </c>
      <c r="D142" s="52">
        <v>2</v>
      </c>
      <c r="E142" s="53">
        <v>0.84172661870503596</v>
      </c>
      <c r="G142" s="2"/>
      <c r="L142" s="5"/>
      <c r="O142" s="2"/>
    </row>
    <row r="143" spans="2:15" x14ac:dyDescent="0.2">
      <c r="B143" s="50">
        <v>1516</v>
      </c>
      <c r="C143" s="51">
        <v>8.8990305961909821E-2</v>
      </c>
      <c r="D143" s="52">
        <v>2</v>
      </c>
      <c r="E143" s="53">
        <v>0.84172661870503596</v>
      </c>
      <c r="G143" s="2"/>
      <c r="L143" s="5"/>
      <c r="O143" s="2"/>
    </row>
    <row r="144" spans="2:15" x14ac:dyDescent="0.2">
      <c r="B144" s="50">
        <v>1515</v>
      </c>
      <c r="C144" s="51">
        <v>0.12391510873804479</v>
      </c>
      <c r="D144" s="52">
        <v>2</v>
      </c>
      <c r="E144" s="53">
        <v>0.83453237410071945</v>
      </c>
      <c r="G144" s="2"/>
      <c r="L144" s="5"/>
      <c r="O144" s="2"/>
    </row>
    <row r="145" spans="2:15" x14ac:dyDescent="0.2">
      <c r="B145" s="50">
        <v>2181</v>
      </c>
      <c r="C145" s="51">
        <v>0.55155878843101092</v>
      </c>
      <c r="D145" s="52">
        <v>3</v>
      </c>
      <c r="E145" s="53">
        <v>0.35971223021582732</v>
      </c>
      <c r="G145" s="2"/>
      <c r="L145" s="5"/>
      <c r="O145" s="2"/>
    </row>
    <row r="146" spans="2:15" x14ac:dyDescent="0.2">
      <c r="B146" s="50">
        <v>2189</v>
      </c>
      <c r="C146" s="51">
        <v>0.71873346547018657</v>
      </c>
      <c r="D146" s="52">
        <v>3</v>
      </c>
      <c r="E146" s="53">
        <v>0.23021582733812951</v>
      </c>
      <c r="G146" s="2"/>
      <c r="L146" s="5"/>
      <c r="O146" s="2"/>
    </row>
    <row r="147" spans="2:15" x14ac:dyDescent="0.2">
      <c r="B147" s="50">
        <v>2190</v>
      </c>
      <c r="C147" s="51">
        <v>0.74589832283265767</v>
      </c>
      <c r="D147" s="52">
        <v>3</v>
      </c>
      <c r="E147" s="53">
        <v>0.2446043165467626</v>
      </c>
      <c r="G147" s="2"/>
      <c r="L147" s="5"/>
      <c r="O147" s="2"/>
    </row>
    <row r="148" spans="2:15" x14ac:dyDescent="0.2">
      <c r="B148" s="50">
        <v>2174</v>
      </c>
      <c r="C148" s="51">
        <v>0.76466594337386073</v>
      </c>
      <c r="D148" s="52">
        <v>3</v>
      </c>
      <c r="E148" s="53">
        <v>0.2446043165467626</v>
      </c>
      <c r="G148" s="2"/>
      <c r="L148" s="5"/>
      <c r="O148" s="2"/>
    </row>
    <row r="149" spans="2:15" x14ac:dyDescent="0.2">
      <c r="B149" s="50">
        <v>2175</v>
      </c>
      <c r="C149" s="51">
        <v>0.79254162236906478</v>
      </c>
      <c r="D149" s="52">
        <v>3</v>
      </c>
      <c r="E149" s="53">
        <v>0.25179856115107913</v>
      </c>
      <c r="G149" s="2"/>
      <c r="L149" s="5"/>
      <c r="O149" s="2"/>
    </row>
    <row r="150" spans="2:15" x14ac:dyDescent="0.2">
      <c r="B150" s="50">
        <v>993</v>
      </c>
      <c r="C150" s="51">
        <v>0.32433953265581605</v>
      </c>
      <c r="D150" s="52">
        <v>6</v>
      </c>
      <c r="E150" s="53">
        <v>0.67625899280575541</v>
      </c>
      <c r="G150" s="2"/>
      <c r="L150" s="5"/>
      <c r="O150" s="2"/>
    </row>
    <row r="151" spans="2:15" x14ac:dyDescent="0.2">
      <c r="B151" s="50">
        <v>1922</v>
      </c>
      <c r="C151" s="51">
        <v>4.0722042512674861E-2</v>
      </c>
      <c r="D151" s="52">
        <v>8</v>
      </c>
      <c r="E151" s="53">
        <v>0.84892086330935257</v>
      </c>
      <c r="G151" s="2"/>
      <c r="L151" s="5"/>
      <c r="O151" s="2"/>
    </row>
    <row r="152" spans="2:15" x14ac:dyDescent="0.2">
      <c r="B152" s="50">
        <v>1625</v>
      </c>
      <c r="C152" s="51">
        <v>4.5326430001178641E-2</v>
      </c>
      <c r="D152" s="52">
        <v>8</v>
      </c>
      <c r="E152" s="53">
        <v>0.84172661870503596</v>
      </c>
      <c r="G152" s="2"/>
      <c r="L152" s="5"/>
      <c r="O152" s="2"/>
    </row>
    <row r="153" spans="2:15" x14ac:dyDescent="0.2">
      <c r="B153" s="50">
        <v>1921</v>
      </c>
      <c r="C153" s="51">
        <v>4.8408545228610267E-2</v>
      </c>
      <c r="D153" s="52">
        <v>8</v>
      </c>
      <c r="E153" s="53">
        <v>0.85611510791366907</v>
      </c>
      <c r="G153" s="2"/>
      <c r="L153" s="5"/>
      <c r="O153" s="2"/>
    </row>
    <row r="154" spans="2:15" x14ac:dyDescent="0.2">
      <c r="B154" s="50">
        <v>1659</v>
      </c>
      <c r="C154" s="51">
        <v>5.0745192100506764E-2</v>
      </c>
      <c r="D154" s="52">
        <v>8</v>
      </c>
      <c r="E154" s="53">
        <v>0.84172661870503596</v>
      </c>
      <c r="G154" s="2"/>
      <c r="L154" s="5"/>
      <c r="O154" s="2"/>
    </row>
    <row r="155" spans="2:15" x14ac:dyDescent="0.2">
      <c r="B155" s="50">
        <v>1756</v>
      </c>
      <c r="C155" s="51">
        <v>5.4063194378123014E-2</v>
      </c>
      <c r="D155" s="52">
        <v>8</v>
      </c>
      <c r="E155" s="53">
        <v>0.85611510791366907</v>
      </c>
      <c r="G155" s="2"/>
      <c r="L155" s="5"/>
      <c r="O155" s="2"/>
    </row>
    <row r="156" spans="2:15" x14ac:dyDescent="0.2">
      <c r="B156" s="50">
        <v>1815</v>
      </c>
      <c r="C156" s="51">
        <v>6.3242098004978708E-2</v>
      </c>
      <c r="D156" s="52">
        <v>8</v>
      </c>
      <c r="E156" s="53">
        <v>0.85611510791366907</v>
      </c>
      <c r="G156" s="2"/>
      <c r="L156" s="5"/>
      <c r="O156" s="2"/>
    </row>
    <row r="157" spans="2:15" x14ac:dyDescent="0.2">
      <c r="B157" s="50">
        <v>1786</v>
      </c>
      <c r="C157" s="51">
        <v>6.721264755918932E-2</v>
      </c>
      <c r="D157" s="52">
        <v>8</v>
      </c>
      <c r="E157" s="53">
        <v>0.85611510791366907</v>
      </c>
      <c r="G157" s="2"/>
      <c r="L157" s="5"/>
      <c r="O157" s="2"/>
    </row>
    <row r="158" spans="2:15" x14ac:dyDescent="0.2">
      <c r="B158" s="50">
        <v>1622</v>
      </c>
      <c r="C158" s="51">
        <v>7.4327063896392431E-2</v>
      </c>
      <c r="D158" s="52">
        <v>8</v>
      </c>
      <c r="E158" s="53">
        <v>0.83453237410071945</v>
      </c>
      <c r="G158" s="2"/>
      <c r="L158" s="5"/>
      <c r="O158" s="2"/>
    </row>
    <row r="159" spans="2:15" x14ac:dyDescent="0.2">
      <c r="B159" s="50">
        <v>2131</v>
      </c>
      <c r="C159" s="51">
        <v>7.4597696373286282E-2</v>
      </c>
      <c r="D159" s="52">
        <v>8</v>
      </c>
      <c r="E159" s="53">
        <v>0.81294964028776984</v>
      </c>
      <c r="G159" s="2"/>
      <c r="L159" s="5"/>
      <c r="O159" s="2"/>
    </row>
    <row r="160" spans="2:15" x14ac:dyDescent="0.2">
      <c r="B160" s="50">
        <v>1656</v>
      </c>
      <c r="C160" s="51">
        <v>7.8825641956923542E-2</v>
      </c>
      <c r="D160" s="52">
        <v>8</v>
      </c>
      <c r="E160" s="53">
        <v>0.83453237410071945</v>
      </c>
      <c r="G160" s="2"/>
      <c r="L160" s="5"/>
      <c r="O160" s="2"/>
    </row>
    <row r="161" spans="2:15" x14ac:dyDescent="0.2">
      <c r="B161" s="50">
        <v>1816</v>
      </c>
      <c r="C161" s="51">
        <v>7.9605955650139948E-2</v>
      </c>
      <c r="D161" s="52">
        <v>8</v>
      </c>
      <c r="E161" s="53">
        <v>0.74100719424460426</v>
      </c>
      <c r="G161" s="2"/>
      <c r="L161" s="5"/>
      <c r="O161" s="2"/>
    </row>
    <row r="162" spans="2:15" x14ac:dyDescent="0.2">
      <c r="B162" s="50">
        <v>1479</v>
      </c>
      <c r="C162" s="51">
        <v>8.2050244193874522E-2</v>
      </c>
      <c r="D162" s="52">
        <v>8</v>
      </c>
      <c r="E162" s="53">
        <v>0.87050359712230219</v>
      </c>
      <c r="G162" s="2"/>
      <c r="L162" s="5"/>
      <c r="O162" s="2"/>
    </row>
    <row r="163" spans="2:15" x14ac:dyDescent="0.2">
      <c r="B163" s="50">
        <v>2129</v>
      </c>
      <c r="C163" s="51">
        <v>8.3075090223863501E-2</v>
      </c>
      <c r="D163" s="52">
        <v>8</v>
      </c>
      <c r="E163" s="53">
        <v>0.80575539568345322</v>
      </c>
      <c r="G163" s="2"/>
      <c r="L163" s="5"/>
      <c r="O163" s="2"/>
    </row>
    <row r="164" spans="2:15" x14ac:dyDescent="0.2">
      <c r="B164" s="50">
        <v>1896</v>
      </c>
      <c r="C164" s="51">
        <v>0.10189516899023821</v>
      </c>
      <c r="D164" s="52">
        <v>8</v>
      </c>
      <c r="E164" s="53">
        <v>0.74820143884892087</v>
      </c>
      <c r="G164" s="2"/>
      <c r="L164" s="5"/>
      <c r="O164" s="2"/>
    </row>
    <row r="165" spans="2:15" x14ac:dyDescent="0.2">
      <c r="B165" s="50">
        <v>2130</v>
      </c>
      <c r="C165" s="51">
        <v>0.1145212530143962</v>
      </c>
      <c r="D165" s="52">
        <v>8</v>
      </c>
      <c r="E165" s="53">
        <v>0.80575539568345322</v>
      </c>
      <c r="G165" s="2"/>
      <c r="L165" s="5"/>
      <c r="O165" s="2"/>
    </row>
    <row r="166" spans="2:15" x14ac:dyDescent="0.2">
      <c r="B166" s="50">
        <v>1843</v>
      </c>
      <c r="C166" s="51">
        <v>0.11619523597843007</v>
      </c>
      <c r="D166" s="52">
        <v>8</v>
      </c>
      <c r="E166" s="53">
        <v>0.65467625899280579</v>
      </c>
      <c r="G166" s="2"/>
      <c r="L166" s="5"/>
      <c r="O166" s="2"/>
    </row>
    <row r="167" spans="2:15" x14ac:dyDescent="0.2">
      <c r="B167" s="50">
        <v>72</v>
      </c>
      <c r="C167" s="51">
        <v>0.125516681864275</v>
      </c>
      <c r="D167" s="52">
        <v>8</v>
      </c>
      <c r="E167" s="53">
        <v>0.56834532374100721</v>
      </c>
      <c r="G167" s="2"/>
      <c r="L167" s="5"/>
      <c r="O167" s="2"/>
    </row>
    <row r="168" spans="2:15" x14ac:dyDescent="0.2">
      <c r="B168" s="50">
        <v>2197</v>
      </c>
      <c r="C168" s="51">
        <v>0.125516681864275</v>
      </c>
      <c r="D168" s="52">
        <v>8</v>
      </c>
      <c r="E168" s="53">
        <v>0.56834532374100721</v>
      </c>
      <c r="G168" s="2"/>
      <c r="L168" s="5"/>
      <c r="O168" s="2"/>
    </row>
    <row r="169" spans="2:15" x14ac:dyDescent="0.2">
      <c r="B169" s="50">
        <v>1359</v>
      </c>
      <c r="C169" s="51">
        <v>0.12592543385798138</v>
      </c>
      <c r="D169" s="52">
        <v>8</v>
      </c>
      <c r="E169" s="53">
        <v>0.78417266187050361</v>
      </c>
      <c r="G169" s="2"/>
      <c r="L169" s="5"/>
      <c r="O169" s="2"/>
    </row>
    <row r="170" spans="2:15" x14ac:dyDescent="0.2">
      <c r="B170" s="50">
        <v>2128</v>
      </c>
      <c r="C170" s="51">
        <v>0.12801373630645063</v>
      </c>
      <c r="D170" s="52">
        <v>8</v>
      </c>
      <c r="E170" s="53">
        <v>0.79856115107913672</v>
      </c>
      <c r="G170" s="2"/>
      <c r="L170" s="5"/>
      <c r="O170" s="2"/>
    </row>
    <row r="171" spans="2:15" x14ac:dyDescent="0.2">
      <c r="B171" s="50">
        <v>1870</v>
      </c>
      <c r="C171" s="51">
        <v>0.13275254240687973</v>
      </c>
      <c r="D171" s="52">
        <v>8</v>
      </c>
      <c r="E171" s="53">
        <v>0.65467625899280579</v>
      </c>
      <c r="G171" s="2"/>
      <c r="L171" s="5"/>
      <c r="O171" s="2"/>
    </row>
    <row r="172" spans="2:15" x14ac:dyDescent="0.2">
      <c r="B172" s="50">
        <v>1897</v>
      </c>
      <c r="C172" s="51">
        <v>0.13708022405278575</v>
      </c>
      <c r="D172" s="52">
        <v>8</v>
      </c>
      <c r="E172" s="53">
        <v>0.64748201438848918</v>
      </c>
      <c r="G172" s="2"/>
      <c r="L172" s="5"/>
      <c r="O172" s="2"/>
    </row>
    <row r="173" spans="2:15" x14ac:dyDescent="0.2">
      <c r="B173" s="50">
        <v>1844</v>
      </c>
      <c r="C173" s="51">
        <v>0.14304214359650724</v>
      </c>
      <c r="D173" s="52">
        <v>8</v>
      </c>
      <c r="E173" s="53">
        <v>0.64028776978417268</v>
      </c>
      <c r="G173" s="2"/>
      <c r="L173" s="5"/>
      <c r="O173" s="2"/>
    </row>
    <row r="174" spans="2:15" x14ac:dyDescent="0.2">
      <c r="B174" s="50">
        <v>1476</v>
      </c>
      <c r="C174" s="51">
        <v>0.1432251528010331</v>
      </c>
      <c r="D174" s="52">
        <v>8</v>
      </c>
      <c r="E174" s="53">
        <v>0.86330935251798557</v>
      </c>
      <c r="G174" s="2"/>
      <c r="L174" s="5"/>
      <c r="O174" s="2"/>
    </row>
    <row r="175" spans="2:15" x14ac:dyDescent="0.2">
      <c r="B175" s="50">
        <v>1317</v>
      </c>
      <c r="C175" s="51">
        <v>0.15996510696211308</v>
      </c>
      <c r="D175" s="52">
        <v>8</v>
      </c>
      <c r="E175" s="53">
        <v>0.78417266187050361</v>
      </c>
      <c r="G175" s="2"/>
      <c r="L175" s="5"/>
      <c r="O175" s="2"/>
    </row>
    <row r="176" spans="2:15" x14ac:dyDescent="0.2">
      <c r="B176" s="50">
        <v>1945</v>
      </c>
      <c r="C176" s="51">
        <v>0.16121852742496801</v>
      </c>
      <c r="D176" s="52">
        <v>8</v>
      </c>
      <c r="E176" s="53">
        <v>0.58273381294964033</v>
      </c>
      <c r="G176" s="2"/>
      <c r="L176" s="5"/>
      <c r="O176" s="2"/>
    </row>
    <row r="177" spans="2:15" x14ac:dyDescent="0.2">
      <c r="B177" s="50">
        <v>1871</v>
      </c>
      <c r="C177" s="51">
        <v>0.16183102538118266</v>
      </c>
      <c r="D177" s="52">
        <v>8</v>
      </c>
      <c r="E177" s="53">
        <v>0.57553956834532372</v>
      </c>
      <c r="G177" s="2"/>
      <c r="L177" s="5"/>
      <c r="O177" s="2"/>
    </row>
    <row r="178" spans="2:15" x14ac:dyDescent="0.2">
      <c r="B178" s="50">
        <v>74</v>
      </c>
      <c r="C178" s="51">
        <v>0.17246398195724999</v>
      </c>
      <c r="D178" s="52">
        <v>8</v>
      </c>
      <c r="E178" s="53">
        <v>0.57553956834532372</v>
      </c>
      <c r="G178" s="2"/>
      <c r="L178" s="5"/>
      <c r="O178" s="2"/>
    </row>
    <row r="179" spans="2:15" x14ac:dyDescent="0.2">
      <c r="B179" s="50">
        <v>2184</v>
      </c>
      <c r="C179" s="51">
        <v>0.17246398195724999</v>
      </c>
      <c r="D179" s="52">
        <v>8</v>
      </c>
      <c r="E179" s="53">
        <v>0.57553956834532372</v>
      </c>
      <c r="G179" s="2"/>
      <c r="L179" s="5"/>
      <c r="O179" s="2"/>
    </row>
    <row r="180" spans="2:15" x14ac:dyDescent="0.2">
      <c r="B180" s="50">
        <v>1229</v>
      </c>
      <c r="C180" s="51">
        <v>0.18749237704588562</v>
      </c>
      <c r="D180" s="52">
        <v>8</v>
      </c>
      <c r="E180" s="53">
        <v>0.7769784172661871</v>
      </c>
      <c r="G180" s="2"/>
      <c r="L180" s="5"/>
      <c r="O180" s="2"/>
    </row>
    <row r="181" spans="2:15" x14ac:dyDescent="0.2">
      <c r="B181" s="50">
        <v>1400</v>
      </c>
      <c r="C181" s="51">
        <v>0.19698115381632597</v>
      </c>
      <c r="D181" s="52">
        <v>8</v>
      </c>
      <c r="E181" s="53">
        <v>0.76978417266187049</v>
      </c>
      <c r="G181" s="2"/>
      <c r="L181" s="5"/>
      <c r="O181" s="2"/>
    </row>
    <row r="182" spans="2:15" x14ac:dyDescent="0.2">
      <c r="B182" s="50">
        <v>1946</v>
      </c>
      <c r="C182" s="51">
        <v>0.19743906386945109</v>
      </c>
      <c r="D182" s="52">
        <v>8</v>
      </c>
      <c r="E182" s="53">
        <v>0.57553956834532372</v>
      </c>
      <c r="G182" s="2"/>
      <c r="L182" s="5"/>
      <c r="O182" s="2"/>
    </row>
    <row r="183" spans="2:15" x14ac:dyDescent="0.2">
      <c r="B183" s="50">
        <v>1274</v>
      </c>
      <c r="C183" s="51">
        <v>0.19813215543686424</v>
      </c>
      <c r="D183" s="52">
        <v>8</v>
      </c>
      <c r="E183" s="53">
        <v>0.76978417266187049</v>
      </c>
      <c r="G183" s="2"/>
      <c r="L183" s="5"/>
      <c r="O183" s="2"/>
    </row>
    <row r="184" spans="2:15" x14ac:dyDescent="0.2">
      <c r="B184" s="50">
        <v>1440</v>
      </c>
      <c r="C184" s="51">
        <v>0.20694270585911556</v>
      </c>
      <c r="D184" s="52">
        <v>8</v>
      </c>
      <c r="E184" s="53">
        <v>0.75539568345323738</v>
      </c>
      <c r="G184" s="2"/>
      <c r="L184" s="5"/>
      <c r="O184" s="2"/>
    </row>
    <row r="185" spans="2:15" x14ac:dyDescent="0.2">
      <c r="B185" s="50">
        <v>75</v>
      </c>
      <c r="C185" s="51">
        <v>0.21014337350613599</v>
      </c>
      <c r="D185" s="52">
        <v>8</v>
      </c>
      <c r="E185" s="53">
        <v>0.56834532374100721</v>
      </c>
      <c r="G185" s="2"/>
      <c r="L185" s="5"/>
      <c r="O185" s="2"/>
    </row>
    <row r="186" spans="2:15" x14ac:dyDescent="0.2">
      <c r="B186" s="50">
        <v>2176</v>
      </c>
      <c r="C186" s="51">
        <v>0.21014337350613599</v>
      </c>
      <c r="D186" s="52">
        <v>8</v>
      </c>
      <c r="E186" s="53">
        <v>0.56834532374100721</v>
      </c>
      <c r="G186" s="2"/>
      <c r="L186" s="5"/>
      <c r="O186" s="2"/>
    </row>
    <row r="187" spans="2:15" x14ac:dyDescent="0.2">
      <c r="B187" s="50">
        <v>1184</v>
      </c>
      <c r="C187" s="51">
        <v>0.21050813885807651</v>
      </c>
      <c r="D187" s="52">
        <v>8</v>
      </c>
      <c r="E187" s="53">
        <v>0.76978417266187049</v>
      </c>
      <c r="G187" s="2"/>
      <c r="L187" s="5"/>
      <c r="O187" s="2"/>
    </row>
    <row r="188" spans="2:15" x14ac:dyDescent="0.2">
      <c r="B188" s="50">
        <v>1356</v>
      </c>
      <c r="C188" s="51">
        <v>0.21373614492917303</v>
      </c>
      <c r="D188" s="52">
        <v>8</v>
      </c>
      <c r="E188" s="53">
        <v>0.7769784172661871</v>
      </c>
      <c r="G188" s="2"/>
      <c r="L188" s="5"/>
      <c r="O188" s="2"/>
    </row>
    <row r="189" spans="2:15" x14ac:dyDescent="0.2">
      <c r="B189" s="50">
        <v>1316</v>
      </c>
      <c r="C189" s="51">
        <v>0.23366237798431433</v>
      </c>
      <c r="D189" s="52">
        <v>8</v>
      </c>
      <c r="E189" s="53">
        <v>0.76258992805755399</v>
      </c>
      <c r="G189" s="2"/>
      <c r="L189" s="5"/>
      <c r="O189" s="2"/>
    </row>
    <row r="190" spans="2:15" x14ac:dyDescent="0.2">
      <c r="B190" s="50">
        <v>1091</v>
      </c>
      <c r="C190" s="51">
        <v>0.26140688128211376</v>
      </c>
      <c r="D190" s="52">
        <v>8</v>
      </c>
      <c r="E190" s="53">
        <v>0.67625899280575541</v>
      </c>
      <c r="G190" s="2"/>
      <c r="L190" s="5"/>
      <c r="O190" s="2"/>
    </row>
    <row r="191" spans="2:15" x14ac:dyDescent="0.2">
      <c r="B191" s="50">
        <v>1138</v>
      </c>
      <c r="C191" s="51">
        <v>0.26145246978742787</v>
      </c>
      <c r="D191" s="52">
        <v>8</v>
      </c>
      <c r="E191" s="53">
        <v>0.75539568345323738</v>
      </c>
      <c r="G191" s="2"/>
      <c r="L191" s="5"/>
      <c r="O191" s="2"/>
    </row>
    <row r="192" spans="2:15" x14ac:dyDescent="0.2">
      <c r="B192" s="50">
        <v>1273</v>
      </c>
      <c r="C192" s="51">
        <v>0.2796691768897579</v>
      </c>
      <c r="D192" s="52">
        <v>8</v>
      </c>
      <c r="E192" s="53">
        <v>0.74100719424460426</v>
      </c>
      <c r="G192" s="2"/>
      <c r="L192" s="5"/>
      <c r="O192" s="2"/>
    </row>
    <row r="193" spans="2:15" x14ac:dyDescent="0.2">
      <c r="B193" s="50">
        <v>1397</v>
      </c>
      <c r="C193" s="51">
        <v>0.28154709243594733</v>
      </c>
      <c r="D193" s="52">
        <v>8</v>
      </c>
      <c r="E193" s="53">
        <v>0.74100719424460426</v>
      </c>
      <c r="G193" s="2"/>
      <c r="L193" s="5"/>
      <c r="O193" s="2"/>
    </row>
    <row r="194" spans="2:15" x14ac:dyDescent="0.2">
      <c r="B194" s="50">
        <v>1437</v>
      </c>
      <c r="C194" s="51">
        <v>0.28788969689653743</v>
      </c>
      <c r="D194" s="52">
        <v>8</v>
      </c>
      <c r="E194" s="53">
        <v>0.74100719424460426</v>
      </c>
      <c r="G194" s="2"/>
      <c r="L194" s="5"/>
      <c r="O194" s="2"/>
    </row>
    <row r="195" spans="2:15" x14ac:dyDescent="0.2">
      <c r="B195" s="50">
        <v>2099</v>
      </c>
      <c r="C195" s="51">
        <v>0.36424318087813767</v>
      </c>
      <c r="D195" s="52">
        <v>8</v>
      </c>
      <c r="E195" s="53">
        <v>0.41726618705035973</v>
      </c>
      <c r="G195" s="2"/>
      <c r="L195" s="5"/>
      <c r="O195" s="2"/>
    </row>
    <row r="196" spans="2:15" x14ac:dyDescent="0.2">
      <c r="B196" s="50">
        <v>2114</v>
      </c>
      <c r="C196" s="51">
        <v>0.37919749908144584</v>
      </c>
      <c r="D196" s="52">
        <v>8</v>
      </c>
      <c r="E196" s="53">
        <v>0.41007194244604317</v>
      </c>
      <c r="G196" s="2"/>
      <c r="L196" s="5"/>
      <c r="O196" s="2"/>
    </row>
    <row r="197" spans="2:15" x14ac:dyDescent="0.2">
      <c r="B197" s="50">
        <v>2083</v>
      </c>
      <c r="C197" s="51">
        <v>0.38061939729841565</v>
      </c>
      <c r="D197" s="52">
        <v>8</v>
      </c>
      <c r="E197" s="53">
        <v>0.41726618705035973</v>
      </c>
      <c r="G197" s="2"/>
      <c r="L197" s="5"/>
      <c r="O197" s="2"/>
    </row>
    <row r="198" spans="2:15" x14ac:dyDescent="0.2">
      <c r="B198" s="50">
        <v>2066</v>
      </c>
      <c r="C198" s="51">
        <v>0.38995309170779335</v>
      </c>
      <c r="D198" s="52">
        <v>8</v>
      </c>
      <c r="E198" s="53">
        <v>0.41007194244604317</v>
      </c>
      <c r="G198" s="2"/>
      <c r="L198" s="5"/>
      <c r="O198" s="2"/>
    </row>
    <row r="199" spans="2:15" x14ac:dyDescent="0.2">
      <c r="B199" s="50">
        <v>2100</v>
      </c>
      <c r="C199" s="51">
        <v>0.40252096733029941</v>
      </c>
      <c r="D199" s="52">
        <v>8</v>
      </c>
      <c r="E199" s="53">
        <v>0.41007194244604317</v>
      </c>
      <c r="G199" s="2"/>
      <c r="L199" s="5"/>
      <c r="O199" s="2"/>
    </row>
    <row r="200" spans="2:15" x14ac:dyDescent="0.2">
      <c r="B200" s="50">
        <v>2115</v>
      </c>
      <c r="C200" s="51">
        <v>0.40465556300923189</v>
      </c>
      <c r="D200" s="52">
        <v>8</v>
      </c>
      <c r="E200" s="53">
        <v>0.41007194244604317</v>
      </c>
      <c r="G200" s="2"/>
      <c r="L200" s="5"/>
      <c r="O200" s="2"/>
    </row>
    <row r="201" spans="2:15" x14ac:dyDescent="0.2">
      <c r="B201" s="50">
        <v>2101</v>
      </c>
      <c r="C201" s="51">
        <v>0.40642859414536003</v>
      </c>
      <c r="D201" s="52">
        <v>8</v>
      </c>
      <c r="E201" s="53">
        <v>0.42446043165467628</v>
      </c>
      <c r="G201" s="2"/>
      <c r="L201" s="5"/>
      <c r="O201" s="2"/>
    </row>
    <row r="202" spans="2:15" x14ac:dyDescent="0.2">
      <c r="B202" s="50">
        <v>2116</v>
      </c>
      <c r="C202" s="51">
        <v>0.41343649791956549</v>
      </c>
      <c r="D202" s="52">
        <v>8</v>
      </c>
      <c r="E202" s="53">
        <v>0.43165467625899279</v>
      </c>
      <c r="G202" s="2"/>
      <c r="L202" s="5"/>
      <c r="O202" s="2"/>
    </row>
    <row r="203" spans="2:15" x14ac:dyDescent="0.2">
      <c r="B203" s="50">
        <v>2084</v>
      </c>
      <c r="C203" s="51">
        <v>0.41578458948756514</v>
      </c>
      <c r="D203" s="52">
        <v>8</v>
      </c>
      <c r="E203" s="53">
        <v>0.40287769784172661</v>
      </c>
      <c r="G203" s="2"/>
      <c r="L203" s="5"/>
      <c r="O203" s="2"/>
    </row>
    <row r="204" spans="2:15" x14ac:dyDescent="0.2">
      <c r="B204" s="50">
        <v>2085</v>
      </c>
      <c r="C204" s="51">
        <v>0.42281725808942416</v>
      </c>
      <c r="D204" s="52">
        <v>8</v>
      </c>
      <c r="E204" s="53">
        <v>0.42446043165467628</v>
      </c>
      <c r="G204" s="2"/>
      <c r="L204" s="5"/>
      <c r="O204" s="2"/>
    </row>
    <row r="205" spans="2:15" x14ac:dyDescent="0.2">
      <c r="B205" s="50">
        <v>2067</v>
      </c>
      <c r="C205" s="51">
        <v>0.42798285198683272</v>
      </c>
      <c r="D205" s="52">
        <v>8</v>
      </c>
      <c r="E205" s="53">
        <v>0.39568345323741005</v>
      </c>
      <c r="G205" s="2"/>
      <c r="L205" s="5"/>
      <c r="O205" s="2"/>
    </row>
    <row r="206" spans="2:15" x14ac:dyDescent="0.2">
      <c r="B206" s="50">
        <v>2068</v>
      </c>
      <c r="C206" s="51">
        <v>0.43543371646461437</v>
      </c>
      <c r="D206" s="52">
        <v>8</v>
      </c>
      <c r="E206" s="53">
        <v>0.42446043165467628</v>
      </c>
      <c r="G206" s="2"/>
      <c r="L206" s="5"/>
      <c r="O206" s="2"/>
    </row>
    <row r="207" spans="2:15" x14ac:dyDescent="0.2">
      <c r="B207" s="50">
        <v>2117</v>
      </c>
      <c r="C207" s="51">
        <v>0.44299769674805711</v>
      </c>
      <c r="D207" s="52">
        <v>8</v>
      </c>
      <c r="E207" s="53">
        <v>0.41007194244604317</v>
      </c>
      <c r="G207" s="2"/>
      <c r="L207" s="5"/>
      <c r="O207" s="2"/>
    </row>
    <row r="208" spans="2:15" x14ac:dyDescent="0.2">
      <c r="B208" s="50">
        <v>2102</v>
      </c>
      <c r="C208" s="51">
        <v>0.46264570776998637</v>
      </c>
      <c r="D208" s="52">
        <v>8</v>
      </c>
      <c r="E208" s="53">
        <v>0.38848920863309355</v>
      </c>
      <c r="G208" s="2"/>
      <c r="L208" s="5"/>
      <c r="O208" s="2"/>
    </row>
    <row r="209" spans="2:15" x14ac:dyDescent="0.2">
      <c r="B209" s="50">
        <v>2086</v>
      </c>
      <c r="C209" s="51">
        <v>0.47258946454778261</v>
      </c>
      <c r="D209" s="52">
        <v>8</v>
      </c>
      <c r="E209" s="53">
        <v>0.38848920863309355</v>
      </c>
      <c r="G209" s="2"/>
      <c r="L209" s="5"/>
      <c r="O209" s="2"/>
    </row>
    <row r="210" spans="2:15" x14ac:dyDescent="0.2">
      <c r="B210" s="50">
        <v>2069</v>
      </c>
      <c r="C210" s="51">
        <v>0.49011499448506424</v>
      </c>
      <c r="D210" s="52">
        <v>8</v>
      </c>
      <c r="E210" s="53">
        <v>0.38129496402877699</v>
      </c>
      <c r="G210" s="2"/>
      <c r="L210" s="5"/>
      <c r="O210" s="2"/>
    </row>
    <row r="211" spans="2:15" x14ac:dyDescent="0.2">
      <c r="B211" s="50">
        <v>2145</v>
      </c>
      <c r="C211" s="51">
        <v>0.64635374176034599</v>
      </c>
      <c r="D211" s="52">
        <v>8</v>
      </c>
      <c r="E211" s="53">
        <v>0.35971223021582732</v>
      </c>
      <c r="G211" s="2"/>
      <c r="L211" s="5"/>
      <c r="O211" s="2"/>
    </row>
    <row r="212" spans="2:15" x14ac:dyDescent="0.2">
      <c r="B212" s="50">
        <v>13</v>
      </c>
      <c r="C212" s="51">
        <v>7.0436208624368604</v>
      </c>
      <c r="D212" s="52">
        <v>8</v>
      </c>
      <c r="E212" s="53">
        <v>0.75</v>
      </c>
      <c r="G212" s="2"/>
      <c r="L212" s="5"/>
      <c r="O212" s="2"/>
    </row>
    <row r="213" spans="2:15" x14ac:dyDescent="0.2">
      <c r="B213" s="50">
        <v>12</v>
      </c>
      <c r="C213" s="51">
        <v>7.1991585531526079</v>
      </c>
      <c r="D213" s="52">
        <v>8</v>
      </c>
      <c r="E213" s="53">
        <v>0.75</v>
      </c>
      <c r="G213" s="2"/>
      <c r="L213" s="5"/>
      <c r="O213" s="2"/>
    </row>
    <row r="214" spans="2:15" x14ac:dyDescent="0.2">
      <c r="B214" s="50">
        <v>1588</v>
      </c>
      <c r="C214" s="51">
        <v>7.6064462194681326E-2</v>
      </c>
      <c r="D214" s="52">
        <v>9</v>
      </c>
      <c r="E214" s="53">
        <v>0.83453237410071945</v>
      </c>
      <c r="G214" s="2"/>
      <c r="L214" s="5"/>
      <c r="O214" s="2"/>
    </row>
    <row r="215" spans="2:15" x14ac:dyDescent="0.2">
      <c r="B215" s="50">
        <v>1552</v>
      </c>
      <c r="C215" s="51">
        <v>9.9782974681344117E-2</v>
      </c>
      <c r="D215" s="52">
        <v>9</v>
      </c>
      <c r="E215" s="53">
        <v>0.82733812949640284</v>
      </c>
      <c r="G215" s="2"/>
      <c r="L215" s="5"/>
      <c r="O215" s="2"/>
    </row>
    <row r="216" spans="2:15" x14ac:dyDescent="0.2">
      <c r="B216" s="50">
        <v>2124</v>
      </c>
      <c r="C216" s="51">
        <v>0.2287707906367431</v>
      </c>
      <c r="D216" s="52">
        <v>9</v>
      </c>
      <c r="E216" s="53">
        <v>0.57553956834532372</v>
      </c>
      <c r="G216" s="2"/>
      <c r="L216" s="5"/>
      <c r="O216" s="2"/>
    </row>
    <row r="217" spans="2:15" x14ac:dyDescent="0.2">
      <c r="B217" s="50">
        <v>2110</v>
      </c>
      <c r="C217" s="51">
        <v>0.40713828945690922</v>
      </c>
      <c r="D217" s="52">
        <v>9</v>
      </c>
      <c r="E217" s="53">
        <v>0.42446043165467628</v>
      </c>
      <c r="G217" s="2"/>
      <c r="L217" s="5"/>
      <c r="O217" s="2"/>
    </row>
    <row r="218" spans="2:15" x14ac:dyDescent="0.2">
      <c r="B218" s="50">
        <v>2137</v>
      </c>
      <c r="C218" s="51">
        <v>0.41053467613920913</v>
      </c>
      <c r="D218" s="52">
        <v>9</v>
      </c>
      <c r="E218" s="53">
        <v>0.40287769784172661</v>
      </c>
      <c r="G218" s="2"/>
      <c r="L218" s="5"/>
      <c r="O218" s="2"/>
    </row>
    <row r="219" spans="2:15" x14ac:dyDescent="0.2">
      <c r="B219" s="50">
        <v>1590</v>
      </c>
      <c r="C219" s="51">
        <v>6.4861077295535252E-2</v>
      </c>
      <c r="D219" s="52">
        <v>10</v>
      </c>
      <c r="E219" s="53">
        <v>0.84172661870503596</v>
      </c>
      <c r="G219" s="2"/>
      <c r="L219" s="5"/>
      <c r="O219" s="2"/>
    </row>
    <row r="220" spans="2:15" x14ac:dyDescent="0.2">
      <c r="B220" s="50">
        <v>1554</v>
      </c>
      <c r="C220" s="51">
        <v>7.5033939509318692E-2</v>
      </c>
      <c r="D220" s="52">
        <v>10</v>
      </c>
      <c r="E220" s="53">
        <v>0.83453237410071945</v>
      </c>
      <c r="G220" s="2"/>
      <c r="L220" s="5"/>
      <c r="O220" s="2"/>
    </row>
    <row r="221" spans="2:15" x14ac:dyDescent="0.2">
      <c r="B221" s="50">
        <v>1517</v>
      </c>
      <c r="C221" s="51">
        <v>7.5261945456597368E-2</v>
      </c>
      <c r="D221" s="52">
        <v>10</v>
      </c>
      <c r="E221" s="53">
        <v>0.84172661870503596</v>
      </c>
      <c r="G221" s="2"/>
      <c r="L221" s="5"/>
      <c r="O221" s="2"/>
    </row>
    <row r="222" spans="2:15" x14ac:dyDescent="0.2">
      <c r="B222" s="50">
        <v>1514</v>
      </c>
      <c r="C222" s="51">
        <v>0.10839462227040308</v>
      </c>
      <c r="D222" s="52">
        <v>10</v>
      </c>
      <c r="E222" s="53">
        <v>0.83453237410071945</v>
      </c>
      <c r="G222" s="2"/>
      <c r="L222" s="5"/>
      <c r="O222" s="2"/>
    </row>
    <row r="223" spans="2:15" x14ac:dyDescent="0.2">
      <c r="B223" s="50">
        <v>2195</v>
      </c>
      <c r="C223" s="51">
        <v>0.20991324895901831</v>
      </c>
      <c r="D223" s="52">
        <v>11</v>
      </c>
      <c r="E223" s="53">
        <v>0.39568345323741005</v>
      </c>
      <c r="G223" s="2"/>
      <c r="L223" s="5"/>
      <c r="O223" s="2"/>
    </row>
    <row r="224" spans="2:15" x14ac:dyDescent="0.2">
      <c r="B224" s="50">
        <v>1660</v>
      </c>
      <c r="C224" s="51">
        <v>4.543684400117054E-2</v>
      </c>
      <c r="D224" s="52">
        <v>12</v>
      </c>
      <c r="E224" s="53">
        <v>0.85611510791366907</v>
      </c>
      <c r="G224" s="2"/>
      <c r="L224" s="5"/>
      <c r="O224" s="2"/>
    </row>
    <row r="225" spans="2:15" x14ac:dyDescent="0.2">
      <c r="B225" s="50">
        <v>1693</v>
      </c>
      <c r="C225" s="51">
        <v>4.6195139270132635E-2</v>
      </c>
      <c r="D225" s="52">
        <v>12</v>
      </c>
      <c r="E225" s="53">
        <v>0.85611510791366907</v>
      </c>
      <c r="G225" s="2"/>
      <c r="L225" s="5"/>
      <c r="O225" s="2"/>
    </row>
    <row r="226" spans="2:15" x14ac:dyDescent="0.2">
      <c r="B226" s="50">
        <v>1661</v>
      </c>
      <c r="C226" s="51">
        <v>5.2873007459207755E-2</v>
      </c>
      <c r="D226" s="52">
        <v>12</v>
      </c>
      <c r="E226" s="53">
        <v>0.84892086330935257</v>
      </c>
      <c r="G226" s="2"/>
      <c r="L226" s="5"/>
      <c r="O226" s="2"/>
    </row>
    <row r="227" spans="2:15" x14ac:dyDescent="0.2">
      <c r="B227" s="50">
        <v>1726</v>
      </c>
      <c r="C227" s="51">
        <v>5.3902068961431016E-2</v>
      </c>
      <c r="D227" s="52">
        <v>12</v>
      </c>
      <c r="E227" s="53">
        <v>0.84892086330935257</v>
      </c>
      <c r="G227" s="2"/>
      <c r="L227" s="5"/>
      <c r="O227" s="2"/>
    </row>
    <row r="228" spans="2:15" x14ac:dyDescent="0.2">
      <c r="B228" s="50">
        <v>1725</v>
      </c>
      <c r="C228" s="51">
        <v>5.4957282036185218E-2</v>
      </c>
      <c r="D228" s="52">
        <v>12</v>
      </c>
      <c r="E228" s="53">
        <v>0.85611510791366907</v>
      </c>
      <c r="G228" s="2"/>
      <c r="L228" s="5"/>
      <c r="O228" s="2"/>
    </row>
    <row r="229" spans="2:15" x14ac:dyDescent="0.2">
      <c r="B229" s="50">
        <v>1626</v>
      </c>
      <c r="C229" s="51">
        <v>6.0319608740802444E-2</v>
      </c>
      <c r="D229" s="52">
        <v>12</v>
      </c>
      <c r="E229" s="53">
        <v>0.85611510791366907</v>
      </c>
      <c r="G229" s="2"/>
      <c r="L229" s="5"/>
      <c r="O229" s="2"/>
    </row>
    <row r="230" spans="2:15" x14ac:dyDescent="0.2">
      <c r="B230" s="50">
        <v>1694</v>
      </c>
      <c r="C230" s="51">
        <v>6.4730805008896941E-2</v>
      </c>
      <c r="D230" s="52">
        <v>12</v>
      </c>
      <c r="E230" s="53">
        <v>0.84892086330935257</v>
      </c>
      <c r="G230" s="2"/>
      <c r="L230" s="5"/>
      <c r="O230" s="2"/>
    </row>
    <row r="231" spans="2:15" x14ac:dyDescent="0.2">
      <c r="B231" s="50">
        <v>1481</v>
      </c>
      <c r="C231" s="51">
        <v>7.2271882465553161E-2</v>
      </c>
      <c r="D231" s="52">
        <v>12</v>
      </c>
      <c r="E231" s="53">
        <v>0.84892086330935257</v>
      </c>
      <c r="G231" s="2"/>
      <c r="L231" s="5"/>
      <c r="O231" s="2"/>
    </row>
    <row r="232" spans="2:15" x14ac:dyDescent="0.2">
      <c r="B232" s="50">
        <v>1757</v>
      </c>
      <c r="C232" s="51">
        <v>7.264208941375716E-2</v>
      </c>
      <c r="D232" s="52">
        <v>12</v>
      </c>
      <c r="E232" s="53">
        <v>0.82014388489208634</v>
      </c>
      <c r="G232" s="2"/>
      <c r="L232" s="5"/>
      <c r="O232" s="2"/>
    </row>
    <row r="233" spans="2:15" x14ac:dyDescent="0.2">
      <c r="B233" s="50">
        <v>1480</v>
      </c>
      <c r="C233" s="51">
        <v>7.534286933290657E-2</v>
      </c>
      <c r="D233" s="52">
        <v>12</v>
      </c>
      <c r="E233" s="53">
        <v>0.8848920863309353</v>
      </c>
      <c r="G233" s="2"/>
      <c r="L233" s="5"/>
      <c r="O233" s="2"/>
    </row>
    <row r="234" spans="2:15" x14ac:dyDescent="0.2">
      <c r="B234" s="50">
        <v>1627</v>
      </c>
      <c r="C234" s="51">
        <v>8.1258983310361077E-2</v>
      </c>
      <c r="D234" s="52">
        <v>12</v>
      </c>
      <c r="E234" s="53">
        <v>0.84892086330935257</v>
      </c>
      <c r="G234" s="2"/>
      <c r="L234" s="5"/>
      <c r="O234" s="2"/>
    </row>
    <row r="235" spans="2:15" x14ac:dyDescent="0.2">
      <c r="B235" s="50">
        <v>1787</v>
      </c>
      <c r="C235" s="51">
        <v>8.5351368138259054E-2</v>
      </c>
      <c r="D235" s="52">
        <v>12</v>
      </c>
      <c r="E235" s="53">
        <v>0.74100719424460426</v>
      </c>
      <c r="G235" s="2"/>
      <c r="L235" s="5"/>
      <c r="O235" s="2"/>
    </row>
    <row r="236" spans="2:15" x14ac:dyDescent="0.2">
      <c r="B236" s="50">
        <v>1360</v>
      </c>
      <c r="C236" s="51">
        <v>9.4143509118415625E-2</v>
      </c>
      <c r="D236" s="52">
        <v>12</v>
      </c>
      <c r="E236" s="53">
        <v>0.79856115107913672</v>
      </c>
      <c r="G236" s="2"/>
      <c r="L236" s="5"/>
      <c r="O236" s="2"/>
    </row>
    <row r="237" spans="2:15" x14ac:dyDescent="0.2">
      <c r="B237" s="50">
        <v>1966</v>
      </c>
      <c r="C237" s="51">
        <v>0.10408902124629149</v>
      </c>
      <c r="D237" s="52">
        <v>12</v>
      </c>
      <c r="E237" s="53">
        <v>0.64028776978417268</v>
      </c>
      <c r="G237" s="2"/>
      <c r="L237" s="5"/>
      <c r="O237" s="2"/>
    </row>
    <row r="238" spans="2:15" x14ac:dyDescent="0.2">
      <c r="B238" s="50">
        <v>1988</v>
      </c>
      <c r="C238" s="51">
        <v>0.11348528764519672</v>
      </c>
      <c r="D238" s="52">
        <v>12</v>
      </c>
      <c r="E238" s="53">
        <v>0.64028776978417268</v>
      </c>
      <c r="G238" s="2"/>
      <c r="L238" s="5"/>
      <c r="O238" s="2"/>
    </row>
    <row r="239" spans="2:15" x14ac:dyDescent="0.2">
      <c r="B239" s="50">
        <v>1230</v>
      </c>
      <c r="C239" s="51">
        <v>0.12485738021968973</v>
      </c>
      <c r="D239" s="52">
        <v>12</v>
      </c>
      <c r="E239" s="53">
        <v>0.78417266187050361</v>
      </c>
      <c r="G239" s="2"/>
      <c r="L239" s="5"/>
      <c r="O239" s="2"/>
    </row>
    <row r="240" spans="2:15" x14ac:dyDescent="0.2">
      <c r="B240" s="50">
        <v>1401</v>
      </c>
      <c r="C240" s="51">
        <v>0.13536834655667174</v>
      </c>
      <c r="D240" s="52">
        <v>12</v>
      </c>
      <c r="E240" s="53">
        <v>0.7769784172661871</v>
      </c>
      <c r="G240" s="2"/>
      <c r="L240" s="5"/>
      <c r="O240" s="2"/>
    </row>
    <row r="241" spans="2:15" x14ac:dyDescent="0.2">
      <c r="B241" s="50">
        <v>1185</v>
      </c>
      <c r="C241" s="51">
        <v>0.14674066485118886</v>
      </c>
      <c r="D241" s="52">
        <v>12</v>
      </c>
      <c r="E241" s="53">
        <v>0.7769784172661871</v>
      </c>
      <c r="G241" s="2"/>
      <c r="L241" s="5"/>
      <c r="O241" s="2"/>
    </row>
    <row r="242" spans="2:15" x14ac:dyDescent="0.2">
      <c r="B242" s="50">
        <v>944</v>
      </c>
      <c r="C242" s="51">
        <v>0.14772161934864148</v>
      </c>
      <c r="D242" s="52">
        <v>12</v>
      </c>
      <c r="E242" s="53">
        <v>0.76978417266187049</v>
      </c>
      <c r="G242" s="2"/>
      <c r="L242" s="5"/>
      <c r="O242" s="2"/>
    </row>
    <row r="243" spans="2:15" x14ac:dyDescent="0.2">
      <c r="B243" s="50">
        <v>1441</v>
      </c>
      <c r="C243" s="51">
        <v>0.14813464193663317</v>
      </c>
      <c r="D243" s="52">
        <v>12</v>
      </c>
      <c r="E243" s="53">
        <v>0.76978417266187049</v>
      </c>
      <c r="G243" s="2"/>
      <c r="L243" s="5"/>
      <c r="O243" s="2"/>
    </row>
    <row r="244" spans="2:15" x14ac:dyDescent="0.2">
      <c r="B244" s="50">
        <v>1967</v>
      </c>
      <c r="C244" s="51">
        <v>0.14854926627484299</v>
      </c>
      <c r="D244" s="52">
        <v>12</v>
      </c>
      <c r="E244" s="53">
        <v>0.63309352517985606</v>
      </c>
      <c r="G244" s="2"/>
      <c r="L244" s="5"/>
      <c r="O244" s="2"/>
    </row>
    <row r="245" spans="2:15" x14ac:dyDescent="0.2">
      <c r="B245" s="50">
        <v>893</v>
      </c>
      <c r="C245" s="51">
        <v>0.15195165680048439</v>
      </c>
      <c r="D245" s="52">
        <v>12</v>
      </c>
      <c r="E245" s="53">
        <v>0.76258992805755399</v>
      </c>
      <c r="G245" s="2"/>
      <c r="L245" s="5"/>
      <c r="O245" s="2"/>
    </row>
    <row r="246" spans="2:15" x14ac:dyDescent="0.2">
      <c r="B246" s="50">
        <v>1968</v>
      </c>
      <c r="C246" s="51">
        <v>0.15865613570983517</v>
      </c>
      <c r="D246" s="52">
        <v>12</v>
      </c>
      <c r="E246" s="53">
        <v>0.65467625899280579</v>
      </c>
      <c r="G246" s="2"/>
      <c r="L246" s="5"/>
      <c r="O246" s="2"/>
    </row>
    <row r="247" spans="2:15" x14ac:dyDescent="0.2">
      <c r="B247" s="50">
        <v>1989</v>
      </c>
      <c r="C247" s="51">
        <v>0.16145659569311366</v>
      </c>
      <c r="D247" s="52">
        <v>12</v>
      </c>
      <c r="E247" s="53">
        <v>0.56834532374100721</v>
      </c>
      <c r="G247" s="2"/>
      <c r="L247" s="5"/>
      <c r="O247" s="2"/>
    </row>
    <row r="248" spans="2:15" x14ac:dyDescent="0.2">
      <c r="B248" s="50">
        <v>1990</v>
      </c>
      <c r="C248" s="51">
        <v>0.16781548368480925</v>
      </c>
      <c r="D248" s="52">
        <v>12</v>
      </c>
      <c r="E248" s="53">
        <v>0.64748201438848918</v>
      </c>
      <c r="G248" s="2"/>
      <c r="L248" s="5"/>
      <c r="O248" s="2"/>
    </row>
    <row r="249" spans="2:15" x14ac:dyDescent="0.2">
      <c r="B249" s="50">
        <v>2009</v>
      </c>
      <c r="C249" s="51">
        <v>0.19108585902987418</v>
      </c>
      <c r="D249" s="52">
        <v>12</v>
      </c>
      <c r="E249" s="53">
        <v>0.57553956834532372</v>
      </c>
      <c r="G249" s="2"/>
      <c r="L249" s="5"/>
      <c r="O249" s="2"/>
    </row>
    <row r="250" spans="2:15" x14ac:dyDescent="0.2">
      <c r="B250" s="50">
        <v>1139</v>
      </c>
      <c r="C250" s="51">
        <v>0.19363186570033331</v>
      </c>
      <c r="D250" s="52">
        <v>12</v>
      </c>
      <c r="E250" s="53">
        <v>0.76258992805755399</v>
      </c>
      <c r="G250" s="2"/>
      <c r="L250" s="5"/>
      <c r="O250" s="2"/>
    </row>
    <row r="251" spans="2:15" x14ac:dyDescent="0.2">
      <c r="B251" s="50">
        <v>1092</v>
      </c>
      <c r="C251" s="51">
        <v>0.19384990587434525</v>
      </c>
      <c r="D251" s="52">
        <v>12</v>
      </c>
      <c r="E251" s="53">
        <v>0.76258992805755399</v>
      </c>
      <c r="G251" s="2"/>
      <c r="L251" s="5"/>
      <c r="O251" s="2"/>
    </row>
    <row r="252" spans="2:15" x14ac:dyDescent="0.2">
      <c r="B252" s="50">
        <v>1969</v>
      </c>
      <c r="C252" s="51">
        <v>0.20570073210260631</v>
      </c>
      <c r="D252" s="52">
        <v>12</v>
      </c>
      <c r="E252" s="53">
        <v>0.57553956834532372</v>
      </c>
      <c r="G252" s="2"/>
      <c r="L252" s="5"/>
      <c r="O252" s="2"/>
    </row>
    <row r="253" spans="2:15" x14ac:dyDescent="0.2">
      <c r="B253" s="50">
        <v>2029</v>
      </c>
      <c r="C253" s="51">
        <v>0.20748607653623152</v>
      </c>
      <c r="D253" s="52">
        <v>12</v>
      </c>
      <c r="E253" s="53">
        <v>0.56834532374100721</v>
      </c>
      <c r="G253" s="2"/>
      <c r="L253" s="5"/>
      <c r="O253" s="2"/>
    </row>
    <row r="254" spans="2:15" x14ac:dyDescent="0.2">
      <c r="B254" s="50">
        <v>1991</v>
      </c>
      <c r="C254" s="51">
        <v>0.22136420453394068</v>
      </c>
      <c r="D254" s="52">
        <v>12</v>
      </c>
      <c r="E254" s="53">
        <v>0.58273381294964033</v>
      </c>
      <c r="G254" s="2"/>
      <c r="L254" s="5"/>
      <c r="O254" s="2"/>
    </row>
    <row r="255" spans="2:15" x14ac:dyDescent="0.2">
      <c r="B255" s="50">
        <v>2010</v>
      </c>
      <c r="C255" s="51">
        <v>0.23910429661252464</v>
      </c>
      <c r="D255" s="52">
        <v>12</v>
      </c>
      <c r="E255" s="53">
        <v>0.5611510791366906</v>
      </c>
      <c r="G255" s="2"/>
      <c r="L255" s="5"/>
      <c r="O255" s="2"/>
    </row>
    <row r="256" spans="2:15" x14ac:dyDescent="0.2">
      <c r="B256" s="50">
        <v>2011</v>
      </c>
      <c r="C256" s="51">
        <v>0.24482649406560908</v>
      </c>
      <c r="D256" s="52">
        <v>12</v>
      </c>
      <c r="E256" s="53">
        <v>0.58273381294964033</v>
      </c>
      <c r="G256" s="2"/>
      <c r="L256" s="5"/>
      <c r="O256" s="2"/>
    </row>
    <row r="257" spans="2:15" x14ac:dyDescent="0.2">
      <c r="B257" s="50">
        <v>1314</v>
      </c>
      <c r="C257" s="51">
        <v>0.25224142834196517</v>
      </c>
      <c r="D257" s="52">
        <v>12</v>
      </c>
      <c r="E257" s="53">
        <v>0.76258992805755399</v>
      </c>
      <c r="G257" s="2"/>
      <c r="L257" s="5"/>
      <c r="O257" s="2"/>
    </row>
    <row r="258" spans="2:15" x14ac:dyDescent="0.2">
      <c r="B258" s="50">
        <v>2030</v>
      </c>
      <c r="C258" s="51">
        <v>0.26164087917728684</v>
      </c>
      <c r="D258" s="52">
        <v>12</v>
      </c>
      <c r="E258" s="53">
        <v>0.56834532374100721</v>
      </c>
      <c r="G258" s="2"/>
      <c r="L258" s="5"/>
      <c r="O258" s="2"/>
    </row>
    <row r="259" spans="2:15" x14ac:dyDescent="0.2">
      <c r="B259" s="50">
        <v>2031</v>
      </c>
      <c r="C259" s="51">
        <v>0.26231535432103692</v>
      </c>
      <c r="D259" s="52">
        <v>12</v>
      </c>
      <c r="E259" s="53">
        <v>0.57553956834532372</v>
      </c>
      <c r="G259" s="2"/>
      <c r="L259" s="5"/>
      <c r="O259" s="2"/>
    </row>
    <row r="260" spans="2:15" x14ac:dyDescent="0.2">
      <c r="B260" s="50">
        <v>2048</v>
      </c>
      <c r="C260" s="51">
        <v>0.29155554043678777</v>
      </c>
      <c r="D260" s="52">
        <v>12</v>
      </c>
      <c r="E260" s="53">
        <v>0.5611510791366906</v>
      </c>
      <c r="G260" s="2"/>
      <c r="L260" s="5"/>
      <c r="O260" s="2"/>
    </row>
    <row r="261" spans="2:15" x14ac:dyDescent="0.2">
      <c r="B261" s="50">
        <v>1271</v>
      </c>
      <c r="C261" s="51">
        <v>0.29864407038033192</v>
      </c>
      <c r="D261" s="52">
        <v>12</v>
      </c>
      <c r="E261" s="53">
        <v>0.74820143884892087</v>
      </c>
      <c r="G261" s="2"/>
      <c r="L261" s="5"/>
      <c r="O261" s="2"/>
    </row>
    <row r="262" spans="2:15" x14ac:dyDescent="0.2">
      <c r="B262" s="50">
        <v>2012</v>
      </c>
      <c r="C262" s="51">
        <v>0.30101366712383715</v>
      </c>
      <c r="D262" s="52">
        <v>12</v>
      </c>
      <c r="E262" s="53">
        <v>0.56834532374100721</v>
      </c>
      <c r="G262" s="2"/>
      <c r="L262" s="5"/>
      <c r="O262" s="2"/>
    </row>
    <row r="263" spans="2:15" x14ac:dyDescent="0.2">
      <c r="B263" s="50">
        <v>2032</v>
      </c>
      <c r="C263" s="51">
        <v>0.33057546440505969</v>
      </c>
      <c r="D263" s="52">
        <v>12</v>
      </c>
      <c r="E263" s="53">
        <v>0.5611510791366906</v>
      </c>
      <c r="G263" s="2"/>
      <c r="L263" s="5"/>
      <c r="O263" s="2"/>
    </row>
    <row r="264" spans="2:15" x14ac:dyDescent="0.2">
      <c r="B264" s="50">
        <v>2050</v>
      </c>
      <c r="C264" s="51">
        <v>0.35652895799849227</v>
      </c>
      <c r="D264" s="52">
        <v>12</v>
      </c>
      <c r="E264" s="53">
        <v>0.51798561151079137</v>
      </c>
      <c r="G264" s="2"/>
      <c r="L264" s="5"/>
      <c r="O264" s="2"/>
    </row>
    <row r="265" spans="2:15" x14ac:dyDescent="0.2">
      <c r="B265" s="50">
        <v>2049</v>
      </c>
      <c r="C265" s="51">
        <v>0.35973509637216972</v>
      </c>
      <c r="D265" s="52">
        <v>12</v>
      </c>
      <c r="E265" s="53">
        <v>0.41726618705035973</v>
      </c>
      <c r="G265" s="2"/>
      <c r="L265" s="5"/>
      <c r="O265" s="2"/>
    </row>
    <row r="266" spans="2:15" x14ac:dyDescent="0.2">
      <c r="B266" s="50">
        <v>2051</v>
      </c>
      <c r="C266" s="51">
        <v>0.45347266343741144</v>
      </c>
      <c r="D266" s="52">
        <v>12</v>
      </c>
      <c r="E266" s="53">
        <v>0.39568345323741005</v>
      </c>
      <c r="G266" s="2"/>
      <c r="L266" s="5"/>
      <c r="O266" s="2"/>
    </row>
    <row r="267" spans="2:15" x14ac:dyDescent="0.2">
      <c r="B267" s="50">
        <v>2201</v>
      </c>
      <c r="C267" s="51">
        <v>0.47525837710478513</v>
      </c>
      <c r="D267" s="52">
        <v>12</v>
      </c>
      <c r="E267" s="53">
        <v>0.36690647482014388</v>
      </c>
      <c r="G267" s="2"/>
      <c r="L267" s="5"/>
      <c r="O267" s="2"/>
    </row>
    <row r="268" spans="2:15" x14ac:dyDescent="0.2">
      <c r="B268" s="50">
        <v>1591</v>
      </c>
      <c r="C268" s="51">
        <v>5.8395952072075374E-2</v>
      </c>
      <c r="D268" s="52">
        <v>14</v>
      </c>
      <c r="E268" s="53">
        <v>0.85611510791366907</v>
      </c>
      <c r="G268" s="2"/>
      <c r="L268" s="5"/>
      <c r="O268" s="2"/>
    </row>
    <row r="269" spans="2:15" x14ac:dyDescent="0.2">
      <c r="B269" s="50">
        <v>1519</v>
      </c>
      <c r="C269" s="51">
        <v>6.6433980362297751E-2</v>
      </c>
      <c r="D269" s="52">
        <v>14</v>
      </c>
      <c r="E269" s="53">
        <v>0.84172661870503596</v>
      </c>
      <c r="G269" s="2"/>
      <c r="L269" s="5"/>
      <c r="O269" s="2"/>
    </row>
    <row r="270" spans="2:15" x14ac:dyDescent="0.2">
      <c r="B270" s="50">
        <v>1556</v>
      </c>
      <c r="C270" s="51">
        <v>6.6521128806432239E-2</v>
      </c>
      <c r="D270" s="52">
        <v>14</v>
      </c>
      <c r="E270" s="53">
        <v>0.84892086330935257</v>
      </c>
      <c r="G270" s="2"/>
      <c r="L270" s="5"/>
      <c r="O270" s="2"/>
    </row>
    <row r="271" spans="2:15" x14ac:dyDescent="0.2">
      <c r="B271" s="50">
        <v>1555</v>
      </c>
      <c r="C271" s="51">
        <v>6.8481921729543482E-2</v>
      </c>
      <c r="D271" s="52">
        <v>14</v>
      </c>
      <c r="E271" s="53">
        <v>0.84892086330935257</v>
      </c>
      <c r="G271" s="2"/>
      <c r="L271" s="5"/>
      <c r="O271" s="2"/>
    </row>
    <row r="272" spans="2:15" x14ac:dyDescent="0.2">
      <c r="B272" s="50">
        <v>1518</v>
      </c>
      <c r="C272" s="51">
        <v>6.8634963064126642E-2</v>
      </c>
      <c r="D272" s="52">
        <v>14</v>
      </c>
      <c r="E272" s="53">
        <v>0.85611510791366907</v>
      </c>
      <c r="G272" s="2"/>
      <c r="L272" s="5"/>
      <c r="O272" s="2"/>
    </row>
    <row r="273" spans="2:15" x14ac:dyDescent="0.2">
      <c r="B273" s="50">
        <v>1592</v>
      </c>
      <c r="C273" s="51">
        <v>7.5537187583402998E-2</v>
      </c>
      <c r="D273" s="52">
        <v>14</v>
      </c>
      <c r="E273" s="53">
        <v>0.84892086330935257</v>
      </c>
      <c r="G273" s="2"/>
      <c r="L273" s="5"/>
      <c r="O273" s="2"/>
    </row>
    <row r="274" spans="2:15" x14ac:dyDescent="0.2">
      <c r="B274" s="50">
        <v>2182</v>
      </c>
      <c r="C274" s="51">
        <v>0.57022715711365357</v>
      </c>
      <c r="D274" s="52">
        <v>15</v>
      </c>
      <c r="E274" s="53">
        <v>0.35251798561151076</v>
      </c>
      <c r="G274" s="2"/>
      <c r="L274" s="5"/>
      <c r="O274" s="2"/>
    </row>
    <row r="275" spans="2:15" x14ac:dyDescent="0.2">
      <c r="B275" s="50">
        <v>2132</v>
      </c>
      <c r="C275" s="51">
        <v>9.9406529186149561E-2</v>
      </c>
      <c r="D275" s="52">
        <v>16</v>
      </c>
      <c r="E275" s="53">
        <v>0.79856115107913672</v>
      </c>
      <c r="G275" s="2"/>
      <c r="L275" s="5"/>
      <c r="O275" s="2"/>
    </row>
    <row r="276" spans="2:15" x14ac:dyDescent="0.2">
      <c r="B276" s="50">
        <v>1845</v>
      </c>
      <c r="C276" s="51">
        <v>0.12147120138736045</v>
      </c>
      <c r="D276" s="52">
        <v>16</v>
      </c>
      <c r="E276" s="53">
        <v>0.64028776978417268</v>
      </c>
      <c r="G276" s="2"/>
      <c r="L276" s="5"/>
      <c r="O276" s="2"/>
    </row>
    <row r="277" spans="2:15" x14ac:dyDescent="0.2">
      <c r="B277" s="50">
        <v>1872</v>
      </c>
      <c r="C277" s="51">
        <v>0.13993679282811256</v>
      </c>
      <c r="D277" s="52">
        <v>16</v>
      </c>
      <c r="E277" s="53">
        <v>0.63309352517985606</v>
      </c>
      <c r="G277" s="2"/>
      <c r="L277" s="5"/>
      <c r="O277" s="2"/>
    </row>
    <row r="278" spans="2:15" x14ac:dyDescent="0.2">
      <c r="B278" s="50">
        <v>2133</v>
      </c>
      <c r="C278" s="51">
        <v>0.14090946291268325</v>
      </c>
      <c r="D278" s="52">
        <v>16</v>
      </c>
      <c r="E278" s="53">
        <v>0.76978417266187049</v>
      </c>
      <c r="G278" s="2"/>
      <c r="L278" s="5"/>
      <c r="O278" s="2"/>
    </row>
    <row r="279" spans="2:15" x14ac:dyDescent="0.2">
      <c r="B279" s="50">
        <v>1948</v>
      </c>
      <c r="C279" s="51">
        <v>0.14690295121092389</v>
      </c>
      <c r="D279" s="52">
        <v>16</v>
      </c>
      <c r="E279" s="53">
        <v>0.5611510791366906</v>
      </c>
      <c r="G279" s="2"/>
      <c r="L279" s="5"/>
      <c r="O279" s="2"/>
    </row>
    <row r="280" spans="2:15" x14ac:dyDescent="0.2">
      <c r="B280" s="50">
        <v>1947</v>
      </c>
      <c r="C280" s="51">
        <v>0.16864710733895971</v>
      </c>
      <c r="D280" s="52">
        <v>16</v>
      </c>
      <c r="E280" s="53">
        <v>0.57553956834532372</v>
      </c>
      <c r="G280" s="2"/>
      <c r="L280" s="5"/>
      <c r="O280" s="2"/>
    </row>
    <row r="281" spans="2:15" x14ac:dyDescent="0.2">
      <c r="B281" s="50">
        <v>2104</v>
      </c>
      <c r="C281" s="51">
        <v>0.38851587143603361</v>
      </c>
      <c r="D281" s="52">
        <v>16</v>
      </c>
      <c r="E281" s="53">
        <v>0.41726618705035973</v>
      </c>
      <c r="G281" s="2"/>
      <c r="L281" s="5"/>
      <c r="O281" s="2"/>
    </row>
    <row r="282" spans="2:15" x14ac:dyDescent="0.2">
      <c r="B282" s="50">
        <v>2088</v>
      </c>
      <c r="C282" s="51">
        <v>0.41412265617630262</v>
      </c>
      <c r="D282" s="52">
        <v>16</v>
      </c>
      <c r="E282" s="53">
        <v>0.41726618705035973</v>
      </c>
      <c r="G282" s="2"/>
      <c r="L282" s="5"/>
      <c r="O282" s="2"/>
    </row>
    <row r="283" spans="2:15" x14ac:dyDescent="0.2">
      <c r="B283" s="50">
        <v>2119</v>
      </c>
      <c r="C283" s="51">
        <v>0.41711244493121857</v>
      </c>
      <c r="D283" s="52">
        <v>16</v>
      </c>
      <c r="E283" s="53">
        <v>0.41726618705035973</v>
      </c>
      <c r="G283" s="2"/>
      <c r="L283" s="5"/>
      <c r="O283" s="2"/>
    </row>
    <row r="284" spans="2:15" x14ac:dyDescent="0.2">
      <c r="B284" s="50">
        <v>2118</v>
      </c>
      <c r="C284" s="51">
        <v>0.4321307214434057</v>
      </c>
      <c r="D284" s="52">
        <v>16</v>
      </c>
      <c r="E284" s="53">
        <v>0.41007194244604317</v>
      </c>
      <c r="G284" s="2"/>
      <c r="L284" s="5"/>
      <c r="O284" s="2"/>
    </row>
    <row r="285" spans="2:15" x14ac:dyDescent="0.2">
      <c r="B285" s="50">
        <v>2071</v>
      </c>
      <c r="C285" s="51">
        <v>0.43215302800591038</v>
      </c>
      <c r="D285" s="52">
        <v>16</v>
      </c>
      <c r="E285" s="53">
        <v>0.41007194244604317</v>
      </c>
      <c r="G285" s="2"/>
      <c r="L285" s="5"/>
      <c r="O285" s="2"/>
    </row>
    <row r="286" spans="2:15" x14ac:dyDescent="0.2">
      <c r="B286" s="50">
        <v>2103</v>
      </c>
      <c r="C286" s="51">
        <v>0.43939403659272924</v>
      </c>
      <c r="D286" s="52">
        <v>16</v>
      </c>
      <c r="E286" s="53">
        <v>0.40287769784172661</v>
      </c>
      <c r="G286" s="2"/>
      <c r="L286" s="5"/>
      <c r="O286" s="2"/>
    </row>
    <row r="287" spans="2:15" x14ac:dyDescent="0.2">
      <c r="B287" s="50">
        <v>2087</v>
      </c>
      <c r="C287" s="51">
        <v>0.45272651017947085</v>
      </c>
      <c r="D287" s="52">
        <v>16</v>
      </c>
      <c r="E287" s="53">
        <v>0.39568345323741005</v>
      </c>
      <c r="G287" s="2"/>
      <c r="L287" s="5"/>
      <c r="O287" s="2"/>
    </row>
    <row r="288" spans="2:15" x14ac:dyDescent="0.2">
      <c r="B288" s="50">
        <v>2070</v>
      </c>
      <c r="C288" s="51">
        <v>0.46946105529522164</v>
      </c>
      <c r="D288" s="52">
        <v>16</v>
      </c>
      <c r="E288" s="53">
        <v>0.38129496402877699</v>
      </c>
      <c r="G288" s="2"/>
      <c r="L288" s="5"/>
      <c r="O288" s="2"/>
    </row>
    <row r="289" spans="2:15" x14ac:dyDescent="0.2">
      <c r="B289" s="50">
        <v>1587</v>
      </c>
      <c r="C289" s="51">
        <v>9.5675238067726376E-2</v>
      </c>
      <c r="D289" s="52">
        <v>17</v>
      </c>
      <c r="E289" s="53">
        <v>0.83453237410071945</v>
      </c>
      <c r="G289" s="2"/>
      <c r="L289" s="5"/>
      <c r="O289" s="2"/>
    </row>
    <row r="290" spans="2:15" x14ac:dyDescent="0.2">
      <c r="B290" s="50">
        <v>1551</v>
      </c>
      <c r="C290" s="51">
        <v>0.10680580257266847</v>
      </c>
      <c r="D290" s="52">
        <v>17</v>
      </c>
      <c r="E290" s="53">
        <v>0.82733812949640284</v>
      </c>
      <c r="G290" s="2"/>
      <c r="L290" s="5"/>
      <c r="O290" s="2"/>
    </row>
    <row r="291" spans="2:15" x14ac:dyDescent="0.2">
      <c r="B291" s="50">
        <v>2095</v>
      </c>
      <c r="C291" s="51">
        <v>0.4152022738037513</v>
      </c>
      <c r="D291" s="52">
        <v>17</v>
      </c>
      <c r="E291" s="53">
        <v>0.41726618705035973</v>
      </c>
      <c r="G291" s="2"/>
      <c r="L291" s="5"/>
      <c r="O291" s="2"/>
    </row>
    <row r="292" spans="2:15" x14ac:dyDescent="0.2">
      <c r="B292" s="50">
        <v>2079</v>
      </c>
      <c r="C292" s="51">
        <v>0.42956740681576722</v>
      </c>
      <c r="D292" s="52">
        <v>17</v>
      </c>
      <c r="E292" s="53">
        <v>0.42446043165467628</v>
      </c>
      <c r="G292" s="2"/>
      <c r="L292" s="5"/>
      <c r="O292" s="2"/>
    </row>
    <row r="293" spans="2:15" x14ac:dyDescent="0.2">
      <c r="B293" s="50">
        <v>2062</v>
      </c>
      <c r="C293" s="51">
        <v>0.44412273617758835</v>
      </c>
      <c r="D293" s="52">
        <v>17</v>
      </c>
      <c r="E293" s="53">
        <v>0.41726618705035973</v>
      </c>
      <c r="G293" s="2"/>
      <c r="L293" s="5"/>
      <c r="O293" s="2"/>
    </row>
    <row r="294" spans="2:15" x14ac:dyDescent="0.2">
      <c r="B294" s="50">
        <v>2207</v>
      </c>
      <c r="C294" s="51">
        <v>0.70493169167496106</v>
      </c>
      <c r="D294" s="52">
        <v>17</v>
      </c>
      <c r="E294" s="53">
        <v>0.34532374100719426</v>
      </c>
      <c r="G294" s="2"/>
      <c r="L294" s="5"/>
      <c r="O294" s="2"/>
    </row>
    <row r="295" spans="2:15" x14ac:dyDescent="0.2">
      <c r="B295" s="50">
        <v>17</v>
      </c>
      <c r="C295" s="51">
        <v>4.3319016537275061</v>
      </c>
      <c r="D295" s="52">
        <v>17</v>
      </c>
      <c r="E295" s="53">
        <v>0.65</v>
      </c>
      <c r="G295" s="2"/>
      <c r="L295" s="5"/>
      <c r="O295" s="2"/>
    </row>
    <row r="296" spans="2:15" x14ac:dyDescent="0.2">
      <c r="B296" s="50">
        <v>16</v>
      </c>
      <c r="C296" s="51">
        <v>4.4065151338614363</v>
      </c>
      <c r="D296" s="52">
        <v>17</v>
      </c>
      <c r="E296" s="53">
        <v>0.65</v>
      </c>
      <c r="G296" s="2"/>
      <c r="L296" s="5"/>
      <c r="O296" s="2"/>
    </row>
    <row r="297" spans="2:15" x14ac:dyDescent="0.2">
      <c r="B297" s="50">
        <v>1044</v>
      </c>
      <c r="C297" s="51">
        <v>0.20577666446488729</v>
      </c>
      <c r="D297" s="52">
        <v>18</v>
      </c>
      <c r="E297" s="53">
        <v>0.67625899280575541</v>
      </c>
      <c r="G297" s="2"/>
      <c r="L297" s="5"/>
      <c r="O297" s="2"/>
    </row>
    <row r="298" spans="2:15" x14ac:dyDescent="0.2">
      <c r="B298" s="50">
        <v>994</v>
      </c>
      <c r="C298" s="51">
        <v>0.24656075155432222</v>
      </c>
      <c r="D298" s="52">
        <v>18</v>
      </c>
      <c r="E298" s="53">
        <v>0.65467625899280579</v>
      </c>
      <c r="G298" s="2"/>
      <c r="L298" s="5"/>
      <c r="O298" s="2"/>
    </row>
    <row r="299" spans="2:15" x14ac:dyDescent="0.2">
      <c r="B299" s="50">
        <v>840</v>
      </c>
      <c r="C299" s="51">
        <v>0.24719787537045601</v>
      </c>
      <c r="D299" s="52">
        <v>18</v>
      </c>
      <c r="E299" s="53">
        <v>0.67625899280575541</v>
      </c>
      <c r="G299" s="2"/>
      <c r="L299" s="5"/>
      <c r="O299" s="2"/>
    </row>
    <row r="300" spans="2:15" x14ac:dyDescent="0.2">
      <c r="B300" s="50">
        <v>1043</v>
      </c>
      <c r="C300" s="51">
        <v>0.27629664247375807</v>
      </c>
      <c r="D300" s="52">
        <v>18</v>
      </c>
      <c r="E300" s="53">
        <v>0.65467625899280579</v>
      </c>
      <c r="G300" s="2"/>
      <c r="L300" s="5"/>
      <c r="O300" s="2"/>
    </row>
    <row r="301" spans="2:15" x14ac:dyDescent="0.2">
      <c r="B301" s="50">
        <v>1137</v>
      </c>
      <c r="C301" s="51">
        <v>0.33108844624633571</v>
      </c>
      <c r="D301" s="52">
        <v>18</v>
      </c>
      <c r="E301" s="53">
        <v>0.75539568345323738</v>
      </c>
      <c r="G301" s="2"/>
      <c r="L301" s="5"/>
      <c r="O301" s="2"/>
    </row>
    <row r="302" spans="2:15" x14ac:dyDescent="0.2">
      <c r="B302" s="50">
        <v>1090</v>
      </c>
      <c r="C302" s="51">
        <v>0.33244064732778988</v>
      </c>
      <c r="D302" s="52">
        <v>18</v>
      </c>
      <c r="E302" s="53">
        <v>0.74820143884892087</v>
      </c>
      <c r="G302" s="2"/>
      <c r="L302" s="5"/>
      <c r="O302" s="2"/>
    </row>
    <row r="303" spans="2:15" x14ac:dyDescent="0.2">
      <c r="B303" s="50">
        <v>2091</v>
      </c>
      <c r="C303" s="51">
        <v>0.52091464034951052</v>
      </c>
      <c r="D303" s="52">
        <v>19</v>
      </c>
      <c r="E303" s="53">
        <v>0.36690647482014388</v>
      </c>
      <c r="G303" s="2"/>
      <c r="L303" s="5"/>
      <c r="O303" s="2"/>
    </row>
    <row r="304" spans="2:15" x14ac:dyDescent="0.2">
      <c r="B304" s="50">
        <v>2074</v>
      </c>
      <c r="C304" s="51">
        <v>0.54227844973639194</v>
      </c>
      <c r="D304" s="52">
        <v>19</v>
      </c>
      <c r="E304" s="53">
        <v>0.36690647482014388</v>
      </c>
      <c r="G304" s="2"/>
      <c r="L304" s="5"/>
      <c r="O304" s="2"/>
    </row>
    <row r="305" spans="2:15" x14ac:dyDescent="0.2">
      <c r="B305" s="50">
        <v>2075</v>
      </c>
      <c r="C305" s="51">
        <v>0.55054691063942063</v>
      </c>
      <c r="D305" s="52">
        <v>19</v>
      </c>
      <c r="E305" s="53">
        <v>0.36690647482014388</v>
      </c>
      <c r="G305" s="2"/>
      <c r="L305" s="5"/>
      <c r="O305" s="2"/>
    </row>
    <row r="306" spans="2:15" x14ac:dyDescent="0.2">
      <c r="B306" s="50">
        <v>1759</v>
      </c>
      <c r="C306" s="51">
        <v>5.1148249766034382E-2</v>
      </c>
      <c r="D306" s="52">
        <v>20</v>
      </c>
      <c r="E306" s="53">
        <v>0.84172661870503596</v>
      </c>
      <c r="G306" s="2"/>
      <c r="L306" s="5"/>
      <c r="O306" s="2"/>
    </row>
    <row r="307" spans="2:15" x14ac:dyDescent="0.2">
      <c r="B307" s="50">
        <v>1695</v>
      </c>
      <c r="C307" s="51">
        <v>5.302775602768961E-2</v>
      </c>
      <c r="D307" s="52">
        <v>20</v>
      </c>
      <c r="E307" s="53">
        <v>0.84172661870503596</v>
      </c>
      <c r="G307" s="2"/>
      <c r="L307" s="5"/>
      <c r="O307" s="2"/>
    </row>
    <row r="308" spans="2:15" x14ac:dyDescent="0.2">
      <c r="B308" s="50">
        <v>1758</v>
      </c>
      <c r="C308" s="51">
        <v>5.3189678156664422E-2</v>
      </c>
      <c r="D308" s="52">
        <v>20</v>
      </c>
      <c r="E308" s="53">
        <v>0.84172661870503596</v>
      </c>
      <c r="G308" s="2"/>
      <c r="L308" s="5"/>
      <c r="O308" s="2"/>
    </row>
    <row r="309" spans="2:15" x14ac:dyDescent="0.2">
      <c r="B309" s="50">
        <v>1923</v>
      </c>
      <c r="C309" s="51">
        <v>5.84369144117316E-2</v>
      </c>
      <c r="D309" s="52">
        <v>20</v>
      </c>
      <c r="E309" s="53">
        <v>0.84172661870503596</v>
      </c>
      <c r="G309" s="2"/>
      <c r="L309" s="5"/>
      <c r="O309" s="2"/>
    </row>
    <row r="310" spans="2:15" x14ac:dyDescent="0.2">
      <c r="B310" s="50">
        <v>1818</v>
      </c>
      <c r="C310" s="51">
        <v>6.0864611234287991E-2</v>
      </c>
      <c r="D310" s="52">
        <v>20</v>
      </c>
      <c r="E310" s="53">
        <v>0.84172661870503596</v>
      </c>
      <c r="G310" s="2"/>
      <c r="L310" s="5"/>
      <c r="O310" s="2"/>
    </row>
    <row r="311" spans="2:15" x14ac:dyDescent="0.2">
      <c r="B311" s="50">
        <v>1817</v>
      </c>
      <c r="C311" s="51">
        <v>6.1861576952803254E-2</v>
      </c>
      <c r="D311" s="52">
        <v>20</v>
      </c>
      <c r="E311" s="53">
        <v>0.81294964028776984</v>
      </c>
      <c r="G311" s="2"/>
      <c r="L311" s="5"/>
      <c r="O311" s="2"/>
    </row>
    <row r="312" spans="2:15" x14ac:dyDescent="0.2">
      <c r="B312" s="50">
        <v>1789</v>
      </c>
      <c r="C312" s="51">
        <v>6.5007561944021797E-2</v>
      </c>
      <c r="D312" s="52">
        <v>20</v>
      </c>
      <c r="E312" s="53">
        <v>0.84172661870503596</v>
      </c>
      <c r="G312" s="2"/>
      <c r="L312" s="5"/>
      <c r="O312" s="2"/>
    </row>
    <row r="313" spans="2:15" x14ac:dyDescent="0.2">
      <c r="B313" s="50">
        <v>1788</v>
      </c>
      <c r="C313" s="51">
        <v>6.6662343548409719E-2</v>
      </c>
      <c r="D313" s="52">
        <v>20</v>
      </c>
      <c r="E313" s="53">
        <v>0.81294964028776984</v>
      </c>
      <c r="G313" s="2"/>
      <c r="L313" s="5"/>
      <c r="O313" s="2"/>
    </row>
    <row r="314" spans="2:15" x14ac:dyDescent="0.2">
      <c r="B314" s="50">
        <v>1727</v>
      </c>
      <c r="C314" s="51">
        <v>6.9197417927143512E-2</v>
      </c>
      <c r="D314" s="52">
        <v>20</v>
      </c>
      <c r="E314" s="53">
        <v>0.84172661870503596</v>
      </c>
      <c r="G314" s="2"/>
      <c r="L314" s="5"/>
      <c r="O314" s="2"/>
    </row>
    <row r="315" spans="2:15" x14ac:dyDescent="0.2">
      <c r="B315" s="50">
        <v>1924</v>
      </c>
      <c r="C315" s="51">
        <v>7.5547198744299271E-2</v>
      </c>
      <c r="D315" s="52">
        <v>20</v>
      </c>
      <c r="E315" s="53">
        <v>0.83453237410071945</v>
      </c>
      <c r="G315" s="2"/>
      <c r="L315" s="5"/>
      <c r="O315" s="2"/>
    </row>
    <row r="316" spans="2:15" x14ac:dyDescent="0.2">
      <c r="B316" s="50">
        <v>1899</v>
      </c>
      <c r="C316" s="51">
        <v>9.5956449679761024E-2</v>
      </c>
      <c r="D316" s="52">
        <v>20</v>
      </c>
      <c r="E316" s="53">
        <v>0.73381294964028776</v>
      </c>
      <c r="G316" s="2"/>
      <c r="L316" s="5"/>
      <c r="O316" s="2"/>
    </row>
    <row r="317" spans="2:15" x14ac:dyDescent="0.2">
      <c r="B317" s="50">
        <v>1898</v>
      </c>
      <c r="C317" s="51">
        <v>0.11006374589519363</v>
      </c>
      <c r="D317" s="52">
        <v>20</v>
      </c>
      <c r="E317" s="53">
        <v>0.73381294964028776</v>
      </c>
      <c r="G317" s="2"/>
      <c r="L317" s="5"/>
      <c r="O317" s="2"/>
    </row>
    <row r="318" spans="2:15" x14ac:dyDescent="0.2">
      <c r="B318" s="50">
        <v>1846</v>
      </c>
      <c r="C318" s="51">
        <v>0.11451478360671152</v>
      </c>
      <c r="D318" s="52">
        <v>20</v>
      </c>
      <c r="E318" s="53">
        <v>0.64028776978417268</v>
      </c>
      <c r="G318" s="2"/>
      <c r="L318" s="5"/>
      <c r="O318" s="2"/>
    </row>
    <row r="319" spans="2:15" x14ac:dyDescent="0.2">
      <c r="B319" s="50">
        <v>1873</v>
      </c>
      <c r="C319" s="51">
        <v>0.1321674257877139</v>
      </c>
      <c r="D319" s="52">
        <v>20</v>
      </c>
      <c r="E319" s="53">
        <v>0.64028776978417268</v>
      </c>
      <c r="G319" s="2"/>
      <c r="L319" s="5"/>
      <c r="O319" s="2"/>
    </row>
    <row r="320" spans="2:15" x14ac:dyDescent="0.2">
      <c r="B320" s="50">
        <v>1971</v>
      </c>
      <c r="C320" s="51">
        <v>0.1322632104125866</v>
      </c>
      <c r="D320" s="52">
        <v>20</v>
      </c>
      <c r="E320" s="53">
        <v>0.73381294964028776</v>
      </c>
      <c r="G320" s="2"/>
      <c r="L320" s="5"/>
      <c r="O320" s="2"/>
    </row>
    <row r="321" spans="2:15" x14ac:dyDescent="0.2">
      <c r="B321" s="50">
        <v>1993</v>
      </c>
      <c r="C321" s="51">
        <v>0.13384920829191183</v>
      </c>
      <c r="D321" s="52">
        <v>20</v>
      </c>
      <c r="E321" s="53">
        <v>0.73381294964028776</v>
      </c>
      <c r="G321" s="2"/>
      <c r="L321" s="5"/>
      <c r="O321" s="2"/>
    </row>
    <row r="322" spans="2:15" x14ac:dyDescent="0.2">
      <c r="B322" s="50">
        <v>1970</v>
      </c>
      <c r="C322" s="51">
        <v>0.16773185923111655</v>
      </c>
      <c r="D322" s="52">
        <v>20</v>
      </c>
      <c r="E322" s="53">
        <v>0.63309352517985606</v>
      </c>
      <c r="G322" s="2"/>
      <c r="L322" s="5"/>
      <c r="O322" s="2"/>
    </row>
    <row r="323" spans="2:15" x14ac:dyDescent="0.2">
      <c r="B323" s="50">
        <v>1992</v>
      </c>
      <c r="C323" s="51">
        <v>0.17817162275158627</v>
      </c>
      <c r="D323" s="52">
        <v>20</v>
      </c>
      <c r="E323" s="53">
        <v>0.5611510791366906</v>
      </c>
      <c r="G323" s="2"/>
      <c r="L323" s="5"/>
      <c r="O323" s="2"/>
    </row>
    <row r="324" spans="2:15" x14ac:dyDescent="0.2">
      <c r="B324" s="50">
        <v>138</v>
      </c>
      <c r="C324" s="51">
        <v>0.20664387643523741</v>
      </c>
      <c r="D324" s="52">
        <v>20</v>
      </c>
      <c r="E324" s="53">
        <v>0.64028776978417268</v>
      </c>
      <c r="G324" s="2"/>
      <c r="L324" s="5"/>
      <c r="O324" s="2"/>
    </row>
    <row r="325" spans="2:15" x14ac:dyDescent="0.2">
      <c r="B325" s="50">
        <v>2014</v>
      </c>
      <c r="C325" s="51">
        <v>0.21770873272319069</v>
      </c>
      <c r="D325" s="52">
        <v>20</v>
      </c>
      <c r="E325" s="53">
        <v>0.57553956834532372</v>
      </c>
      <c r="G325" s="2"/>
      <c r="L325" s="5"/>
      <c r="O325" s="2"/>
    </row>
    <row r="326" spans="2:15" x14ac:dyDescent="0.2">
      <c r="B326" s="50">
        <v>2034</v>
      </c>
      <c r="C326" s="51">
        <v>0.22616203182427386</v>
      </c>
      <c r="D326" s="52">
        <v>20</v>
      </c>
      <c r="E326" s="53">
        <v>0.57553956834532372</v>
      </c>
      <c r="G326" s="2"/>
      <c r="L326" s="5"/>
      <c r="O326" s="2"/>
    </row>
    <row r="327" spans="2:15" x14ac:dyDescent="0.2">
      <c r="B327" s="50">
        <v>2013</v>
      </c>
      <c r="C327" s="51">
        <v>0.26094649330031561</v>
      </c>
      <c r="D327" s="52">
        <v>20</v>
      </c>
      <c r="E327" s="53">
        <v>0.5611510791366906</v>
      </c>
      <c r="G327" s="2"/>
      <c r="L327" s="5"/>
      <c r="O327" s="2"/>
    </row>
    <row r="328" spans="2:15" x14ac:dyDescent="0.2">
      <c r="B328" s="50">
        <v>2033</v>
      </c>
      <c r="C328" s="51">
        <v>0.283632270313246</v>
      </c>
      <c r="D328" s="52">
        <v>20</v>
      </c>
      <c r="E328" s="53">
        <v>0.56834532374100721</v>
      </c>
      <c r="G328" s="2"/>
      <c r="L328" s="5"/>
      <c r="O328" s="2"/>
    </row>
    <row r="329" spans="2:15" x14ac:dyDescent="0.2">
      <c r="B329" s="50">
        <v>2053</v>
      </c>
      <c r="C329" s="51">
        <v>0.33600859772640357</v>
      </c>
      <c r="D329" s="52">
        <v>20</v>
      </c>
      <c r="E329" s="53">
        <v>0.5611510791366906</v>
      </c>
      <c r="G329" s="2"/>
      <c r="L329" s="5"/>
      <c r="O329" s="2"/>
    </row>
    <row r="330" spans="2:15" x14ac:dyDescent="0.2">
      <c r="B330" s="50">
        <v>2052</v>
      </c>
      <c r="C330" s="51">
        <v>0.40555052281284798</v>
      </c>
      <c r="D330" s="52">
        <v>20</v>
      </c>
      <c r="E330" s="53">
        <v>0.41726618705035973</v>
      </c>
      <c r="G330" s="2"/>
      <c r="L330" s="5"/>
      <c r="O330" s="2"/>
    </row>
    <row r="331" spans="2:15" x14ac:dyDescent="0.2">
      <c r="B331" s="50">
        <v>1940</v>
      </c>
      <c r="C331" s="51">
        <v>8.9760403945472134E-2</v>
      </c>
      <c r="D331" s="52">
        <v>21</v>
      </c>
      <c r="E331" s="53">
        <v>0.49640287769784175</v>
      </c>
      <c r="G331" s="2"/>
      <c r="L331" s="5"/>
      <c r="O331" s="2"/>
    </row>
    <row r="332" spans="2:15" x14ac:dyDescent="0.2">
      <c r="B332" s="50">
        <v>1837</v>
      </c>
      <c r="C332" s="51">
        <v>0.22316131279604323</v>
      </c>
      <c r="D332" s="52">
        <v>21</v>
      </c>
      <c r="E332" s="53">
        <v>0.64748201438848918</v>
      </c>
      <c r="G332" s="2"/>
      <c r="L332" s="5"/>
      <c r="O332" s="2"/>
    </row>
    <row r="333" spans="2:15" x14ac:dyDescent="0.2">
      <c r="B333" s="50">
        <v>1864</v>
      </c>
      <c r="C333" s="51">
        <v>0.2383809533382486</v>
      </c>
      <c r="D333" s="52">
        <v>21</v>
      </c>
      <c r="E333" s="53">
        <v>0.64028776978417268</v>
      </c>
      <c r="G333" s="2"/>
      <c r="L333" s="5"/>
      <c r="O333" s="2"/>
    </row>
    <row r="334" spans="2:15" x14ac:dyDescent="0.2">
      <c r="B334" s="50">
        <v>1939</v>
      </c>
      <c r="C334" s="51">
        <v>0.26080146530613502</v>
      </c>
      <c r="D334" s="52">
        <v>21</v>
      </c>
      <c r="E334" s="53">
        <v>0.58273381294964033</v>
      </c>
      <c r="G334" s="2"/>
      <c r="L334" s="5"/>
      <c r="O334" s="2"/>
    </row>
    <row r="335" spans="2:15" x14ac:dyDescent="0.2">
      <c r="B335" s="50">
        <v>388</v>
      </c>
      <c r="C335" s="51">
        <v>0.20819605717780099</v>
      </c>
      <c r="D335" s="52">
        <v>22</v>
      </c>
      <c r="E335" s="53">
        <v>0.73381294964028776</v>
      </c>
      <c r="G335" s="2"/>
      <c r="L335" s="5"/>
      <c r="O335" s="2"/>
    </row>
    <row r="336" spans="2:15" x14ac:dyDescent="0.2">
      <c r="B336" s="50">
        <v>448</v>
      </c>
      <c r="C336" s="51">
        <v>0.21474869602534929</v>
      </c>
      <c r="D336" s="52">
        <v>22</v>
      </c>
      <c r="E336" s="53">
        <v>0.73381294964028776</v>
      </c>
      <c r="G336" s="2"/>
      <c r="L336" s="5"/>
      <c r="O336" s="2"/>
    </row>
    <row r="337" spans="2:15" x14ac:dyDescent="0.2">
      <c r="B337" s="50">
        <v>565</v>
      </c>
      <c r="C337" s="51">
        <v>0.22004049781454982</v>
      </c>
      <c r="D337" s="52">
        <v>22</v>
      </c>
      <c r="E337" s="53">
        <v>0.75539568345323738</v>
      </c>
      <c r="G337" s="2"/>
      <c r="L337" s="5"/>
      <c r="O337" s="2"/>
    </row>
    <row r="338" spans="2:15" x14ac:dyDescent="0.2">
      <c r="B338" s="50">
        <v>622</v>
      </c>
      <c r="C338" s="51">
        <v>0.22039434604757768</v>
      </c>
      <c r="D338" s="52">
        <v>22</v>
      </c>
      <c r="E338" s="53">
        <v>0.75539568345323738</v>
      </c>
      <c r="G338" s="2"/>
      <c r="L338" s="5"/>
      <c r="O338" s="2"/>
    </row>
    <row r="339" spans="2:15" x14ac:dyDescent="0.2">
      <c r="B339" s="50">
        <v>678</v>
      </c>
      <c r="C339" s="51">
        <v>0.22167200159611111</v>
      </c>
      <c r="D339" s="52">
        <v>22</v>
      </c>
      <c r="E339" s="53">
        <v>0.75539568345323738</v>
      </c>
      <c r="G339" s="2"/>
      <c r="L339" s="5"/>
      <c r="O339" s="2"/>
    </row>
    <row r="340" spans="2:15" x14ac:dyDescent="0.2">
      <c r="B340" s="50">
        <v>507</v>
      </c>
      <c r="C340" s="51">
        <v>0.22811329338757891</v>
      </c>
      <c r="D340" s="52">
        <v>22</v>
      </c>
      <c r="E340" s="53">
        <v>0.73381294964028776</v>
      </c>
      <c r="G340" s="2"/>
      <c r="L340" s="5"/>
      <c r="O340" s="2"/>
    </row>
    <row r="341" spans="2:15" x14ac:dyDescent="0.2">
      <c r="B341" s="50">
        <v>733</v>
      </c>
      <c r="C341" s="51">
        <v>0.23247686675161727</v>
      </c>
      <c r="D341" s="52">
        <v>22</v>
      </c>
      <c r="E341" s="53">
        <v>0.67625899280575541</v>
      </c>
      <c r="G341" s="2"/>
      <c r="L341" s="5"/>
      <c r="O341" s="2"/>
    </row>
    <row r="342" spans="2:15" x14ac:dyDescent="0.2">
      <c r="B342" s="50">
        <v>787</v>
      </c>
      <c r="C342" s="51">
        <v>0.23576818355767193</v>
      </c>
      <c r="D342" s="52">
        <v>22</v>
      </c>
      <c r="E342" s="53">
        <v>0.67625899280575541</v>
      </c>
      <c r="G342" s="2"/>
      <c r="L342" s="5"/>
      <c r="O342" s="2"/>
    </row>
    <row r="343" spans="2:15" x14ac:dyDescent="0.2">
      <c r="B343" s="50">
        <v>202</v>
      </c>
      <c r="C343" s="51">
        <v>0.20618538402392539</v>
      </c>
      <c r="D343" s="52">
        <v>23</v>
      </c>
      <c r="E343" s="53">
        <v>0.65467625899280579</v>
      </c>
      <c r="G343" s="2"/>
      <c r="L343" s="5"/>
      <c r="O343" s="2"/>
    </row>
    <row r="344" spans="2:15" x14ac:dyDescent="0.2">
      <c r="B344" s="50">
        <v>1042</v>
      </c>
      <c r="C344" s="51">
        <v>0.35074090907249755</v>
      </c>
      <c r="D344" s="52">
        <v>24</v>
      </c>
      <c r="E344" s="53">
        <v>0.6690647482014388</v>
      </c>
      <c r="G344" s="2"/>
      <c r="L344" s="5"/>
      <c r="O344" s="2"/>
    </row>
    <row r="345" spans="2:15" x14ac:dyDescent="0.2">
      <c r="B345" s="50">
        <v>15</v>
      </c>
      <c r="C345" s="51">
        <v>4.5202781084446428</v>
      </c>
      <c r="D345" s="52">
        <v>24</v>
      </c>
      <c r="E345" s="53">
        <v>0.65</v>
      </c>
      <c r="G345" s="2"/>
      <c r="L345" s="5"/>
      <c r="O345" s="2"/>
    </row>
    <row r="346" spans="2:15" x14ac:dyDescent="0.2">
      <c r="B346" s="50">
        <v>14</v>
      </c>
      <c r="C346" s="51">
        <v>4.8861822186969786</v>
      </c>
      <c r="D346" s="52">
        <v>24</v>
      </c>
      <c r="E346" s="53">
        <v>0.5</v>
      </c>
      <c r="G346" s="2"/>
      <c r="L346" s="5"/>
      <c r="O346" s="2"/>
    </row>
    <row r="347" spans="2:15" x14ac:dyDescent="0.2">
      <c r="B347" s="50">
        <v>1996</v>
      </c>
      <c r="C347" s="51">
        <v>0.1522128032797202</v>
      </c>
      <c r="D347" s="52">
        <v>25</v>
      </c>
      <c r="E347" s="53">
        <v>0.71942446043165464</v>
      </c>
      <c r="G347" s="2"/>
      <c r="L347" s="5"/>
      <c r="O347" s="2"/>
    </row>
    <row r="348" spans="2:15" x14ac:dyDescent="0.2">
      <c r="B348" s="50">
        <v>1997</v>
      </c>
      <c r="C348" s="51">
        <v>0.15683419085266126</v>
      </c>
      <c r="D348" s="52">
        <v>25</v>
      </c>
      <c r="E348" s="53">
        <v>0.71942446043165464</v>
      </c>
      <c r="G348" s="2"/>
      <c r="L348" s="5"/>
      <c r="O348" s="2"/>
    </row>
    <row r="349" spans="2:15" x14ac:dyDescent="0.2">
      <c r="B349" s="50">
        <v>1974</v>
      </c>
      <c r="C349" s="51">
        <v>0.15705611169569478</v>
      </c>
      <c r="D349" s="52">
        <v>25</v>
      </c>
      <c r="E349" s="53">
        <v>0.71942446043165464</v>
      </c>
      <c r="G349" s="2"/>
      <c r="L349" s="5"/>
      <c r="O349" s="2"/>
    </row>
    <row r="350" spans="2:15" x14ac:dyDescent="0.2">
      <c r="B350" s="50">
        <v>1975</v>
      </c>
      <c r="C350" s="51">
        <v>0.16335546479216634</v>
      </c>
      <c r="D350" s="52">
        <v>25</v>
      </c>
      <c r="E350" s="53">
        <v>0.71942446043165464</v>
      </c>
      <c r="G350" s="2"/>
      <c r="L350" s="5"/>
      <c r="O350" s="2"/>
    </row>
    <row r="351" spans="2:15" x14ac:dyDescent="0.2">
      <c r="B351" s="50">
        <v>1951</v>
      </c>
      <c r="C351" s="51">
        <v>0.17763142369267526</v>
      </c>
      <c r="D351" s="52">
        <v>25</v>
      </c>
      <c r="E351" s="53">
        <v>0.62589928057553956</v>
      </c>
      <c r="G351" s="2"/>
      <c r="L351" s="5"/>
      <c r="O351" s="2"/>
    </row>
    <row r="352" spans="2:15" x14ac:dyDescent="0.2">
      <c r="B352" s="50">
        <v>1952</v>
      </c>
      <c r="C352" s="51">
        <v>0.1850720306700423</v>
      </c>
      <c r="D352" s="52">
        <v>25</v>
      </c>
      <c r="E352" s="53">
        <v>0.62589928057553956</v>
      </c>
      <c r="G352" s="2"/>
      <c r="L352" s="5"/>
      <c r="O352" s="2"/>
    </row>
    <row r="353" spans="2:15" x14ac:dyDescent="0.2">
      <c r="B353" s="50">
        <v>2017</v>
      </c>
      <c r="C353" s="51">
        <v>0.24642031606124404</v>
      </c>
      <c r="D353" s="52">
        <v>25</v>
      </c>
      <c r="E353" s="53">
        <v>0.5611510791366906</v>
      </c>
      <c r="G353" s="2"/>
      <c r="L353" s="5"/>
      <c r="O353" s="2"/>
    </row>
    <row r="354" spans="2:15" x14ac:dyDescent="0.2">
      <c r="B354" s="50">
        <v>2037</v>
      </c>
      <c r="C354" s="51">
        <v>0.25084519265255534</v>
      </c>
      <c r="D354" s="52">
        <v>25</v>
      </c>
      <c r="E354" s="53">
        <v>0.5611510791366906</v>
      </c>
      <c r="G354" s="2"/>
      <c r="L354" s="5"/>
      <c r="O354" s="2"/>
    </row>
    <row r="355" spans="2:15" x14ac:dyDescent="0.2">
      <c r="B355" s="50">
        <v>2018</v>
      </c>
      <c r="C355" s="51">
        <v>0.25310347134527034</v>
      </c>
      <c r="D355" s="52">
        <v>25</v>
      </c>
      <c r="E355" s="53">
        <v>0.5539568345323741</v>
      </c>
      <c r="G355" s="2"/>
      <c r="L355" s="5"/>
      <c r="O355" s="2"/>
    </row>
    <row r="356" spans="2:15" x14ac:dyDescent="0.2">
      <c r="B356" s="50">
        <v>2038</v>
      </c>
      <c r="C356" s="51">
        <v>0.25724638963829105</v>
      </c>
      <c r="D356" s="52">
        <v>25</v>
      </c>
      <c r="E356" s="53">
        <v>0.5611510791366906</v>
      </c>
      <c r="G356" s="2"/>
      <c r="L356" s="5"/>
      <c r="O356" s="2"/>
    </row>
    <row r="357" spans="2:15" x14ac:dyDescent="0.2">
      <c r="B357" s="50">
        <v>2056</v>
      </c>
      <c r="C357" s="51">
        <v>0.38766561825400214</v>
      </c>
      <c r="D357" s="52">
        <v>25</v>
      </c>
      <c r="E357" s="53">
        <v>0.49640287769784175</v>
      </c>
      <c r="G357" s="2"/>
      <c r="L357" s="5"/>
      <c r="O357" s="2"/>
    </row>
    <row r="358" spans="2:15" x14ac:dyDescent="0.2">
      <c r="B358" s="50">
        <v>2057</v>
      </c>
      <c r="C358" s="51">
        <v>0.39293391530675303</v>
      </c>
      <c r="D358" s="52">
        <v>25</v>
      </c>
      <c r="E358" s="53">
        <v>0.49640287769784175</v>
      </c>
      <c r="G358" s="2"/>
      <c r="L358" s="5"/>
      <c r="O358" s="2"/>
    </row>
    <row r="359" spans="2:15" x14ac:dyDescent="0.2">
      <c r="B359" s="50">
        <v>18</v>
      </c>
      <c r="C359" s="51">
        <v>4.2411094106130847</v>
      </c>
      <c r="D359" s="52">
        <v>25</v>
      </c>
      <c r="E359" s="53">
        <v>0.65</v>
      </c>
      <c r="G359" s="2"/>
      <c r="L359" s="5"/>
      <c r="O359" s="2"/>
    </row>
    <row r="360" spans="2:15" x14ac:dyDescent="0.2">
      <c r="B360" s="50">
        <v>2120</v>
      </c>
      <c r="C360" s="51">
        <v>0.42207953385181829</v>
      </c>
      <c r="D360" s="52">
        <v>26</v>
      </c>
      <c r="E360" s="53">
        <v>0.37410071942446044</v>
      </c>
      <c r="G360" s="2"/>
      <c r="L360" s="5"/>
      <c r="O360" s="2"/>
    </row>
    <row r="361" spans="2:15" x14ac:dyDescent="0.2">
      <c r="B361" s="50">
        <v>2105</v>
      </c>
      <c r="C361" s="51">
        <v>0.4615834122891519</v>
      </c>
      <c r="D361" s="52">
        <v>26</v>
      </c>
      <c r="E361" s="53">
        <v>0.35251798561151076</v>
      </c>
      <c r="G361" s="2"/>
      <c r="L361" s="5"/>
      <c r="O361" s="2"/>
    </row>
    <row r="362" spans="2:15" x14ac:dyDescent="0.2">
      <c r="B362" s="50">
        <v>2106</v>
      </c>
      <c r="C362" s="51">
        <v>0.49876605263038176</v>
      </c>
      <c r="D362" s="52">
        <v>26</v>
      </c>
      <c r="E362" s="53">
        <v>0.37410071942446044</v>
      </c>
      <c r="G362" s="2"/>
      <c r="L362" s="5"/>
      <c r="O362" s="2"/>
    </row>
    <row r="363" spans="2:15" x14ac:dyDescent="0.2">
      <c r="B363" s="50">
        <v>2090</v>
      </c>
      <c r="C363" s="51">
        <v>0.50816539743304856</v>
      </c>
      <c r="D363" s="52">
        <v>26</v>
      </c>
      <c r="E363" s="53">
        <v>0.36690647482014388</v>
      </c>
      <c r="G363" s="2"/>
      <c r="L363" s="5"/>
      <c r="O363" s="2"/>
    </row>
    <row r="364" spans="2:15" x14ac:dyDescent="0.2">
      <c r="B364" s="50">
        <v>2073</v>
      </c>
      <c r="C364" s="51">
        <v>0.52974987916833982</v>
      </c>
      <c r="D364" s="52">
        <v>26</v>
      </c>
      <c r="E364" s="53">
        <v>0.36690647482014388</v>
      </c>
      <c r="G364" s="2"/>
      <c r="L364" s="5"/>
      <c r="O364" s="2"/>
    </row>
    <row r="365" spans="2:15" x14ac:dyDescent="0.2">
      <c r="B365" s="50">
        <v>2089</v>
      </c>
      <c r="C365" s="51">
        <v>0.47156404246525008</v>
      </c>
      <c r="D365" s="52">
        <v>27</v>
      </c>
      <c r="E365" s="53">
        <v>0.34532374100719426</v>
      </c>
      <c r="G365" s="2"/>
      <c r="L365" s="5"/>
      <c r="O365" s="2"/>
    </row>
    <row r="366" spans="2:15" x14ac:dyDescent="0.2">
      <c r="B366" s="50">
        <v>2072</v>
      </c>
      <c r="C366" s="51">
        <v>0.49553655125530804</v>
      </c>
      <c r="D366" s="52">
        <v>27</v>
      </c>
      <c r="E366" s="53">
        <v>0.34532374100719426</v>
      </c>
      <c r="G366" s="2"/>
      <c r="L366" s="5"/>
      <c r="O366" s="2"/>
    </row>
    <row r="367" spans="2:15" x14ac:dyDescent="0.2">
      <c r="B367" s="50">
        <v>134</v>
      </c>
      <c r="C367" s="51">
        <v>0.87136960476033087</v>
      </c>
      <c r="D367" s="52">
        <v>29</v>
      </c>
      <c r="E367" s="53">
        <v>0.23741007194244604</v>
      </c>
      <c r="G367" s="2"/>
      <c r="L367" s="5"/>
      <c r="O367" s="2"/>
    </row>
    <row r="368" spans="2:15" x14ac:dyDescent="0.2">
      <c r="B368" s="50">
        <v>1972</v>
      </c>
      <c r="C368" s="51">
        <v>0.12773717610790125</v>
      </c>
      <c r="D368" s="52">
        <v>32</v>
      </c>
      <c r="E368" s="53">
        <v>0.69784172661870503</v>
      </c>
      <c r="G368" s="2"/>
      <c r="L368" s="5"/>
      <c r="O368" s="2"/>
    </row>
    <row r="369" spans="2:15" x14ac:dyDescent="0.2">
      <c r="B369" s="50">
        <v>1994</v>
      </c>
      <c r="C369" s="51">
        <v>0.13112634544723589</v>
      </c>
      <c r="D369" s="52">
        <v>32</v>
      </c>
      <c r="E369" s="53">
        <v>0.69784172661870503</v>
      </c>
      <c r="G369" s="2"/>
      <c r="L369" s="5"/>
      <c r="O369" s="2"/>
    </row>
    <row r="370" spans="2:15" x14ac:dyDescent="0.2">
      <c r="B370" s="50">
        <v>1995</v>
      </c>
      <c r="C370" s="51">
        <v>0.15849996813017553</v>
      </c>
      <c r="D370" s="52">
        <v>32</v>
      </c>
      <c r="E370" s="53">
        <v>0.72661870503597126</v>
      </c>
      <c r="G370" s="2"/>
      <c r="L370" s="5"/>
      <c r="O370" s="2"/>
    </row>
    <row r="371" spans="2:15" x14ac:dyDescent="0.2">
      <c r="B371" s="50">
        <v>1973</v>
      </c>
      <c r="C371" s="51">
        <v>0.15963934874324792</v>
      </c>
      <c r="D371" s="52">
        <v>32</v>
      </c>
      <c r="E371" s="53">
        <v>0.72661870503597126</v>
      </c>
      <c r="G371" s="2"/>
      <c r="L371" s="5"/>
      <c r="O371" s="2"/>
    </row>
    <row r="372" spans="2:15" x14ac:dyDescent="0.2">
      <c r="B372" s="50">
        <v>1950</v>
      </c>
      <c r="C372" s="51">
        <v>0.17631362478531853</v>
      </c>
      <c r="D372" s="52">
        <v>32</v>
      </c>
      <c r="E372" s="53">
        <v>0.5539568345323741</v>
      </c>
      <c r="G372" s="2"/>
      <c r="L372" s="5"/>
      <c r="O372" s="2"/>
    </row>
    <row r="373" spans="2:15" x14ac:dyDescent="0.2">
      <c r="B373" s="50">
        <v>2015</v>
      </c>
      <c r="C373" s="51">
        <v>0.21997062961684011</v>
      </c>
      <c r="D373" s="52">
        <v>32</v>
      </c>
      <c r="E373" s="53">
        <v>0.5467625899280576</v>
      </c>
      <c r="G373" s="2"/>
      <c r="L373" s="5"/>
      <c r="O373" s="2"/>
    </row>
    <row r="374" spans="2:15" x14ac:dyDescent="0.2">
      <c r="B374" s="50">
        <v>2035</v>
      </c>
      <c r="C374" s="51">
        <v>0.23458064749170837</v>
      </c>
      <c r="D374" s="52">
        <v>32</v>
      </c>
      <c r="E374" s="53">
        <v>0.53956834532374098</v>
      </c>
      <c r="G374" s="2"/>
      <c r="L374" s="5"/>
      <c r="O374" s="2"/>
    </row>
    <row r="375" spans="2:15" x14ac:dyDescent="0.2">
      <c r="B375" s="50">
        <v>2016</v>
      </c>
      <c r="C375" s="51">
        <v>0.2492552680605965</v>
      </c>
      <c r="D375" s="52">
        <v>32</v>
      </c>
      <c r="E375" s="53">
        <v>0.56834532374100721</v>
      </c>
      <c r="G375" s="2"/>
      <c r="L375" s="5"/>
      <c r="O375" s="2"/>
    </row>
    <row r="376" spans="2:15" x14ac:dyDescent="0.2">
      <c r="B376" s="50">
        <v>2036</v>
      </c>
      <c r="C376" s="51">
        <v>0.25798139547375132</v>
      </c>
      <c r="D376" s="52">
        <v>32</v>
      </c>
      <c r="E376" s="53">
        <v>0.56834532374100721</v>
      </c>
      <c r="G376" s="2"/>
      <c r="L376" s="5"/>
      <c r="O376" s="2"/>
    </row>
    <row r="377" spans="2:15" x14ac:dyDescent="0.2">
      <c r="B377" s="50">
        <v>2055</v>
      </c>
      <c r="C377" s="51">
        <v>0.39901350655708379</v>
      </c>
      <c r="D377" s="52">
        <v>32</v>
      </c>
      <c r="E377" s="53">
        <v>0.48920863309352519</v>
      </c>
      <c r="G377" s="2"/>
      <c r="L377" s="5"/>
      <c r="O377" s="2"/>
    </row>
    <row r="378" spans="2:15" x14ac:dyDescent="0.2">
      <c r="B378" s="50">
        <v>1998</v>
      </c>
      <c r="C378" s="51">
        <v>0.158294490638895</v>
      </c>
      <c r="D378" s="52">
        <v>33</v>
      </c>
      <c r="E378" s="53">
        <v>0.79856115107913672</v>
      </c>
      <c r="G378" s="2"/>
      <c r="L378" s="5"/>
      <c r="O378" s="2"/>
    </row>
    <row r="379" spans="2:15" x14ac:dyDescent="0.2">
      <c r="B379" s="50">
        <v>1976</v>
      </c>
      <c r="C379" s="51">
        <v>0.1688766624321556</v>
      </c>
      <c r="D379" s="52">
        <v>33</v>
      </c>
      <c r="E379" s="53">
        <v>0.71942446043165464</v>
      </c>
      <c r="G379" s="2"/>
      <c r="L379" s="5"/>
      <c r="O379" s="2"/>
    </row>
    <row r="380" spans="2:15" x14ac:dyDescent="0.2">
      <c r="B380" s="50">
        <v>1953</v>
      </c>
      <c r="C380" s="51">
        <v>0.19341802939570418</v>
      </c>
      <c r="D380" s="52">
        <v>33</v>
      </c>
      <c r="E380" s="53">
        <v>0.61870503597122306</v>
      </c>
      <c r="G380" s="2"/>
      <c r="L380" s="5"/>
      <c r="O380" s="2"/>
    </row>
    <row r="381" spans="2:15" x14ac:dyDescent="0.2">
      <c r="B381" s="50">
        <v>2019</v>
      </c>
      <c r="C381" s="51">
        <v>0.25922077205757521</v>
      </c>
      <c r="D381" s="52">
        <v>33</v>
      </c>
      <c r="E381" s="53">
        <v>0.5539568345323741</v>
      </c>
      <c r="G381" s="2"/>
      <c r="L381" s="5"/>
      <c r="O381" s="2"/>
    </row>
    <row r="382" spans="2:15" x14ac:dyDescent="0.2">
      <c r="B382" s="50">
        <v>2039</v>
      </c>
      <c r="C382" s="51">
        <v>0.26371103135192397</v>
      </c>
      <c r="D382" s="52">
        <v>33</v>
      </c>
      <c r="E382" s="53">
        <v>0.5539568345323741</v>
      </c>
      <c r="G382" s="2"/>
      <c r="L382" s="5"/>
      <c r="O382" s="2"/>
    </row>
    <row r="383" spans="2:15" x14ac:dyDescent="0.2">
      <c r="B383" s="50">
        <v>1361</v>
      </c>
      <c r="C383" s="51">
        <v>8.9028880331722848E-2</v>
      </c>
      <c r="D383" s="52">
        <v>34</v>
      </c>
      <c r="E383" s="53">
        <v>0.83453237410071945</v>
      </c>
      <c r="G383" s="2"/>
      <c r="L383" s="5"/>
      <c r="O383" s="2"/>
    </row>
    <row r="384" spans="2:15" x14ac:dyDescent="0.2">
      <c r="B384" s="50">
        <v>1319</v>
      </c>
      <c r="C384" s="51">
        <v>9.9678112619354553E-2</v>
      </c>
      <c r="D384" s="52">
        <v>34</v>
      </c>
      <c r="E384" s="53">
        <v>0.83453237410071945</v>
      </c>
      <c r="G384" s="2"/>
      <c r="L384" s="5"/>
      <c r="O384" s="2"/>
    </row>
    <row r="385" spans="2:15" x14ac:dyDescent="0.2">
      <c r="B385" s="50">
        <v>1318</v>
      </c>
      <c r="C385" s="51">
        <v>0.10557168791619509</v>
      </c>
      <c r="D385" s="52">
        <v>34</v>
      </c>
      <c r="E385" s="53">
        <v>0.79856115107913672</v>
      </c>
      <c r="G385" s="2"/>
      <c r="L385" s="5"/>
      <c r="O385" s="2"/>
    </row>
    <row r="386" spans="2:15" x14ac:dyDescent="0.2">
      <c r="B386" s="50">
        <v>1402</v>
      </c>
      <c r="C386" s="51">
        <v>0.10939916422246976</v>
      </c>
      <c r="D386" s="52">
        <v>34</v>
      </c>
      <c r="E386" s="53">
        <v>0.79136690647482011</v>
      </c>
      <c r="G386" s="2"/>
      <c r="L386" s="5"/>
      <c r="O386" s="2"/>
    </row>
    <row r="387" spans="2:15" x14ac:dyDescent="0.2">
      <c r="B387" s="50">
        <v>945</v>
      </c>
      <c r="C387" s="51">
        <v>0.11351802994884697</v>
      </c>
      <c r="D387" s="52">
        <v>34</v>
      </c>
      <c r="E387" s="53">
        <v>0.76978417266187049</v>
      </c>
      <c r="G387" s="2"/>
      <c r="L387" s="5"/>
      <c r="O387" s="2"/>
    </row>
    <row r="388" spans="2:15" x14ac:dyDescent="0.2">
      <c r="B388" s="50">
        <v>1442</v>
      </c>
      <c r="C388" s="51">
        <v>0.11354824971948041</v>
      </c>
      <c r="D388" s="52">
        <v>34</v>
      </c>
      <c r="E388" s="53">
        <v>0.79136690647482011</v>
      </c>
      <c r="G388" s="2"/>
      <c r="L388" s="5"/>
      <c r="O388" s="2"/>
    </row>
    <row r="389" spans="2:15" x14ac:dyDescent="0.2">
      <c r="B389" s="50">
        <v>894</v>
      </c>
      <c r="C389" s="51">
        <v>0.11510511937194079</v>
      </c>
      <c r="D389" s="52">
        <v>34</v>
      </c>
      <c r="E389" s="53">
        <v>0.76978417266187049</v>
      </c>
      <c r="G389" s="2"/>
      <c r="L389" s="5"/>
      <c r="O389" s="2"/>
    </row>
    <row r="390" spans="2:15" x14ac:dyDescent="0.2">
      <c r="B390" s="50">
        <v>1275</v>
      </c>
      <c r="C390" s="51">
        <v>0.12739190412240498</v>
      </c>
      <c r="D390" s="52">
        <v>34</v>
      </c>
      <c r="E390" s="53">
        <v>0.78417266187050361</v>
      </c>
      <c r="G390" s="2"/>
      <c r="L390" s="5"/>
      <c r="O390" s="2"/>
    </row>
    <row r="391" spans="2:15" x14ac:dyDescent="0.2">
      <c r="B391" s="50">
        <v>1949</v>
      </c>
      <c r="C391" s="51">
        <v>0.1401948704634669</v>
      </c>
      <c r="D391" s="52">
        <v>34</v>
      </c>
      <c r="E391" s="53">
        <v>0.53237410071942448</v>
      </c>
      <c r="G391" s="2"/>
      <c r="L391" s="5"/>
      <c r="O391" s="2"/>
    </row>
    <row r="392" spans="2:15" x14ac:dyDescent="0.2">
      <c r="B392" s="50">
        <v>995</v>
      </c>
      <c r="C392" s="51">
        <v>0.17885039776768363</v>
      </c>
      <c r="D392" s="52">
        <v>34</v>
      </c>
      <c r="E392" s="53">
        <v>0.68345323741007191</v>
      </c>
      <c r="G392" s="2"/>
      <c r="L392" s="5"/>
      <c r="O392" s="2"/>
    </row>
    <row r="393" spans="2:15" x14ac:dyDescent="0.2">
      <c r="B393" s="50">
        <v>2054</v>
      </c>
      <c r="C393" s="51">
        <v>0.38384140793777011</v>
      </c>
      <c r="D393" s="52">
        <v>34</v>
      </c>
      <c r="E393" s="53">
        <v>0.38848920863309355</v>
      </c>
      <c r="G393" s="2"/>
      <c r="L393" s="5"/>
      <c r="O393" s="2"/>
    </row>
    <row r="394" spans="2:15" x14ac:dyDescent="0.2">
      <c r="B394" s="50">
        <v>265</v>
      </c>
      <c r="C394" s="51">
        <v>0.17856312275319164</v>
      </c>
      <c r="D394" s="52">
        <v>35</v>
      </c>
      <c r="E394" s="53">
        <v>0.70503597122302153</v>
      </c>
      <c r="G394" s="2"/>
      <c r="L394" s="5"/>
      <c r="O394" s="2"/>
    </row>
    <row r="395" spans="2:15" x14ac:dyDescent="0.2">
      <c r="B395" s="50">
        <v>327</v>
      </c>
      <c r="C395" s="51">
        <v>0.18018107726257004</v>
      </c>
      <c r="D395" s="52">
        <v>35</v>
      </c>
      <c r="E395" s="53">
        <v>0.70503597122302153</v>
      </c>
      <c r="G395" s="2"/>
      <c r="L395" s="5"/>
      <c r="O395" s="2"/>
    </row>
    <row r="396" spans="2:15" x14ac:dyDescent="0.2">
      <c r="B396" s="50">
        <v>2058</v>
      </c>
      <c r="C396" s="51">
        <v>0.39869637255347146</v>
      </c>
      <c r="D396" s="52">
        <v>35</v>
      </c>
      <c r="E396" s="53">
        <v>0.49640287769784175</v>
      </c>
      <c r="G396" s="2"/>
      <c r="L396" s="5"/>
      <c r="O396" s="2"/>
    </row>
    <row r="397" spans="2:15" x14ac:dyDescent="0.2">
      <c r="B397" s="50">
        <v>2172</v>
      </c>
      <c r="C397" s="51">
        <v>0.69866410911237353</v>
      </c>
      <c r="D397" s="52">
        <v>37</v>
      </c>
      <c r="E397" s="53">
        <v>0.29496402877697842</v>
      </c>
      <c r="G397" s="2"/>
      <c r="L397" s="5"/>
      <c r="O397" s="2"/>
    </row>
    <row r="398" spans="2:15" x14ac:dyDescent="0.2">
      <c r="B398" s="50">
        <v>623</v>
      </c>
      <c r="C398" s="51">
        <v>0.13517036602975652</v>
      </c>
      <c r="D398" s="52">
        <v>38</v>
      </c>
      <c r="E398" s="53">
        <v>0.76258992805755399</v>
      </c>
      <c r="G398" s="2"/>
      <c r="L398" s="5"/>
      <c r="O398" s="2"/>
    </row>
    <row r="399" spans="2:15" x14ac:dyDescent="0.2">
      <c r="B399" s="50">
        <v>679</v>
      </c>
      <c r="C399" s="51">
        <v>0.13703776296331438</v>
      </c>
      <c r="D399" s="52">
        <v>38</v>
      </c>
      <c r="E399" s="53">
        <v>0.76258992805755399</v>
      </c>
      <c r="G399" s="2"/>
      <c r="L399" s="5"/>
      <c r="O399" s="2"/>
    </row>
    <row r="400" spans="2:15" x14ac:dyDescent="0.2">
      <c r="B400" s="50">
        <v>734</v>
      </c>
      <c r="C400" s="51">
        <v>0.14825630903443954</v>
      </c>
      <c r="D400" s="52">
        <v>38</v>
      </c>
      <c r="E400" s="53">
        <v>0.68345323741007191</v>
      </c>
      <c r="G400" s="2"/>
      <c r="L400" s="5"/>
      <c r="O400" s="2"/>
    </row>
    <row r="401" spans="2:15" x14ac:dyDescent="0.2">
      <c r="B401" s="50">
        <v>788</v>
      </c>
      <c r="C401" s="51">
        <v>0.1519711364070242</v>
      </c>
      <c r="D401" s="52">
        <v>38</v>
      </c>
      <c r="E401" s="53">
        <v>0.68345323741007191</v>
      </c>
      <c r="G401" s="2"/>
      <c r="L401" s="5"/>
      <c r="O401" s="2"/>
    </row>
    <row r="402" spans="2:15" x14ac:dyDescent="0.2">
      <c r="B402" s="50">
        <v>943</v>
      </c>
      <c r="C402" s="51">
        <v>0.22610811092079741</v>
      </c>
      <c r="D402" s="52">
        <v>38</v>
      </c>
      <c r="E402" s="53">
        <v>0.76258992805755399</v>
      </c>
      <c r="G402" s="2"/>
      <c r="L402" s="5"/>
      <c r="O402" s="2"/>
    </row>
    <row r="403" spans="2:15" x14ac:dyDescent="0.2">
      <c r="B403" s="50">
        <v>892</v>
      </c>
      <c r="C403" s="51">
        <v>0.23124180456639687</v>
      </c>
      <c r="D403" s="52">
        <v>38</v>
      </c>
      <c r="E403" s="53">
        <v>0.76258992805755399</v>
      </c>
      <c r="G403" s="2"/>
      <c r="L403" s="5"/>
      <c r="O403" s="2"/>
    </row>
    <row r="404" spans="2:15" x14ac:dyDescent="0.2">
      <c r="B404" s="50">
        <v>841</v>
      </c>
      <c r="C404" s="51">
        <v>0.16483044283637849</v>
      </c>
      <c r="D404" s="52">
        <v>40</v>
      </c>
      <c r="E404" s="53">
        <v>0.68345323741007191</v>
      </c>
      <c r="G404" s="2"/>
      <c r="L404" s="5"/>
      <c r="O404" s="2"/>
    </row>
    <row r="405" spans="2:15" x14ac:dyDescent="0.2">
      <c r="B405" s="50">
        <v>24</v>
      </c>
      <c r="C405" s="51">
        <v>3.1367566802307389</v>
      </c>
      <c r="D405" s="52">
        <v>40</v>
      </c>
      <c r="E405" s="53">
        <v>0.70833333333333337</v>
      </c>
      <c r="G405" s="2"/>
      <c r="L405" s="5"/>
      <c r="O405" s="2"/>
    </row>
    <row r="406" spans="2:15" x14ac:dyDescent="0.2">
      <c r="B406" s="50">
        <v>1958</v>
      </c>
      <c r="C406" s="51">
        <v>0.12462378025908616</v>
      </c>
      <c r="D406" s="52">
        <v>41</v>
      </c>
      <c r="E406" s="53">
        <v>0.82014388489208634</v>
      </c>
      <c r="G406" s="2"/>
      <c r="L406" s="5"/>
      <c r="O406" s="2"/>
    </row>
    <row r="407" spans="2:15" x14ac:dyDescent="0.2">
      <c r="B407" s="50">
        <v>2001</v>
      </c>
      <c r="C407" s="51">
        <v>0.16769628934197467</v>
      </c>
      <c r="D407" s="52">
        <v>41</v>
      </c>
      <c r="E407" s="53">
        <v>0.82014388489208634</v>
      </c>
      <c r="G407" s="2"/>
      <c r="L407" s="5"/>
      <c r="O407" s="2"/>
    </row>
    <row r="408" spans="2:15" x14ac:dyDescent="0.2">
      <c r="B408" s="50">
        <v>23</v>
      </c>
      <c r="C408" s="51">
        <v>3.3073810037427367</v>
      </c>
      <c r="D408" s="52">
        <v>41</v>
      </c>
      <c r="E408" s="53">
        <v>0.66666666666666663</v>
      </c>
      <c r="G408" s="2"/>
      <c r="L408" s="5"/>
      <c r="O408" s="2"/>
    </row>
    <row r="409" spans="2:15" x14ac:dyDescent="0.2">
      <c r="B409" s="50">
        <v>21</v>
      </c>
      <c r="C409" s="51">
        <v>3.4400519748508818</v>
      </c>
      <c r="D409" s="52">
        <v>41</v>
      </c>
      <c r="E409" s="53">
        <v>0.58333333333333337</v>
      </c>
      <c r="G409" s="2"/>
      <c r="L409" s="5"/>
      <c r="O409" s="2"/>
    </row>
    <row r="410" spans="2:15" x14ac:dyDescent="0.2">
      <c r="B410" s="50">
        <v>1662</v>
      </c>
      <c r="C410" s="51">
        <v>5.9176577874768932E-2</v>
      </c>
      <c r="D410" s="52">
        <v>42</v>
      </c>
      <c r="E410" s="53">
        <v>0.84172661870503596</v>
      </c>
      <c r="G410" s="2"/>
      <c r="L410" s="5"/>
      <c r="O410" s="2"/>
    </row>
    <row r="411" spans="2:15" x14ac:dyDescent="0.2">
      <c r="B411" s="50">
        <v>1628</v>
      </c>
      <c r="C411" s="51">
        <v>6.1352210289233211E-2</v>
      </c>
      <c r="D411" s="52">
        <v>42</v>
      </c>
      <c r="E411" s="53">
        <v>0.84172661870503596</v>
      </c>
      <c r="G411" s="2"/>
      <c r="L411" s="5"/>
      <c r="O411" s="2"/>
    </row>
    <row r="412" spans="2:15" x14ac:dyDescent="0.2">
      <c r="B412" s="50">
        <v>1696</v>
      </c>
      <c r="C412" s="51">
        <v>6.3842833505838192E-2</v>
      </c>
      <c r="D412" s="52">
        <v>42</v>
      </c>
      <c r="E412" s="53">
        <v>0.84172661870503596</v>
      </c>
      <c r="G412" s="2"/>
      <c r="L412" s="5"/>
      <c r="O412" s="2"/>
    </row>
    <row r="413" spans="2:15" x14ac:dyDescent="0.2">
      <c r="B413" s="50">
        <v>1629</v>
      </c>
      <c r="C413" s="51">
        <v>6.4519743306020949E-2</v>
      </c>
      <c r="D413" s="52">
        <v>42</v>
      </c>
      <c r="E413" s="53">
        <v>0.84172661870503596</v>
      </c>
      <c r="G413" s="2"/>
      <c r="L413" s="5"/>
      <c r="O413" s="2"/>
    </row>
    <row r="414" spans="2:15" x14ac:dyDescent="0.2">
      <c r="B414" s="50">
        <v>1663</v>
      </c>
      <c r="C414" s="51">
        <v>7.0698548510185755E-2</v>
      </c>
      <c r="D414" s="52">
        <v>42</v>
      </c>
      <c r="E414" s="53">
        <v>0.84172661870503596</v>
      </c>
      <c r="G414" s="2"/>
      <c r="L414" s="5"/>
      <c r="O414" s="2"/>
    </row>
    <row r="415" spans="2:15" x14ac:dyDescent="0.2">
      <c r="B415" s="50">
        <v>1728</v>
      </c>
      <c r="C415" s="51">
        <v>8.1054321050319733E-2</v>
      </c>
      <c r="D415" s="52">
        <v>42</v>
      </c>
      <c r="E415" s="53">
        <v>0.83453237410071945</v>
      </c>
      <c r="G415" s="2"/>
      <c r="L415" s="5"/>
      <c r="O415" s="2"/>
    </row>
    <row r="416" spans="2:15" x14ac:dyDescent="0.2">
      <c r="B416" s="50">
        <v>1482</v>
      </c>
      <c r="C416" s="51">
        <v>9.2685888613964762E-2</v>
      </c>
      <c r="D416" s="52">
        <v>42</v>
      </c>
      <c r="E416" s="53">
        <v>0.84172661870503596</v>
      </c>
      <c r="G416" s="2"/>
      <c r="L416" s="5"/>
      <c r="O416" s="2"/>
    </row>
    <row r="417" spans="2:15" x14ac:dyDescent="0.2">
      <c r="B417" s="50">
        <v>1483</v>
      </c>
      <c r="C417" s="51">
        <v>0.10793581076216308</v>
      </c>
      <c r="D417" s="52">
        <v>42</v>
      </c>
      <c r="E417" s="53">
        <v>0.87050359712230219</v>
      </c>
      <c r="G417" s="2"/>
      <c r="L417" s="5"/>
      <c r="O417" s="2"/>
    </row>
    <row r="418" spans="2:15" x14ac:dyDescent="0.2">
      <c r="B418" s="50">
        <v>1443</v>
      </c>
      <c r="C418" s="51">
        <v>0.14398282542949348</v>
      </c>
      <c r="D418" s="52">
        <v>42</v>
      </c>
      <c r="E418" s="53">
        <v>0.76258992805755399</v>
      </c>
      <c r="G418" s="2"/>
      <c r="L418" s="5"/>
      <c r="O418" s="2"/>
    </row>
    <row r="419" spans="2:15" x14ac:dyDescent="0.2">
      <c r="B419" s="50">
        <v>1957</v>
      </c>
      <c r="C419" s="51">
        <v>0.16295760508179624</v>
      </c>
      <c r="D419" s="52">
        <v>42</v>
      </c>
      <c r="E419" s="53">
        <v>0.83453237410071945</v>
      </c>
      <c r="G419" s="2"/>
      <c r="L419" s="5"/>
      <c r="O419" s="2"/>
    </row>
    <row r="420" spans="2:15" x14ac:dyDescent="0.2">
      <c r="B420" s="50">
        <v>22</v>
      </c>
      <c r="C420" s="51">
        <v>3.3751311983953851</v>
      </c>
      <c r="D420" s="52">
        <v>42</v>
      </c>
      <c r="E420" s="53">
        <v>0.66666666666666663</v>
      </c>
      <c r="G420" s="2"/>
      <c r="L420" s="5"/>
      <c r="O420" s="2"/>
    </row>
    <row r="421" spans="2:15" x14ac:dyDescent="0.2">
      <c r="B421" s="50">
        <v>20</v>
      </c>
      <c r="C421" s="51">
        <v>3.5205411315965569</v>
      </c>
      <c r="D421" s="52">
        <v>42</v>
      </c>
      <c r="E421" s="53">
        <v>0.58333333333333337</v>
      </c>
      <c r="G421" s="2"/>
      <c r="L421" s="5"/>
      <c r="O421" s="2"/>
    </row>
    <row r="422" spans="2:15" x14ac:dyDescent="0.2">
      <c r="B422" s="50">
        <v>19</v>
      </c>
      <c r="C422" s="51">
        <v>3.5756740036350481</v>
      </c>
      <c r="D422" s="52">
        <v>42</v>
      </c>
      <c r="E422" s="53">
        <v>0.58333333333333337</v>
      </c>
      <c r="G422" s="2"/>
      <c r="L422" s="5"/>
      <c r="O422" s="2"/>
    </row>
    <row r="423" spans="2:15" x14ac:dyDescent="0.2">
      <c r="B423" s="50">
        <v>1915</v>
      </c>
      <c r="C423" s="51">
        <v>9.8668454988813492E-2</v>
      </c>
      <c r="D423" s="52">
        <v>43</v>
      </c>
      <c r="E423" s="53">
        <v>0.84172661870503596</v>
      </c>
      <c r="G423" s="2"/>
      <c r="L423" s="5"/>
      <c r="O423" s="2"/>
    </row>
    <row r="424" spans="2:15" x14ac:dyDescent="0.2">
      <c r="B424" s="50">
        <v>1719</v>
      </c>
      <c r="C424" s="51">
        <v>0.11947673217210397</v>
      </c>
      <c r="D424" s="52">
        <v>43</v>
      </c>
      <c r="E424" s="53">
        <v>0.75539568345323738</v>
      </c>
      <c r="G424" s="2"/>
      <c r="L424" s="5"/>
      <c r="O424" s="2"/>
    </row>
    <row r="425" spans="2:15" x14ac:dyDescent="0.2">
      <c r="B425" s="50">
        <v>1865</v>
      </c>
      <c r="C425" s="51">
        <v>0.12286322211672884</v>
      </c>
      <c r="D425" s="52">
        <v>43</v>
      </c>
      <c r="E425" s="53">
        <v>0.50359712230215825</v>
      </c>
      <c r="G425" s="2"/>
      <c r="L425" s="5"/>
      <c r="O425" s="2"/>
    </row>
    <row r="426" spans="2:15" x14ac:dyDescent="0.2">
      <c r="B426" s="50">
        <v>1838</v>
      </c>
      <c r="C426" s="51">
        <v>0.13341159418468973</v>
      </c>
      <c r="D426" s="52">
        <v>43</v>
      </c>
      <c r="E426" s="53">
        <v>0.65467625899280579</v>
      </c>
      <c r="G426" s="2"/>
      <c r="L426" s="5"/>
      <c r="O426" s="2"/>
    </row>
    <row r="427" spans="2:15" x14ac:dyDescent="0.2">
      <c r="B427" s="50">
        <v>1654</v>
      </c>
      <c r="C427" s="51">
        <v>0.15951590401959825</v>
      </c>
      <c r="D427" s="52">
        <v>43</v>
      </c>
      <c r="E427" s="53">
        <v>0.75539568345323738</v>
      </c>
      <c r="G427" s="2"/>
      <c r="L427" s="5"/>
      <c r="O427" s="2"/>
    </row>
    <row r="428" spans="2:15" x14ac:dyDescent="0.2">
      <c r="B428" s="50">
        <v>1687</v>
      </c>
      <c r="C428" s="51">
        <v>0.16569880328212672</v>
      </c>
      <c r="D428" s="52">
        <v>43</v>
      </c>
      <c r="E428" s="53">
        <v>0.75539568345323738</v>
      </c>
      <c r="G428" s="2"/>
      <c r="L428" s="5"/>
      <c r="O428" s="2"/>
    </row>
    <row r="429" spans="2:15" x14ac:dyDescent="0.2">
      <c r="B429" s="50">
        <v>1750</v>
      </c>
      <c r="C429" s="51">
        <v>0.16639156106711284</v>
      </c>
      <c r="D429" s="52">
        <v>43</v>
      </c>
      <c r="E429" s="53">
        <v>0.75539568345323738</v>
      </c>
      <c r="G429" s="2"/>
      <c r="L429" s="5"/>
      <c r="O429" s="2"/>
    </row>
    <row r="430" spans="2:15" x14ac:dyDescent="0.2">
      <c r="B430" s="50">
        <v>1809</v>
      </c>
      <c r="C430" s="51">
        <v>0.16718083761445446</v>
      </c>
      <c r="D430" s="52">
        <v>43</v>
      </c>
      <c r="E430" s="53">
        <v>0.64748201438848918</v>
      </c>
      <c r="G430" s="2"/>
      <c r="L430" s="5"/>
      <c r="O430" s="2"/>
    </row>
    <row r="431" spans="2:15" x14ac:dyDescent="0.2">
      <c r="B431" s="50">
        <v>1810</v>
      </c>
      <c r="C431" s="51">
        <v>0.17562663214481877</v>
      </c>
      <c r="D431" s="52">
        <v>43</v>
      </c>
      <c r="E431" s="53">
        <v>0.66187050359712229</v>
      </c>
      <c r="G431" s="2"/>
      <c r="L431" s="5"/>
      <c r="O431" s="2"/>
    </row>
    <row r="432" spans="2:15" x14ac:dyDescent="0.2">
      <c r="B432" s="50">
        <v>1780</v>
      </c>
      <c r="C432" s="51">
        <v>0.17575348401538238</v>
      </c>
      <c r="D432" s="52">
        <v>43</v>
      </c>
      <c r="E432" s="53">
        <v>0.65467625899280579</v>
      </c>
      <c r="G432" s="2"/>
      <c r="L432" s="5"/>
      <c r="O432" s="2"/>
    </row>
    <row r="433" spans="2:15" x14ac:dyDescent="0.2">
      <c r="B433" s="50">
        <v>1781</v>
      </c>
      <c r="C433" s="51">
        <v>0.17996775475967264</v>
      </c>
      <c r="D433" s="52">
        <v>43</v>
      </c>
      <c r="E433" s="53">
        <v>0.66187050359712229</v>
      </c>
      <c r="G433" s="2"/>
      <c r="L433" s="5"/>
      <c r="O433" s="2"/>
    </row>
    <row r="434" spans="2:15" x14ac:dyDescent="0.2">
      <c r="B434" s="50">
        <v>1751</v>
      </c>
      <c r="C434" s="51">
        <v>0.18941107010793912</v>
      </c>
      <c r="D434" s="52">
        <v>43</v>
      </c>
      <c r="E434" s="53">
        <v>0.6690647482014388</v>
      </c>
      <c r="G434" s="2"/>
      <c r="L434" s="5"/>
      <c r="O434" s="2"/>
    </row>
    <row r="435" spans="2:15" x14ac:dyDescent="0.2">
      <c r="B435" s="50">
        <v>1890</v>
      </c>
      <c r="C435" s="51">
        <v>0.2168825220995565</v>
      </c>
      <c r="D435" s="52">
        <v>43</v>
      </c>
      <c r="E435" s="53">
        <v>0.64748201438848918</v>
      </c>
      <c r="G435" s="2"/>
      <c r="L435" s="5"/>
      <c r="O435" s="2"/>
    </row>
    <row r="436" spans="2:15" x14ac:dyDescent="0.2">
      <c r="B436" s="50">
        <v>1956</v>
      </c>
      <c r="C436" s="51">
        <v>0.2307785620570747</v>
      </c>
      <c r="D436" s="52">
        <v>43</v>
      </c>
      <c r="E436" s="53">
        <v>0.61151079136690645</v>
      </c>
      <c r="G436" s="2"/>
      <c r="L436" s="5"/>
      <c r="O436" s="2"/>
    </row>
    <row r="437" spans="2:15" x14ac:dyDescent="0.2">
      <c r="B437" s="50">
        <v>1979</v>
      </c>
      <c r="C437" s="51">
        <v>0.24310278211169178</v>
      </c>
      <c r="D437" s="52">
        <v>43</v>
      </c>
      <c r="E437" s="53">
        <v>0.71223021582733814</v>
      </c>
      <c r="G437" s="2"/>
      <c r="L437" s="5"/>
      <c r="O437" s="2"/>
    </row>
    <row r="438" spans="2:15" x14ac:dyDescent="0.2">
      <c r="B438" s="50">
        <v>1593</v>
      </c>
      <c r="C438" s="51">
        <v>7.301721919207782E-2</v>
      </c>
      <c r="D438" s="52">
        <v>44</v>
      </c>
      <c r="E438" s="53">
        <v>0.84172661870503596</v>
      </c>
      <c r="G438" s="2"/>
      <c r="L438" s="5"/>
      <c r="O438" s="2"/>
    </row>
    <row r="439" spans="2:15" x14ac:dyDescent="0.2">
      <c r="B439" s="50">
        <v>1557</v>
      </c>
      <c r="C439" s="51">
        <v>8.4304352916277359E-2</v>
      </c>
      <c r="D439" s="52">
        <v>44</v>
      </c>
      <c r="E439" s="53">
        <v>0.83453237410071945</v>
      </c>
      <c r="G439" s="2"/>
      <c r="L439" s="5"/>
      <c r="O439" s="2"/>
    </row>
    <row r="440" spans="2:15" x14ac:dyDescent="0.2">
      <c r="B440" s="50">
        <v>1520</v>
      </c>
      <c r="C440" s="51">
        <v>8.4939259821085855E-2</v>
      </c>
      <c r="D440" s="52">
        <v>44</v>
      </c>
      <c r="E440" s="53">
        <v>0.84172661870503596</v>
      </c>
      <c r="G440" s="2"/>
      <c r="L440" s="5"/>
      <c r="O440" s="2"/>
    </row>
    <row r="441" spans="2:15" x14ac:dyDescent="0.2">
      <c r="B441" s="50">
        <v>1594</v>
      </c>
      <c r="C441" s="51">
        <v>8.5161538377339974E-2</v>
      </c>
      <c r="D441" s="52">
        <v>44</v>
      </c>
      <c r="E441" s="53">
        <v>0.84172661870503596</v>
      </c>
      <c r="G441" s="2"/>
      <c r="L441" s="5"/>
      <c r="O441" s="2"/>
    </row>
    <row r="442" spans="2:15" x14ac:dyDescent="0.2">
      <c r="B442" s="50">
        <v>1521</v>
      </c>
      <c r="C442" s="51">
        <v>9.8613943327267251E-2</v>
      </c>
      <c r="D442" s="52">
        <v>44</v>
      </c>
      <c r="E442" s="53">
        <v>0.84172661870503596</v>
      </c>
      <c r="G442" s="2"/>
      <c r="L442" s="5"/>
      <c r="O442" s="2"/>
    </row>
    <row r="443" spans="2:15" x14ac:dyDescent="0.2">
      <c r="B443" s="50">
        <v>1999</v>
      </c>
      <c r="C443" s="51">
        <v>0.15199471355410532</v>
      </c>
      <c r="D443" s="52">
        <v>44</v>
      </c>
      <c r="E443" s="53">
        <v>0.82014388489208634</v>
      </c>
      <c r="G443" s="2"/>
      <c r="L443" s="5"/>
      <c r="O443" s="2"/>
    </row>
    <row r="444" spans="2:15" x14ac:dyDescent="0.2">
      <c r="B444" s="50">
        <v>2040</v>
      </c>
      <c r="C444" s="51">
        <v>0.17735592966077274</v>
      </c>
      <c r="D444" s="52">
        <v>44</v>
      </c>
      <c r="E444" s="53">
        <v>0.79136690647482011</v>
      </c>
      <c r="G444" s="2"/>
      <c r="L444" s="5"/>
      <c r="O444" s="2"/>
    </row>
    <row r="445" spans="2:15" x14ac:dyDescent="0.2">
      <c r="B445" s="50">
        <v>2000</v>
      </c>
      <c r="C445" s="51">
        <v>0.19383365420079401</v>
      </c>
      <c r="D445" s="52">
        <v>44</v>
      </c>
      <c r="E445" s="53">
        <v>0.71942446043165464</v>
      </c>
      <c r="G445" s="2"/>
      <c r="L445" s="5"/>
      <c r="O445" s="2"/>
    </row>
    <row r="446" spans="2:15" x14ac:dyDescent="0.2">
      <c r="B446" s="50">
        <v>1977</v>
      </c>
      <c r="C446" s="51">
        <v>0.2133299332232963</v>
      </c>
      <c r="D446" s="52">
        <v>44</v>
      </c>
      <c r="E446" s="53">
        <v>0.71223021582733814</v>
      </c>
      <c r="G446" s="2"/>
      <c r="L446" s="5"/>
      <c r="O446" s="2"/>
    </row>
    <row r="447" spans="2:15" x14ac:dyDescent="0.2">
      <c r="B447" s="50">
        <v>1954</v>
      </c>
      <c r="C447" s="51">
        <v>0.24649071501324527</v>
      </c>
      <c r="D447" s="52">
        <v>44</v>
      </c>
      <c r="E447" s="53">
        <v>0.5539568345323741</v>
      </c>
      <c r="G447" s="2"/>
      <c r="L447" s="5"/>
      <c r="O447" s="2"/>
    </row>
    <row r="448" spans="2:15" x14ac:dyDescent="0.2">
      <c r="B448" s="50">
        <v>1978</v>
      </c>
      <c r="C448" s="51">
        <v>0.25336629854673953</v>
      </c>
      <c r="D448" s="52">
        <v>44</v>
      </c>
      <c r="E448" s="53">
        <v>0.71223021582733814</v>
      </c>
      <c r="G448" s="2"/>
      <c r="L448" s="5"/>
      <c r="O448" s="2"/>
    </row>
    <row r="449" spans="2:15" x14ac:dyDescent="0.2">
      <c r="B449" s="50">
        <v>2020</v>
      </c>
      <c r="C449" s="51">
        <v>0.27781450535309604</v>
      </c>
      <c r="D449" s="52">
        <v>44</v>
      </c>
      <c r="E449" s="53">
        <v>0.53956834532374098</v>
      </c>
      <c r="G449" s="2"/>
      <c r="L449" s="5"/>
      <c r="O449" s="2"/>
    </row>
    <row r="450" spans="2:15" x14ac:dyDescent="0.2">
      <c r="B450" s="50">
        <v>1955</v>
      </c>
      <c r="C450" s="51">
        <v>0.27868229161441593</v>
      </c>
      <c r="D450" s="52">
        <v>44</v>
      </c>
      <c r="E450" s="53">
        <v>0.5467625899280576</v>
      </c>
      <c r="G450" s="2"/>
      <c r="L450" s="5"/>
      <c r="O450" s="2"/>
    </row>
    <row r="451" spans="2:15" x14ac:dyDescent="0.2">
      <c r="B451" s="50">
        <v>1980</v>
      </c>
      <c r="C451" s="51">
        <v>0.32300037938290926</v>
      </c>
      <c r="D451" s="52">
        <v>44</v>
      </c>
      <c r="E451" s="53">
        <v>0.5611510791366906</v>
      </c>
      <c r="G451" s="2"/>
      <c r="L451" s="5"/>
      <c r="O451" s="2"/>
    </row>
    <row r="452" spans="2:15" x14ac:dyDescent="0.2">
      <c r="B452" s="50">
        <v>2021</v>
      </c>
      <c r="C452" s="51">
        <v>0.33998257321096881</v>
      </c>
      <c r="D452" s="52">
        <v>44</v>
      </c>
      <c r="E452" s="53">
        <v>0.5467625899280576</v>
      </c>
      <c r="G452" s="2"/>
      <c r="L452" s="5"/>
      <c r="O452" s="2"/>
    </row>
    <row r="453" spans="2:15" x14ac:dyDescent="0.2">
      <c r="B453" s="50">
        <v>2082</v>
      </c>
      <c r="C453" s="51">
        <v>0.40670220411164659</v>
      </c>
      <c r="D453" s="52">
        <v>46</v>
      </c>
      <c r="E453" s="53">
        <v>0.38848920863309355</v>
      </c>
      <c r="G453" s="2"/>
      <c r="L453" s="5"/>
      <c r="O453" s="2"/>
    </row>
    <row r="454" spans="2:15" x14ac:dyDescent="0.2">
      <c r="B454" s="50">
        <v>2065</v>
      </c>
      <c r="C454" s="51">
        <v>0.41539395816020597</v>
      </c>
      <c r="D454" s="52">
        <v>46</v>
      </c>
      <c r="E454" s="53">
        <v>0.37410071942446044</v>
      </c>
      <c r="G454" s="2"/>
      <c r="L454" s="5"/>
      <c r="O454" s="2"/>
    </row>
    <row r="455" spans="2:15" x14ac:dyDescent="0.2">
      <c r="B455" s="50">
        <v>1928</v>
      </c>
      <c r="C455" s="51">
        <v>0.10844628289810854</v>
      </c>
      <c r="D455" s="52">
        <v>47</v>
      </c>
      <c r="E455" s="53">
        <v>0.79856115107913672</v>
      </c>
      <c r="G455" s="2"/>
      <c r="L455" s="5"/>
      <c r="O455" s="2"/>
    </row>
    <row r="456" spans="2:15" x14ac:dyDescent="0.2">
      <c r="B456" s="50">
        <v>1927</v>
      </c>
      <c r="C456" s="51">
        <v>0.10933767901929647</v>
      </c>
      <c r="D456" s="52">
        <v>47</v>
      </c>
      <c r="E456" s="53">
        <v>0.79856115107913672</v>
      </c>
      <c r="G456" s="2"/>
      <c r="L456" s="5"/>
      <c r="O456" s="2"/>
    </row>
    <row r="457" spans="2:15" x14ac:dyDescent="0.2">
      <c r="B457" s="50">
        <v>1849</v>
      </c>
      <c r="C457" s="51">
        <v>0.16491218258849827</v>
      </c>
      <c r="D457" s="52">
        <v>47</v>
      </c>
      <c r="E457" s="53">
        <v>0.71942446043165464</v>
      </c>
      <c r="G457" s="2"/>
      <c r="L457" s="5"/>
      <c r="O457" s="2"/>
    </row>
    <row r="458" spans="2:15" x14ac:dyDescent="0.2">
      <c r="B458" s="50">
        <v>1876</v>
      </c>
      <c r="C458" s="51">
        <v>0.18636466874892177</v>
      </c>
      <c r="D458" s="52">
        <v>47</v>
      </c>
      <c r="E458" s="53">
        <v>0.64028776978417268</v>
      </c>
      <c r="G458" s="2"/>
      <c r="L458" s="5"/>
      <c r="O458" s="2"/>
    </row>
    <row r="459" spans="2:15" x14ac:dyDescent="0.2">
      <c r="B459" s="50">
        <v>1850</v>
      </c>
      <c r="C459" s="51">
        <v>0.18912635659976762</v>
      </c>
      <c r="D459" s="52">
        <v>47</v>
      </c>
      <c r="E459" s="53">
        <v>0.71223021582733814</v>
      </c>
      <c r="G459" s="2"/>
      <c r="L459" s="5"/>
      <c r="O459" s="2"/>
    </row>
    <row r="460" spans="2:15" x14ac:dyDescent="0.2">
      <c r="B460" s="50">
        <v>1877</v>
      </c>
      <c r="C460" s="51">
        <v>0.21265975993753095</v>
      </c>
      <c r="D460" s="52">
        <v>47</v>
      </c>
      <c r="E460" s="53">
        <v>0.5539568345323741</v>
      </c>
      <c r="G460" s="2"/>
      <c r="L460" s="5"/>
      <c r="O460" s="2"/>
    </row>
    <row r="461" spans="2:15" x14ac:dyDescent="0.2">
      <c r="B461" s="50">
        <v>1558</v>
      </c>
      <c r="C461" s="51">
        <v>9.7405595327933248E-2</v>
      </c>
      <c r="D461" s="52">
        <v>51</v>
      </c>
      <c r="E461" s="53">
        <v>0.83453237410071945</v>
      </c>
      <c r="G461" s="2"/>
      <c r="L461" s="5"/>
      <c r="O461" s="2"/>
    </row>
    <row r="462" spans="2:15" x14ac:dyDescent="0.2">
      <c r="B462" s="50">
        <v>1231</v>
      </c>
      <c r="C462" s="51">
        <v>0.10186413193954336</v>
      </c>
      <c r="D462" s="52">
        <v>52</v>
      </c>
      <c r="E462" s="53">
        <v>0.79856115107913672</v>
      </c>
      <c r="G462" s="2"/>
      <c r="L462" s="5"/>
      <c r="O462" s="2"/>
    </row>
    <row r="463" spans="2:15" x14ac:dyDescent="0.2">
      <c r="B463" s="50">
        <v>1232</v>
      </c>
      <c r="C463" s="51">
        <v>0.10305229856537157</v>
      </c>
      <c r="D463" s="52">
        <v>52</v>
      </c>
      <c r="E463" s="53">
        <v>0.79136690647482011</v>
      </c>
      <c r="G463" s="2"/>
      <c r="L463" s="5"/>
      <c r="O463" s="2"/>
    </row>
    <row r="464" spans="2:15" x14ac:dyDescent="0.2">
      <c r="B464" s="50">
        <v>1186</v>
      </c>
      <c r="C464" s="51">
        <v>0.11266504466444804</v>
      </c>
      <c r="D464" s="52">
        <v>52</v>
      </c>
      <c r="E464" s="53">
        <v>0.79136690647482011</v>
      </c>
      <c r="G464" s="2"/>
      <c r="L464" s="5"/>
      <c r="O464" s="2"/>
    </row>
    <row r="465" spans="2:15" x14ac:dyDescent="0.2">
      <c r="B465" s="50">
        <v>1276</v>
      </c>
      <c r="C465" s="51">
        <v>0.11355311787891942</v>
      </c>
      <c r="D465" s="52">
        <v>52</v>
      </c>
      <c r="E465" s="53">
        <v>0.79136690647482011</v>
      </c>
      <c r="G465" s="2"/>
      <c r="L465" s="5"/>
      <c r="O465" s="2"/>
    </row>
    <row r="466" spans="2:15" x14ac:dyDescent="0.2">
      <c r="B466" s="50">
        <v>735</v>
      </c>
      <c r="C466" s="51">
        <v>0.1136501474752748</v>
      </c>
      <c r="D466" s="52">
        <v>52</v>
      </c>
      <c r="E466" s="53">
        <v>0.76258992805755399</v>
      </c>
      <c r="G466" s="2"/>
      <c r="L466" s="5"/>
      <c r="O466" s="2"/>
    </row>
    <row r="467" spans="2:15" x14ac:dyDescent="0.2">
      <c r="B467" s="50">
        <v>789</v>
      </c>
      <c r="C467" s="51">
        <v>0.11477847956264486</v>
      </c>
      <c r="D467" s="52">
        <v>52</v>
      </c>
      <c r="E467" s="53">
        <v>0.76258992805755399</v>
      </c>
      <c r="G467" s="2"/>
      <c r="L467" s="5"/>
      <c r="O467" s="2"/>
    </row>
    <row r="468" spans="2:15" x14ac:dyDescent="0.2">
      <c r="B468" s="50">
        <v>842</v>
      </c>
      <c r="C468" s="51">
        <v>0.11838017347782026</v>
      </c>
      <c r="D468" s="52">
        <v>52</v>
      </c>
      <c r="E468" s="53">
        <v>0.68345323741007191</v>
      </c>
      <c r="G468" s="2"/>
      <c r="L468" s="5"/>
      <c r="O468" s="2"/>
    </row>
    <row r="469" spans="2:15" x14ac:dyDescent="0.2">
      <c r="B469" s="50">
        <v>1227</v>
      </c>
      <c r="C469" s="51">
        <v>0.22486224380053099</v>
      </c>
      <c r="D469" s="52">
        <v>52</v>
      </c>
      <c r="E469" s="53">
        <v>0.76978417266187049</v>
      </c>
      <c r="G469" s="2"/>
      <c r="L469" s="5"/>
      <c r="O469" s="2"/>
    </row>
    <row r="470" spans="2:15" x14ac:dyDescent="0.2">
      <c r="B470" s="50">
        <v>1182</v>
      </c>
      <c r="C470" s="51">
        <v>0.24955631870462835</v>
      </c>
      <c r="D470" s="52">
        <v>52</v>
      </c>
      <c r="E470" s="53">
        <v>0.76258992805755399</v>
      </c>
      <c r="G470" s="2"/>
      <c r="L470" s="5"/>
      <c r="O470" s="2"/>
    </row>
    <row r="471" spans="2:15" x14ac:dyDescent="0.2">
      <c r="B471" s="50">
        <v>76</v>
      </c>
      <c r="C471" s="51">
        <v>0.29687298385700711</v>
      </c>
      <c r="D471" s="52">
        <v>52</v>
      </c>
      <c r="E471" s="53">
        <v>0.57553956834532372</v>
      </c>
      <c r="G471" s="2"/>
      <c r="L471" s="5"/>
      <c r="O471" s="2"/>
    </row>
    <row r="472" spans="2:15" x14ac:dyDescent="0.2">
      <c r="B472" s="50">
        <v>2167</v>
      </c>
      <c r="C472" s="51">
        <v>0.29687298385700711</v>
      </c>
      <c r="D472" s="52">
        <v>52</v>
      </c>
      <c r="E472" s="53">
        <v>0.57553956834532372</v>
      </c>
      <c r="G472" s="2"/>
      <c r="L472" s="5"/>
      <c r="O472" s="2"/>
    </row>
    <row r="473" spans="2:15" x14ac:dyDescent="0.2">
      <c r="B473" s="50">
        <v>2112</v>
      </c>
      <c r="C473" s="51">
        <v>0.40097514471141527</v>
      </c>
      <c r="D473" s="52">
        <v>52</v>
      </c>
      <c r="E473" s="53">
        <v>0.39568345323741005</v>
      </c>
      <c r="G473" s="2"/>
      <c r="L473" s="5"/>
      <c r="O473" s="2"/>
    </row>
    <row r="474" spans="2:15" x14ac:dyDescent="0.2">
      <c r="B474" s="50">
        <v>1847</v>
      </c>
      <c r="C474" s="51">
        <v>8.7002923267776811E-2</v>
      </c>
      <c r="D474" s="52">
        <v>54</v>
      </c>
      <c r="E474" s="53">
        <v>0.69784172661870503</v>
      </c>
      <c r="G474" s="2"/>
      <c r="L474" s="5"/>
      <c r="O474" s="2"/>
    </row>
    <row r="475" spans="2:15" x14ac:dyDescent="0.2">
      <c r="B475" s="50">
        <v>1926</v>
      </c>
      <c r="C475" s="51">
        <v>9.44622881648155E-2</v>
      </c>
      <c r="D475" s="52">
        <v>54</v>
      </c>
      <c r="E475" s="53">
        <v>0.80575539568345322</v>
      </c>
      <c r="G475" s="2"/>
      <c r="L475" s="5"/>
      <c r="O475" s="2"/>
    </row>
    <row r="476" spans="2:15" x14ac:dyDescent="0.2">
      <c r="B476" s="50">
        <v>1874</v>
      </c>
      <c r="C476" s="51">
        <v>0.10729500174421036</v>
      </c>
      <c r="D476" s="52">
        <v>54</v>
      </c>
      <c r="E476" s="53">
        <v>0.61870503597122306</v>
      </c>
      <c r="G476" s="2"/>
      <c r="L476" s="5"/>
      <c r="O476" s="2"/>
    </row>
    <row r="477" spans="2:15" x14ac:dyDescent="0.2">
      <c r="B477" s="50">
        <v>624</v>
      </c>
      <c r="C477" s="51">
        <v>0.10986835382255378</v>
      </c>
      <c r="D477" s="52">
        <v>54</v>
      </c>
      <c r="E477" s="53">
        <v>0.73381294964028776</v>
      </c>
      <c r="G477" s="2"/>
      <c r="L477" s="5"/>
      <c r="O477" s="2"/>
    </row>
    <row r="478" spans="2:15" x14ac:dyDescent="0.2">
      <c r="B478" s="50">
        <v>680</v>
      </c>
      <c r="C478" s="51">
        <v>0.11006433468783827</v>
      </c>
      <c r="D478" s="52">
        <v>54</v>
      </c>
      <c r="E478" s="53">
        <v>0.73381294964028776</v>
      </c>
      <c r="G478" s="2"/>
      <c r="L478" s="5"/>
      <c r="O478" s="2"/>
    </row>
    <row r="479" spans="2:15" x14ac:dyDescent="0.2">
      <c r="B479" s="50">
        <v>1187</v>
      </c>
      <c r="C479" s="51">
        <v>0.11440064465397626</v>
      </c>
      <c r="D479" s="52">
        <v>54</v>
      </c>
      <c r="E479" s="53">
        <v>0.78417266187050361</v>
      </c>
      <c r="G479" s="2"/>
      <c r="L479" s="5"/>
      <c r="O479" s="2"/>
    </row>
    <row r="480" spans="2:15" x14ac:dyDescent="0.2">
      <c r="B480" s="50">
        <v>1925</v>
      </c>
      <c r="C480" s="51">
        <v>0.11833849340929892</v>
      </c>
      <c r="D480" s="52">
        <v>54</v>
      </c>
      <c r="E480" s="53">
        <v>0.78417266187050361</v>
      </c>
      <c r="G480" s="2"/>
      <c r="L480" s="5"/>
      <c r="O480" s="2"/>
    </row>
    <row r="481" spans="2:15" x14ac:dyDescent="0.2">
      <c r="B481" s="50">
        <v>996</v>
      </c>
      <c r="C481" s="51">
        <v>0.12377310769938954</v>
      </c>
      <c r="D481" s="52">
        <v>54</v>
      </c>
      <c r="E481" s="53">
        <v>0.60431654676258995</v>
      </c>
      <c r="G481" s="2"/>
      <c r="L481" s="5"/>
      <c r="O481" s="2"/>
    </row>
    <row r="482" spans="2:15" x14ac:dyDescent="0.2">
      <c r="B482" s="50">
        <v>1093</v>
      </c>
      <c r="C482" s="51">
        <v>0.12895758640921651</v>
      </c>
      <c r="D482" s="52">
        <v>54</v>
      </c>
      <c r="E482" s="53">
        <v>0.7769784172661871</v>
      </c>
      <c r="G482" s="2"/>
      <c r="L482" s="5"/>
      <c r="O482" s="2"/>
    </row>
    <row r="483" spans="2:15" x14ac:dyDescent="0.2">
      <c r="B483" s="50">
        <v>1140</v>
      </c>
      <c r="C483" s="51">
        <v>0.12948523043138438</v>
      </c>
      <c r="D483" s="52">
        <v>54</v>
      </c>
      <c r="E483" s="53">
        <v>0.7769784172661871</v>
      </c>
      <c r="G483" s="2"/>
      <c r="L483" s="5"/>
      <c r="O483" s="2"/>
    </row>
    <row r="484" spans="2:15" x14ac:dyDescent="0.2">
      <c r="B484" s="50">
        <v>1094</v>
      </c>
      <c r="C484" s="51">
        <v>0.13188197111958844</v>
      </c>
      <c r="D484" s="52">
        <v>54</v>
      </c>
      <c r="E484" s="53">
        <v>0.7769784172661871</v>
      </c>
      <c r="G484" s="2"/>
      <c r="L484" s="5"/>
      <c r="O484" s="2"/>
    </row>
    <row r="485" spans="2:15" x14ac:dyDescent="0.2">
      <c r="B485" s="50">
        <v>1141</v>
      </c>
      <c r="C485" s="51">
        <v>0.13198286326720865</v>
      </c>
      <c r="D485" s="52">
        <v>54</v>
      </c>
      <c r="E485" s="53">
        <v>0.7769784172661871</v>
      </c>
      <c r="G485" s="2"/>
      <c r="L485" s="5"/>
      <c r="O485" s="2"/>
    </row>
    <row r="486" spans="2:15" x14ac:dyDescent="0.2">
      <c r="B486" s="50">
        <v>1964</v>
      </c>
      <c r="C486" s="51">
        <v>0.13503592740936521</v>
      </c>
      <c r="D486" s="52">
        <v>54</v>
      </c>
      <c r="E486" s="53">
        <v>0.5611510791366906</v>
      </c>
      <c r="G486" s="2"/>
      <c r="L486" s="5"/>
      <c r="O486" s="2"/>
    </row>
    <row r="487" spans="2:15" x14ac:dyDescent="0.2">
      <c r="B487" s="50">
        <v>1901</v>
      </c>
      <c r="C487" s="51">
        <v>0.13753523009020874</v>
      </c>
      <c r="D487" s="52">
        <v>54</v>
      </c>
      <c r="E487" s="53">
        <v>0.72661870503597126</v>
      </c>
      <c r="G487" s="2"/>
      <c r="L487" s="5"/>
      <c r="O487" s="2"/>
    </row>
    <row r="488" spans="2:15" x14ac:dyDescent="0.2">
      <c r="B488" s="50">
        <v>1848</v>
      </c>
      <c r="C488" s="51">
        <v>0.15475567363506282</v>
      </c>
      <c r="D488" s="52">
        <v>54</v>
      </c>
      <c r="E488" s="53">
        <v>0.72661870503597126</v>
      </c>
      <c r="G488" s="2"/>
      <c r="L488" s="5"/>
      <c r="O488" s="2"/>
    </row>
    <row r="489" spans="2:15" x14ac:dyDescent="0.2">
      <c r="B489" s="50">
        <v>1875</v>
      </c>
      <c r="C489" s="51">
        <v>0.17500343701851284</v>
      </c>
      <c r="D489" s="52">
        <v>54</v>
      </c>
      <c r="E489" s="53">
        <v>0.62589928057553956</v>
      </c>
      <c r="G489" s="2"/>
      <c r="L489" s="5"/>
      <c r="O489" s="2"/>
    </row>
    <row r="490" spans="2:15" x14ac:dyDescent="0.2">
      <c r="B490" s="50">
        <v>77</v>
      </c>
      <c r="C490" s="51">
        <v>0.27044684348871328</v>
      </c>
      <c r="D490" s="52">
        <v>54</v>
      </c>
      <c r="E490" s="53">
        <v>0.56834532374100721</v>
      </c>
      <c r="G490" s="2"/>
      <c r="L490" s="5"/>
      <c r="O490" s="2"/>
    </row>
    <row r="491" spans="2:15" x14ac:dyDescent="0.2">
      <c r="B491" s="50">
        <v>2157</v>
      </c>
      <c r="C491" s="51">
        <v>0.27044684348871328</v>
      </c>
      <c r="D491" s="52">
        <v>54</v>
      </c>
      <c r="E491" s="53">
        <v>0.56834532374100721</v>
      </c>
      <c r="G491" s="2"/>
      <c r="L491" s="5"/>
      <c r="O491" s="2"/>
    </row>
    <row r="492" spans="2:15" x14ac:dyDescent="0.2">
      <c r="B492" s="50">
        <v>2097</v>
      </c>
      <c r="C492" s="51">
        <v>0.39813422055445358</v>
      </c>
      <c r="D492" s="52">
        <v>54</v>
      </c>
      <c r="E492" s="53">
        <v>0.39568345323741005</v>
      </c>
      <c r="G492" s="2"/>
      <c r="L492" s="5"/>
      <c r="O492" s="2"/>
    </row>
    <row r="493" spans="2:15" x14ac:dyDescent="0.2">
      <c r="B493" s="50">
        <v>2081</v>
      </c>
      <c r="C493" s="51">
        <v>0.40489911819936353</v>
      </c>
      <c r="D493" s="52">
        <v>54</v>
      </c>
      <c r="E493" s="53">
        <v>0.38848920863309355</v>
      </c>
      <c r="G493" s="2"/>
      <c r="L493" s="5"/>
      <c r="O493" s="2"/>
    </row>
    <row r="494" spans="2:15" x14ac:dyDescent="0.2">
      <c r="B494" s="50">
        <v>2064</v>
      </c>
      <c r="C494" s="51">
        <v>0.41327407892549239</v>
      </c>
      <c r="D494" s="52">
        <v>54</v>
      </c>
      <c r="E494" s="53">
        <v>0.38848920863309355</v>
      </c>
      <c r="G494" s="2"/>
      <c r="L494" s="5"/>
      <c r="O494" s="2"/>
    </row>
    <row r="495" spans="2:15" x14ac:dyDescent="0.2">
      <c r="B495" s="50">
        <v>1929</v>
      </c>
      <c r="C495" s="51">
        <v>0.11502295714719679</v>
      </c>
      <c r="D495" s="52">
        <v>55</v>
      </c>
      <c r="E495" s="53">
        <v>0.82014388489208634</v>
      </c>
      <c r="G495" s="2"/>
      <c r="L495" s="5"/>
      <c r="O495" s="2"/>
    </row>
    <row r="496" spans="2:15" x14ac:dyDescent="0.2">
      <c r="B496" s="50">
        <v>1851</v>
      </c>
      <c r="C496" s="51">
        <v>0.22570269836407608</v>
      </c>
      <c r="D496" s="52">
        <v>55</v>
      </c>
      <c r="E496" s="53">
        <v>0.64748201438848918</v>
      </c>
      <c r="G496" s="2"/>
      <c r="L496" s="5"/>
      <c r="O496" s="2"/>
    </row>
    <row r="497" spans="2:15" x14ac:dyDescent="0.2">
      <c r="B497" s="50">
        <v>1878</v>
      </c>
      <c r="C497" s="51">
        <v>0.25444812271010442</v>
      </c>
      <c r="D497" s="52">
        <v>55</v>
      </c>
      <c r="E497" s="53">
        <v>0.5539568345323741</v>
      </c>
      <c r="G497" s="2"/>
      <c r="L497" s="5"/>
      <c r="O497" s="2"/>
    </row>
    <row r="498" spans="2:15" x14ac:dyDescent="0.2">
      <c r="B498" s="50">
        <v>2113</v>
      </c>
      <c r="C498" s="51">
        <v>0.40233682986429797</v>
      </c>
      <c r="D498" s="52">
        <v>55</v>
      </c>
      <c r="E498" s="53">
        <v>0.38848920863309355</v>
      </c>
      <c r="G498" s="2"/>
      <c r="L498" s="5"/>
      <c r="O498" s="2"/>
    </row>
    <row r="499" spans="2:15" x14ac:dyDescent="0.2">
      <c r="B499" s="50">
        <v>2162</v>
      </c>
      <c r="C499" s="51">
        <v>0.56625522220513058</v>
      </c>
      <c r="D499" s="52">
        <v>55</v>
      </c>
      <c r="E499" s="53">
        <v>0.35971223021582732</v>
      </c>
      <c r="G499" s="2"/>
      <c r="L499" s="5"/>
      <c r="O499" s="2"/>
    </row>
    <row r="500" spans="2:15" x14ac:dyDescent="0.2">
      <c r="B500" s="50">
        <v>567</v>
      </c>
      <c r="C500" s="51">
        <v>0.1097033503696706</v>
      </c>
      <c r="D500" s="52">
        <v>56</v>
      </c>
      <c r="E500" s="53">
        <v>0.64028776978417268</v>
      </c>
      <c r="G500" s="2"/>
      <c r="L500" s="5"/>
      <c r="O500" s="2"/>
    </row>
    <row r="501" spans="2:15" x14ac:dyDescent="0.2">
      <c r="B501" s="50">
        <v>389</v>
      </c>
      <c r="C501" s="51">
        <v>0.12341230701517081</v>
      </c>
      <c r="D501" s="52">
        <v>56</v>
      </c>
      <c r="E501" s="53">
        <v>0.74100719424460426</v>
      </c>
      <c r="G501" s="2"/>
      <c r="L501" s="5"/>
      <c r="O501" s="2"/>
    </row>
    <row r="502" spans="2:15" x14ac:dyDescent="0.2">
      <c r="B502" s="50">
        <v>449</v>
      </c>
      <c r="C502" s="51">
        <v>0.12650860574974243</v>
      </c>
      <c r="D502" s="52">
        <v>56</v>
      </c>
      <c r="E502" s="53">
        <v>0.74100719424460426</v>
      </c>
      <c r="G502" s="2"/>
      <c r="L502" s="5"/>
      <c r="O502" s="2"/>
    </row>
    <row r="503" spans="2:15" x14ac:dyDescent="0.2">
      <c r="B503" s="50">
        <v>566</v>
      </c>
      <c r="C503" s="51">
        <v>0.13431619414646945</v>
      </c>
      <c r="D503" s="52">
        <v>56</v>
      </c>
      <c r="E503" s="53">
        <v>0.74100719424460426</v>
      </c>
      <c r="G503" s="2"/>
      <c r="L503" s="5"/>
      <c r="O503" s="2"/>
    </row>
    <row r="504" spans="2:15" x14ac:dyDescent="0.2">
      <c r="B504" s="50">
        <v>508</v>
      </c>
      <c r="C504" s="51">
        <v>0.14103545388957683</v>
      </c>
      <c r="D504" s="52">
        <v>56</v>
      </c>
      <c r="E504" s="53">
        <v>0.74100719424460426</v>
      </c>
      <c r="G504" s="2"/>
      <c r="L504" s="5"/>
      <c r="O504" s="2"/>
    </row>
    <row r="505" spans="2:15" x14ac:dyDescent="0.2">
      <c r="B505" s="50">
        <v>2151</v>
      </c>
      <c r="C505" s="51">
        <v>0.47166911975543835</v>
      </c>
      <c r="D505" s="52">
        <v>57</v>
      </c>
      <c r="E505" s="53">
        <v>0.37410071942446044</v>
      </c>
      <c r="G505" s="2"/>
      <c r="L505" s="5"/>
      <c r="O505" s="2"/>
    </row>
    <row r="506" spans="2:15" x14ac:dyDescent="0.2">
      <c r="B506" s="50">
        <v>450</v>
      </c>
      <c r="C506" s="51">
        <v>0.10732917705179601</v>
      </c>
      <c r="D506" s="52">
        <v>58</v>
      </c>
      <c r="E506" s="53">
        <v>0.61870503597122306</v>
      </c>
      <c r="G506" s="2"/>
      <c r="L506" s="5"/>
      <c r="O506" s="2"/>
    </row>
    <row r="507" spans="2:15" x14ac:dyDescent="0.2">
      <c r="B507" s="50">
        <v>509</v>
      </c>
      <c r="C507" s="51">
        <v>0.11172117868722953</v>
      </c>
      <c r="D507" s="52">
        <v>58</v>
      </c>
      <c r="E507" s="53">
        <v>0.71223021582733814</v>
      </c>
      <c r="G507" s="2"/>
      <c r="L507" s="5"/>
      <c r="O507" s="2"/>
    </row>
    <row r="508" spans="2:15" x14ac:dyDescent="0.2">
      <c r="B508" s="50">
        <v>133</v>
      </c>
      <c r="C508" s="51">
        <v>0.87380145455241898</v>
      </c>
      <c r="D508" s="52">
        <v>58</v>
      </c>
      <c r="E508" s="53">
        <v>0.23741007194244604</v>
      </c>
      <c r="G508" s="2"/>
      <c r="L508" s="5"/>
      <c r="O508" s="2"/>
    </row>
    <row r="509" spans="2:15" x14ac:dyDescent="0.2">
      <c r="B509" s="50">
        <v>1362</v>
      </c>
      <c r="C509" s="51">
        <v>0.1128442602883154</v>
      </c>
      <c r="D509" s="52">
        <v>60</v>
      </c>
      <c r="E509" s="53">
        <v>0.78417266187050361</v>
      </c>
      <c r="G509" s="2"/>
      <c r="L509" s="5"/>
      <c r="O509" s="2"/>
    </row>
    <row r="510" spans="2:15" x14ac:dyDescent="0.2">
      <c r="B510" s="50">
        <v>266</v>
      </c>
      <c r="C510" s="51">
        <v>0.11531972187805106</v>
      </c>
      <c r="D510" s="52">
        <v>60</v>
      </c>
      <c r="E510" s="53">
        <v>0.71223021582733814</v>
      </c>
      <c r="G510" s="2"/>
      <c r="L510" s="5"/>
      <c r="O510" s="2"/>
    </row>
    <row r="511" spans="2:15" x14ac:dyDescent="0.2">
      <c r="B511" s="50">
        <v>328</v>
      </c>
      <c r="C511" s="51">
        <v>0.11632249470914002</v>
      </c>
      <c r="D511" s="52">
        <v>60</v>
      </c>
      <c r="E511" s="53">
        <v>0.71223021582733814</v>
      </c>
      <c r="G511" s="2"/>
      <c r="L511" s="5"/>
      <c r="O511" s="2"/>
    </row>
    <row r="512" spans="2:15" x14ac:dyDescent="0.2">
      <c r="B512" s="50">
        <v>1320</v>
      </c>
      <c r="C512" s="51">
        <v>0.12528778982838318</v>
      </c>
      <c r="D512" s="52">
        <v>60</v>
      </c>
      <c r="E512" s="53">
        <v>0.82733812949640284</v>
      </c>
      <c r="G512" s="2"/>
      <c r="L512" s="5"/>
      <c r="O512" s="2"/>
    </row>
    <row r="513" spans="2:15" x14ac:dyDescent="0.2">
      <c r="B513" s="50">
        <v>1363</v>
      </c>
      <c r="C513" s="51">
        <v>0.12980717925492857</v>
      </c>
      <c r="D513" s="52">
        <v>60</v>
      </c>
      <c r="E513" s="53">
        <v>0.78417266187050361</v>
      </c>
      <c r="G513" s="2"/>
      <c r="L513" s="5"/>
      <c r="O513" s="2"/>
    </row>
    <row r="514" spans="2:15" x14ac:dyDescent="0.2">
      <c r="B514" s="50">
        <v>1045</v>
      </c>
      <c r="C514" s="51">
        <v>0.13256207167982492</v>
      </c>
      <c r="D514" s="52">
        <v>60</v>
      </c>
      <c r="E514" s="53">
        <v>0.69064748201438853</v>
      </c>
      <c r="G514" s="2"/>
      <c r="L514" s="5"/>
      <c r="O514" s="2"/>
    </row>
    <row r="515" spans="2:15" x14ac:dyDescent="0.2">
      <c r="B515" s="50">
        <v>1403</v>
      </c>
      <c r="C515" s="51">
        <v>0.13585962460654888</v>
      </c>
      <c r="D515" s="52">
        <v>60</v>
      </c>
      <c r="E515" s="53">
        <v>0.7769784172661871</v>
      </c>
      <c r="G515" s="2"/>
      <c r="L515" s="5"/>
      <c r="O515" s="2"/>
    </row>
    <row r="516" spans="2:15" x14ac:dyDescent="0.2">
      <c r="B516" s="50">
        <v>1277</v>
      </c>
      <c r="C516" s="51">
        <v>0.14140939156331178</v>
      </c>
      <c r="D516" s="52">
        <v>60</v>
      </c>
      <c r="E516" s="53">
        <v>0.7769784172661871</v>
      </c>
      <c r="G516" s="2"/>
      <c r="L516" s="5"/>
      <c r="O516" s="2"/>
    </row>
    <row r="517" spans="2:15" x14ac:dyDescent="0.2">
      <c r="B517" s="50">
        <v>1321</v>
      </c>
      <c r="C517" s="51">
        <v>0.14358957515694781</v>
      </c>
      <c r="D517" s="52">
        <v>60</v>
      </c>
      <c r="E517" s="53">
        <v>0.78417266187050361</v>
      </c>
      <c r="G517" s="2"/>
      <c r="L517" s="5"/>
      <c r="O517" s="2"/>
    </row>
    <row r="518" spans="2:15" x14ac:dyDescent="0.2">
      <c r="B518" s="50">
        <v>1404</v>
      </c>
      <c r="C518" s="51">
        <v>0.15562782786604423</v>
      </c>
      <c r="D518" s="52">
        <v>60</v>
      </c>
      <c r="E518" s="53">
        <v>0.74820143884892087</v>
      </c>
      <c r="G518" s="2"/>
      <c r="L518" s="5"/>
      <c r="O518" s="2"/>
    </row>
    <row r="519" spans="2:15" x14ac:dyDescent="0.2">
      <c r="B519" s="50">
        <v>1444</v>
      </c>
      <c r="C519" s="51">
        <v>0.16291669003222609</v>
      </c>
      <c r="D519" s="52">
        <v>60</v>
      </c>
      <c r="E519" s="53">
        <v>0.74820143884892087</v>
      </c>
      <c r="G519" s="2"/>
      <c r="L519" s="5"/>
      <c r="O519" s="2"/>
    </row>
    <row r="520" spans="2:15" x14ac:dyDescent="0.2">
      <c r="B520" s="50">
        <v>261</v>
      </c>
      <c r="C520" s="51">
        <v>0.73328742188324159</v>
      </c>
      <c r="D520" s="52">
        <v>60</v>
      </c>
      <c r="E520" s="53">
        <v>0.2446043165467626</v>
      </c>
      <c r="G520" s="2"/>
      <c r="L520" s="5"/>
      <c r="O520" s="2"/>
    </row>
    <row r="521" spans="2:15" x14ac:dyDescent="0.2">
      <c r="B521" s="50">
        <v>1620</v>
      </c>
      <c r="C521" s="51">
        <v>0.18915640798358346</v>
      </c>
      <c r="D521" s="52">
        <v>61</v>
      </c>
      <c r="E521" s="53">
        <v>0.75539568345323738</v>
      </c>
      <c r="G521" s="2"/>
      <c r="L521" s="5"/>
      <c r="O521" s="2"/>
    </row>
    <row r="522" spans="2:15" x14ac:dyDescent="0.2">
      <c r="B522" s="50">
        <v>1688</v>
      </c>
      <c r="C522" s="51">
        <v>0.21588818539452959</v>
      </c>
      <c r="D522" s="52">
        <v>61</v>
      </c>
      <c r="E522" s="53">
        <v>0.76978417266187049</v>
      </c>
      <c r="G522" s="2"/>
      <c r="L522" s="5"/>
      <c r="O522" s="2"/>
    </row>
    <row r="523" spans="2:15" x14ac:dyDescent="0.2">
      <c r="B523" s="50">
        <v>1655</v>
      </c>
      <c r="C523" s="51">
        <v>0.22849320452775268</v>
      </c>
      <c r="D523" s="52">
        <v>61</v>
      </c>
      <c r="E523" s="53">
        <v>0.76258992805755399</v>
      </c>
      <c r="G523" s="2"/>
      <c r="L523" s="5"/>
      <c r="O523" s="2"/>
    </row>
    <row r="524" spans="2:15" x14ac:dyDescent="0.2">
      <c r="B524" s="50">
        <v>1720</v>
      </c>
      <c r="C524" s="51">
        <v>0.23305649485276769</v>
      </c>
      <c r="D524" s="52">
        <v>61</v>
      </c>
      <c r="E524" s="53">
        <v>0.76258992805755399</v>
      </c>
      <c r="G524" s="2"/>
      <c r="L524" s="5"/>
      <c r="O524" s="2"/>
    </row>
    <row r="525" spans="2:15" x14ac:dyDescent="0.2">
      <c r="B525" s="50">
        <v>197</v>
      </c>
      <c r="C525" s="51">
        <v>0.78780767544540498</v>
      </c>
      <c r="D525" s="52">
        <v>61</v>
      </c>
      <c r="E525" s="53">
        <v>0.2446043165467626</v>
      </c>
      <c r="G525" s="2"/>
      <c r="L525" s="5"/>
      <c r="O525" s="2"/>
    </row>
    <row r="526" spans="2:15" x14ac:dyDescent="0.2">
      <c r="B526" s="50">
        <v>198</v>
      </c>
      <c r="C526" s="51">
        <v>0.78989261225479024</v>
      </c>
      <c r="D526" s="52">
        <v>61</v>
      </c>
      <c r="E526" s="53">
        <v>0.2446043165467626</v>
      </c>
      <c r="G526" s="2"/>
      <c r="L526" s="5"/>
      <c r="O526" s="2"/>
    </row>
    <row r="527" spans="2:15" x14ac:dyDescent="0.2">
      <c r="B527" s="50">
        <v>1233</v>
      </c>
      <c r="C527" s="51">
        <v>0.1271130530585084</v>
      </c>
      <c r="D527" s="52">
        <v>62</v>
      </c>
      <c r="E527" s="53">
        <v>0.78417266187050361</v>
      </c>
      <c r="G527" s="2"/>
      <c r="L527" s="5"/>
      <c r="O527" s="2"/>
    </row>
    <row r="528" spans="2:15" x14ac:dyDescent="0.2">
      <c r="B528" s="50">
        <v>1188</v>
      </c>
      <c r="C528" s="51">
        <v>0.1393083634748653</v>
      </c>
      <c r="D528" s="52">
        <v>62</v>
      </c>
      <c r="E528" s="53">
        <v>0.7769784172661871</v>
      </c>
      <c r="G528" s="2"/>
      <c r="L528" s="5"/>
      <c r="O528" s="2"/>
    </row>
    <row r="529" spans="2:15" x14ac:dyDescent="0.2">
      <c r="B529" s="50">
        <v>1234</v>
      </c>
      <c r="C529" s="51">
        <v>0.14259982706662844</v>
      </c>
      <c r="D529" s="52">
        <v>62</v>
      </c>
      <c r="E529" s="53">
        <v>0.78417266187050361</v>
      </c>
      <c r="G529" s="2"/>
      <c r="L529" s="5"/>
      <c r="O529" s="2"/>
    </row>
    <row r="530" spans="2:15" x14ac:dyDescent="0.2">
      <c r="B530" s="50">
        <v>1278</v>
      </c>
      <c r="C530" s="51">
        <v>0.16113087656748715</v>
      </c>
      <c r="D530" s="52">
        <v>62</v>
      </c>
      <c r="E530" s="53">
        <v>0.7769784172661871</v>
      </c>
      <c r="G530" s="2"/>
      <c r="L530" s="5"/>
      <c r="O530" s="2"/>
    </row>
    <row r="531" spans="2:15" x14ac:dyDescent="0.2">
      <c r="B531" s="50">
        <v>323</v>
      </c>
      <c r="C531" s="51">
        <v>0.72832720889291391</v>
      </c>
      <c r="D531" s="52">
        <v>62</v>
      </c>
      <c r="E531" s="53">
        <v>0.2446043165467626</v>
      </c>
      <c r="G531" s="2"/>
      <c r="L531" s="5"/>
      <c r="O531" s="2"/>
    </row>
    <row r="532" spans="2:15" x14ac:dyDescent="0.2">
      <c r="B532" s="50">
        <v>1965</v>
      </c>
      <c r="C532" s="51">
        <v>0.12730830116424008</v>
      </c>
      <c r="D532" s="52">
        <v>63</v>
      </c>
      <c r="E532" s="53">
        <v>0.5611510791366906</v>
      </c>
      <c r="G532" s="2"/>
      <c r="L532" s="5"/>
      <c r="O532" s="2"/>
    </row>
    <row r="533" spans="2:15" x14ac:dyDescent="0.2">
      <c r="B533" s="50">
        <v>1987</v>
      </c>
      <c r="C533" s="51">
        <v>0.14617371001225066</v>
      </c>
      <c r="D533" s="52">
        <v>63</v>
      </c>
      <c r="E533" s="53">
        <v>0.56834532374100721</v>
      </c>
      <c r="G533" s="2"/>
      <c r="L533" s="5"/>
      <c r="O533" s="2"/>
    </row>
    <row r="534" spans="2:15" x14ac:dyDescent="0.2">
      <c r="B534" s="50">
        <v>1891</v>
      </c>
      <c r="C534" s="51">
        <v>0.16189217936817435</v>
      </c>
      <c r="D534" s="52">
        <v>63</v>
      </c>
      <c r="E534" s="53">
        <v>0.66187050359712229</v>
      </c>
      <c r="G534" s="2"/>
      <c r="L534" s="5"/>
      <c r="O534" s="2"/>
    </row>
    <row r="535" spans="2:15" x14ac:dyDescent="0.2">
      <c r="B535" s="50">
        <v>1916</v>
      </c>
      <c r="C535" s="51">
        <v>0.20085193242531885</v>
      </c>
      <c r="D535" s="52">
        <v>63</v>
      </c>
      <c r="E535" s="53">
        <v>0.76978417266187049</v>
      </c>
      <c r="G535" s="2"/>
      <c r="L535" s="5"/>
      <c r="O535" s="2"/>
    </row>
    <row r="536" spans="2:15" x14ac:dyDescent="0.2">
      <c r="B536" s="50">
        <v>2008</v>
      </c>
      <c r="C536" s="51">
        <v>0.22561631936373228</v>
      </c>
      <c r="D536" s="52">
        <v>63</v>
      </c>
      <c r="E536" s="53">
        <v>0.5539568345323741</v>
      </c>
      <c r="G536" s="2"/>
      <c r="L536" s="5"/>
      <c r="O536" s="2"/>
    </row>
    <row r="537" spans="2:15" x14ac:dyDescent="0.2">
      <c r="B537" s="50">
        <v>1621</v>
      </c>
      <c r="C537" s="51">
        <v>0.22812090181003608</v>
      </c>
      <c r="D537" s="52">
        <v>63</v>
      </c>
      <c r="E537" s="53">
        <v>0.76258992805755399</v>
      </c>
      <c r="G537" s="2"/>
      <c r="L537" s="5"/>
      <c r="O537" s="2"/>
    </row>
    <row r="538" spans="2:15" x14ac:dyDescent="0.2">
      <c r="B538" s="50">
        <v>2028</v>
      </c>
      <c r="C538" s="51">
        <v>0.25563714071701926</v>
      </c>
      <c r="D538" s="52">
        <v>63</v>
      </c>
      <c r="E538" s="53">
        <v>0.5611510791366906</v>
      </c>
      <c r="G538" s="2"/>
      <c r="L538" s="5"/>
      <c r="O538" s="2"/>
    </row>
    <row r="539" spans="2:15" x14ac:dyDescent="0.2">
      <c r="B539" s="50">
        <v>2180</v>
      </c>
      <c r="C539" s="51">
        <v>0.51876530161179735</v>
      </c>
      <c r="D539" s="52">
        <v>64</v>
      </c>
      <c r="E539" s="53">
        <v>0.33812949640287771</v>
      </c>
      <c r="G539" s="2"/>
      <c r="L539" s="5"/>
      <c r="O539" s="2"/>
    </row>
    <row r="540" spans="2:15" x14ac:dyDescent="0.2">
      <c r="B540" s="50">
        <v>2188</v>
      </c>
      <c r="C540" s="51">
        <v>0.66671407272388317</v>
      </c>
      <c r="D540" s="52">
        <v>64</v>
      </c>
      <c r="E540" s="53">
        <v>0.2733812949640288</v>
      </c>
      <c r="G540" s="2"/>
      <c r="L540" s="5"/>
      <c r="O540" s="2"/>
    </row>
    <row r="541" spans="2:15" x14ac:dyDescent="0.2">
      <c r="B541" s="50">
        <v>1744</v>
      </c>
      <c r="C541" s="51">
        <v>0.15902044671564386</v>
      </c>
      <c r="D541" s="52">
        <v>68</v>
      </c>
      <c r="E541" s="53">
        <v>0.64028776978417268</v>
      </c>
      <c r="G541" s="2"/>
      <c r="L541" s="5"/>
      <c r="O541" s="2"/>
    </row>
    <row r="542" spans="2:15" x14ac:dyDescent="0.2">
      <c r="B542" s="50">
        <v>1745</v>
      </c>
      <c r="C542" s="51">
        <v>0.2274506844968095</v>
      </c>
      <c r="D542" s="52">
        <v>68</v>
      </c>
      <c r="E542" s="53">
        <v>0.73381294964028776</v>
      </c>
      <c r="G542" s="2"/>
      <c r="L542" s="5"/>
      <c r="O542" s="2"/>
    </row>
    <row r="543" spans="2:15" x14ac:dyDescent="0.2">
      <c r="B543" s="50">
        <v>1746</v>
      </c>
      <c r="C543" s="51">
        <v>0.28712302872588602</v>
      </c>
      <c r="D543" s="52">
        <v>68</v>
      </c>
      <c r="E543" s="53">
        <v>0.76978417266187049</v>
      </c>
      <c r="G543" s="2"/>
      <c r="L543" s="5"/>
      <c r="O543" s="2"/>
    </row>
    <row r="544" spans="2:15" x14ac:dyDescent="0.2">
      <c r="B544" s="50">
        <v>1776</v>
      </c>
      <c r="C544" s="51">
        <v>0.30530360288627212</v>
      </c>
      <c r="D544" s="52">
        <v>68</v>
      </c>
      <c r="E544" s="53">
        <v>0.76978417266187049</v>
      </c>
      <c r="G544" s="2"/>
      <c r="L544" s="5"/>
      <c r="O544" s="2"/>
    </row>
    <row r="545" spans="2:15" x14ac:dyDescent="0.2">
      <c r="B545" s="50">
        <v>1775</v>
      </c>
      <c r="C545" s="51">
        <v>0.35484009960291663</v>
      </c>
      <c r="D545" s="52">
        <v>68</v>
      </c>
      <c r="E545" s="53">
        <v>0.67625899280575541</v>
      </c>
      <c r="G545" s="2"/>
      <c r="L545" s="5"/>
      <c r="O545" s="2"/>
    </row>
    <row r="546" spans="2:15" x14ac:dyDescent="0.2">
      <c r="B546" s="50">
        <v>33</v>
      </c>
      <c r="C546" s="51">
        <v>1.15170576709606</v>
      </c>
      <c r="D546" s="52">
        <v>68</v>
      </c>
      <c r="E546" s="53">
        <v>0.56521739130434778</v>
      </c>
      <c r="G546" s="2"/>
      <c r="L546" s="5"/>
      <c r="O546" s="2"/>
    </row>
    <row r="547" spans="2:15" x14ac:dyDescent="0.2">
      <c r="B547" s="50">
        <v>32</v>
      </c>
      <c r="C547" s="51">
        <v>1.2206979654102097</v>
      </c>
      <c r="D547" s="52">
        <v>68</v>
      </c>
      <c r="E547" s="53">
        <v>0.60869565217391308</v>
      </c>
      <c r="G547" s="2"/>
      <c r="L547" s="5"/>
      <c r="O547" s="2"/>
    </row>
    <row r="548" spans="2:15" x14ac:dyDescent="0.2">
      <c r="B548" s="50">
        <v>31</v>
      </c>
      <c r="C548" s="51">
        <v>1.3121714542305944</v>
      </c>
      <c r="D548" s="52">
        <v>68</v>
      </c>
      <c r="E548" s="53">
        <v>0.60869565217391308</v>
      </c>
      <c r="G548" s="2"/>
      <c r="L548" s="5"/>
      <c r="O548" s="2"/>
    </row>
    <row r="549" spans="2:15" x14ac:dyDescent="0.2">
      <c r="B549" s="50">
        <v>30</v>
      </c>
      <c r="C549" s="51">
        <v>1.3311350911394464</v>
      </c>
      <c r="D549" s="52">
        <v>68</v>
      </c>
      <c r="E549" s="53">
        <v>0.58695652173913049</v>
      </c>
      <c r="G549" s="2"/>
      <c r="L549" s="5"/>
      <c r="O549" s="2"/>
    </row>
    <row r="550" spans="2:15" x14ac:dyDescent="0.2">
      <c r="B550" s="50">
        <v>29</v>
      </c>
      <c r="C550" s="51">
        <v>1.3752441545370158</v>
      </c>
      <c r="D550" s="52">
        <v>68</v>
      </c>
      <c r="E550" s="53">
        <v>0.60869565217391308</v>
      </c>
      <c r="G550" s="2"/>
      <c r="L550" s="5"/>
      <c r="O550" s="2"/>
    </row>
    <row r="551" spans="2:15" x14ac:dyDescent="0.2">
      <c r="B551" s="50">
        <v>1762</v>
      </c>
      <c r="C551" s="51">
        <v>9.428882851903253E-2</v>
      </c>
      <c r="D551" s="52">
        <v>69</v>
      </c>
      <c r="E551" s="53">
        <v>0.82733812949640284</v>
      </c>
      <c r="G551" s="2"/>
      <c r="L551" s="5"/>
      <c r="O551" s="2"/>
    </row>
    <row r="552" spans="2:15" x14ac:dyDescent="0.2">
      <c r="B552" s="50">
        <v>1699</v>
      </c>
      <c r="C552" s="51">
        <v>9.5087758820800894E-2</v>
      </c>
      <c r="D552" s="52">
        <v>69</v>
      </c>
      <c r="E552" s="53">
        <v>0.82733812949640284</v>
      </c>
      <c r="G552" s="2"/>
      <c r="L552" s="5"/>
      <c r="O552" s="2"/>
    </row>
    <row r="553" spans="2:15" x14ac:dyDescent="0.2">
      <c r="B553" s="50">
        <v>1821</v>
      </c>
      <c r="C553" s="51">
        <v>0.10283704749110179</v>
      </c>
      <c r="D553" s="52">
        <v>69</v>
      </c>
      <c r="E553" s="53">
        <v>0.82733812949640284</v>
      </c>
      <c r="G553" s="2"/>
      <c r="L553" s="5"/>
      <c r="O553" s="2"/>
    </row>
    <row r="554" spans="2:15" x14ac:dyDescent="0.2">
      <c r="B554" s="50">
        <v>1732</v>
      </c>
      <c r="C554" s="51">
        <v>0.10788197287912726</v>
      </c>
      <c r="D554" s="52">
        <v>69</v>
      </c>
      <c r="E554" s="53">
        <v>0.81294964028776984</v>
      </c>
      <c r="G554" s="2"/>
      <c r="L554" s="5"/>
      <c r="O554" s="2"/>
    </row>
    <row r="555" spans="2:15" x14ac:dyDescent="0.2">
      <c r="B555" s="50">
        <v>1792</v>
      </c>
      <c r="C555" s="51">
        <v>0.10871833311351742</v>
      </c>
      <c r="D555" s="52">
        <v>69</v>
      </c>
      <c r="E555" s="53">
        <v>0.82733812949640284</v>
      </c>
      <c r="G555" s="2"/>
      <c r="L555" s="5"/>
      <c r="O555" s="2"/>
    </row>
    <row r="556" spans="2:15" x14ac:dyDescent="0.2">
      <c r="B556" s="50">
        <v>1731</v>
      </c>
      <c r="C556" s="51">
        <v>0.11430084080216552</v>
      </c>
      <c r="D556" s="52">
        <v>69</v>
      </c>
      <c r="E556" s="53">
        <v>0.81294964028776984</v>
      </c>
      <c r="G556" s="2"/>
      <c r="L556" s="5"/>
      <c r="O556" s="2"/>
    </row>
    <row r="557" spans="2:15" x14ac:dyDescent="0.2">
      <c r="B557" s="50">
        <v>1763</v>
      </c>
      <c r="C557" s="51">
        <v>0.11610283714710101</v>
      </c>
      <c r="D557" s="52">
        <v>69</v>
      </c>
      <c r="E557" s="53">
        <v>0.82733812949640284</v>
      </c>
      <c r="G557" s="2"/>
      <c r="L557" s="5"/>
      <c r="O557" s="2"/>
    </row>
    <row r="558" spans="2:15" x14ac:dyDescent="0.2">
      <c r="B558" s="50">
        <v>1700</v>
      </c>
      <c r="C558" s="51">
        <v>0.12161347225991093</v>
      </c>
      <c r="D558" s="52">
        <v>69</v>
      </c>
      <c r="E558" s="53">
        <v>0.82733812949640284</v>
      </c>
      <c r="G558" s="2"/>
      <c r="L558" s="5"/>
      <c r="O558" s="2"/>
    </row>
    <row r="559" spans="2:15" x14ac:dyDescent="0.2">
      <c r="B559" s="50">
        <v>1822</v>
      </c>
      <c r="C559" s="51">
        <v>0.12195620638911142</v>
      </c>
      <c r="D559" s="52">
        <v>69</v>
      </c>
      <c r="E559" s="53">
        <v>0.82733812949640284</v>
      </c>
      <c r="G559" s="2"/>
      <c r="L559" s="5"/>
      <c r="O559" s="2"/>
    </row>
    <row r="560" spans="2:15" x14ac:dyDescent="0.2">
      <c r="B560" s="50">
        <v>1793</v>
      </c>
      <c r="C560" s="51">
        <v>0.13013059971824281</v>
      </c>
      <c r="D560" s="52">
        <v>69</v>
      </c>
      <c r="E560" s="53">
        <v>0.79856115107913672</v>
      </c>
      <c r="G560" s="2"/>
      <c r="L560" s="5"/>
      <c r="O560" s="2"/>
    </row>
    <row r="561" spans="2:15" x14ac:dyDescent="0.2">
      <c r="B561" s="50">
        <v>1902</v>
      </c>
      <c r="C561" s="51">
        <v>0.14656284829373745</v>
      </c>
      <c r="D561" s="52">
        <v>69</v>
      </c>
      <c r="E561" s="53">
        <v>0.71942446043165464</v>
      </c>
      <c r="G561" s="2"/>
      <c r="L561" s="5"/>
      <c r="O561" s="2"/>
    </row>
    <row r="562" spans="2:15" x14ac:dyDescent="0.2">
      <c r="B562" s="50">
        <v>1903</v>
      </c>
      <c r="C562" s="51">
        <v>0.17369434355249802</v>
      </c>
      <c r="D562" s="52">
        <v>69</v>
      </c>
      <c r="E562" s="53">
        <v>0.71942446043165464</v>
      </c>
      <c r="G562" s="2"/>
      <c r="L562" s="5"/>
      <c r="O562" s="2"/>
    </row>
    <row r="563" spans="2:15" x14ac:dyDescent="0.2">
      <c r="B563" s="50">
        <v>1712</v>
      </c>
      <c r="C563" s="51">
        <v>0.51847657301994265</v>
      </c>
      <c r="D563" s="52">
        <v>70</v>
      </c>
      <c r="E563" s="53">
        <v>0.46762589928057552</v>
      </c>
      <c r="G563" s="2"/>
      <c r="L563" s="5"/>
      <c r="O563" s="2"/>
    </row>
    <row r="564" spans="2:15" x14ac:dyDescent="0.2">
      <c r="B564" s="50">
        <v>1805</v>
      </c>
      <c r="C564" s="51">
        <v>0.51944096786973015</v>
      </c>
      <c r="D564" s="52">
        <v>70</v>
      </c>
      <c r="E564" s="53">
        <v>0.46762589928057552</v>
      </c>
      <c r="G564" s="2"/>
      <c r="L564" s="5"/>
      <c r="O564" s="2"/>
    </row>
    <row r="565" spans="2:15" x14ac:dyDescent="0.2">
      <c r="B565" s="50">
        <v>946</v>
      </c>
      <c r="C565" s="51">
        <v>9.8463672109973421E-2</v>
      </c>
      <c r="D565" s="52">
        <v>71</v>
      </c>
      <c r="E565" s="53">
        <v>0.69064748201438853</v>
      </c>
      <c r="G565" s="2"/>
      <c r="L565" s="5"/>
      <c r="O565" s="2"/>
    </row>
    <row r="566" spans="2:15" x14ac:dyDescent="0.2">
      <c r="B566" s="50">
        <v>895</v>
      </c>
      <c r="C566" s="51">
        <v>9.9843559440961238E-2</v>
      </c>
      <c r="D566" s="52">
        <v>71</v>
      </c>
      <c r="E566" s="53">
        <v>0.69064748201438853</v>
      </c>
      <c r="G566" s="2"/>
      <c r="L566" s="5"/>
      <c r="O566" s="2"/>
    </row>
    <row r="567" spans="2:15" x14ac:dyDescent="0.2">
      <c r="B567" s="50">
        <v>843</v>
      </c>
      <c r="C567" s="51">
        <v>0.10271306385660173</v>
      </c>
      <c r="D567" s="52">
        <v>71</v>
      </c>
      <c r="E567" s="53">
        <v>0.57553956834532372</v>
      </c>
      <c r="G567" s="2"/>
      <c r="L567" s="5"/>
      <c r="O567" s="2"/>
    </row>
    <row r="568" spans="2:15" x14ac:dyDescent="0.2">
      <c r="B568" s="50">
        <v>947</v>
      </c>
      <c r="C568" s="51">
        <v>0.10464121694911477</v>
      </c>
      <c r="D568" s="52">
        <v>71</v>
      </c>
      <c r="E568" s="53">
        <v>0.65467625899280579</v>
      </c>
      <c r="G568" s="2"/>
      <c r="L568" s="5"/>
      <c r="O568" s="2"/>
    </row>
    <row r="569" spans="2:15" x14ac:dyDescent="0.2">
      <c r="B569" s="50">
        <v>896</v>
      </c>
      <c r="C569" s="51">
        <v>0.1061710730544656</v>
      </c>
      <c r="D569" s="52">
        <v>71</v>
      </c>
      <c r="E569" s="53">
        <v>0.65467625899280579</v>
      </c>
      <c r="G569" s="2"/>
      <c r="L569" s="5"/>
      <c r="O569" s="2"/>
    </row>
    <row r="570" spans="2:15" x14ac:dyDescent="0.2">
      <c r="B570" s="50">
        <v>2126</v>
      </c>
      <c r="C570" s="51">
        <v>0.11255601122890646</v>
      </c>
      <c r="D570" s="52">
        <v>71</v>
      </c>
      <c r="E570" s="53">
        <v>0.62589928057553956</v>
      </c>
      <c r="G570" s="2"/>
      <c r="L570" s="5"/>
      <c r="O570" s="2"/>
    </row>
    <row r="571" spans="2:15" x14ac:dyDescent="0.2">
      <c r="B571" s="50">
        <v>997</v>
      </c>
      <c r="C571" s="51">
        <v>0.12849476595945331</v>
      </c>
      <c r="D571" s="52">
        <v>71</v>
      </c>
      <c r="E571" s="53">
        <v>0.76978417266187049</v>
      </c>
      <c r="G571" s="2"/>
      <c r="L571" s="5"/>
      <c r="O571" s="2"/>
    </row>
    <row r="572" spans="2:15" x14ac:dyDescent="0.2">
      <c r="B572" s="50">
        <v>1046</v>
      </c>
      <c r="C572" s="51">
        <v>0.13594202712237369</v>
      </c>
      <c r="D572" s="52">
        <v>71</v>
      </c>
      <c r="E572" s="53">
        <v>0.76978417266187049</v>
      </c>
      <c r="G572" s="2"/>
      <c r="L572" s="5"/>
      <c r="O572" s="2"/>
    </row>
    <row r="573" spans="2:15" x14ac:dyDescent="0.2">
      <c r="B573" s="50">
        <v>1986</v>
      </c>
      <c r="C573" s="51">
        <v>0.15334569495330042</v>
      </c>
      <c r="D573" s="52">
        <v>71</v>
      </c>
      <c r="E573" s="53">
        <v>0.56834532374100721</v>
      </c>
      <c r="G573" s="2"/>
      <c r="L573" s="5"/>
      <c r="O573" s="2"/>
    </row>
    <row r="574" spans="2:15" x14ac:dyDescent="0.2">
      <c r="B574" s="50">
        <v>2007</v>
      </c>
      <c r="C574" s="51">
        <v>0.23020065332382944</v>
      </c>
      <c r="D574" s="52">
        <v>71</v>
      </c>
      <c r="E574" s="53">
        <v>0.5539568345323741</v>
      </c>
      <c r="G574" s="2"/>
      <c r="L574" s="5"/>
      <c r="O574" s="2"/>
    </row>
    <row r="575" spans="2:15" x14ac:dyDescent="0.2">
      <c r="B575" s="50">
        <v>2027</v>
      </c>
      <c r="C575" s="51">
        <v>0.258571091228186</v>
      </c>
      <c r="D575" s="52">
        <v>71</v>
      </c>
      <c r="E575" s="53">
        <v>0.5539568345323741</v>
      </c>
      <c r="G575" s="2"/>
      <c r="L575" s="5"/>
      <c r="O575" s="2"/>
    </row>
    <row r="576" spans="2:15" x14ac:dyDescent="0.2">
      <c r="B576" s="50">
        <v>2046</v>
      </c>
      <c r="C576" s="51">
        <v>0.35388820126051423</v>
      </c>
      <c r="D576" s="52">
        <v>71</v>
      </c>
      <c r="E576" s="53">
        <v>0.40287769784172661</v>
      </c>
      <c r="G576" s="2"/>
      <c r="L576" s="5"/>
      <c r="O576" s="2"/>
    </row>
    <row r="577" spans="2:15" x14ac:dyDescent="0.2">
      <c r="B577" s="50">
        <v>1713</v>
      </c>
      <c r="C577" s="51">
        <v>0.58178951151906511</v>
      </c>
      <c r="D577" s="52">
        <v>71</v>
      </c>
      <c r="E577" s="53">
        <v>0.43884892086330934</v>
      </c>
      <c r="G577" s="2"/>
      <c r="L577" s="5"/>
      <c r="O577" s="2"/>
    </row>
    <row r="578" spans="2:15" x14ac:dyDescent="0.2">
      <c r="B578" s="50">
        <v>1714</v>
      </c>
      <c r="C578" s="51">
        <v>0.6131054607454719</v>
      </c>
      <c r="D578" s="52">
        <v>71</v>
      </c>
      <c r="E578" s="53">
        <v>0.43165467625899279</v>
      </c>
      <c r="G578" s="2"/>
      <c r="L578" s="5"/>
      <c r="O578" s="2"/>
    </row>
    <row r="579" spans="2:15" x14ac:dyDescent="0.2">
      <c r="B579" s="50">
        <v>1715</v>
      </c>
      <c r="C579" s="51">
        <v>0.89097123409831813</v>
      </c>
      <c r="D579" s="52">
        <v>71</v>
      </c>
      <c r="E579" s="53">
        <v>0.2805755395683453</v>
      </c>
      <c r="G579" s="2"/>
      <c r="L579" s="5"/>
      <c r="O579" s="2"/>
    </row>
    <row r="580" spans="2:15" x14ac:dyDescent="0.2">
      <c r="B580" s="50">
        <v>2098</v>
      </c>
      <c r="C580" s="51">
        <v>0.40080390108814379</v>
      </c>
      <c r="D580" s="52">
        <v>72</v>
      </c>
      <c r="E580" s="53">
        <v>0.38848920863309355</v>
      </c>
      <c r="G580" s="2"/>
      <c r="L580" s="5"/>
      <c r="O580" s="2"/>
    </row>
    <row r="581" spans="2:15" x14ac:dyDescent="0.2">
      <c r="B581" s="50">
        <v>2139</v>
      </c>
      <c r="C581" s="51">
        <v>0.53960506210823089</v>
      </c>
      <c r="D581" s="52">
        <v>74</v>
      </c>
      <c r="E581" s="53">
        <v>0.36690647482014388</v>
      </c>
      <c r="G581" s="2"/>
      <c r="L581" s="5"/>
      <c r="O581" s="2"/>
    </row>
    <row r="582" spans="2:15" x14ac:dyDescent="0.2">
      <c r="B582" s="50">
        <v>2173</v>
      </c>
      <c r="C582" s="51">
        <v>0.74620412750492582</v>
      </c>
      <c r="D582" s="52">
        <v>74</v>
      </c>
      <c r="E582" s="53">
        <v>0.23021582733812951</v>
      </c>
      <c r="G582" s="2"/>
      <c r="L582" s="5"/>
      <c r="O582" s="2"/>
    </row>
    <row r="583" spans="2:15" x14ac:dyDescent="0.2">
      <c r="B583" s="50">
        <v>390</v>
      </c>
      <c r="C583" s="51">
        <v>0.10530159111387938</v>
      </c>
      <c r="D583" s="52">
        <v>75</v>
      </c>
      <c r="E583" s="53">
        <v>0.61870503597122306</v>
      </c>
      <c r="G583" s="2"/>
      <c r="L583" s="5"/>
      <c r="O583" s="2"/>
    </row>
    <row r="584" spans="2:15" x14ac:dyDescent="0.2">
      <c r="B584" s="50">
        <v>1900</v>
      </c>
      <c r="C584" s="51">
        <v>7.3612271206272228E-2</v>
      </c>
      <c r="D584" s="52">
        <v>76</v>
      </c>
      <c r="E584" s="53">
        <v>0.69784172661870503</v>
      </c>
      <c r="G584" s="2"/>
      <c r="L584" s="5"/>
      <c r="O584" s="2"/>
    </row>
    <row r="585" spans="2:15" x14ac:dyDescent="0.2">
      <c r="B585" s="50">
        <v>1698</v>
      </c>
      <c r="C585" s="51">
        <v>8.5125279377499807E-2</v>
      </c>
      <c r="D585" s="52">
        <v>76</v>
      </c>
      <c r="E585" s="53">
        <v>0.83453237410071945</v>
      </c>
      <c r="G585" s="2"/>
      <c r="L585" s="5"/>
      <c r="O585" s="2"/>
    </row>
    <row r="586" spans="2:15" x14ac:dyDescent="0.2">
      <c r="B586" s="50">
        <v>1761</v>
      </c>
      <c r="C586" s="51">
        <v>8.6188611048685804E-2</v>
      </c>
      <c r="D586" s="52">
        <v>76</v>
      </c>
      <c r="E586" s="53">
        <v>0.83453237410071945</v>
      </c>
      <c r="G586" s="2"/>
      <c r="L586" s="5"/>
      <c r="O586" s="2"/>
    </row>
    <row r="587" spans="2:15" x14ac:dyDescent="0.2">
      <c r="B587" s="50">
        <v>1819</v>
      </c>
      <c r="C587" s="51">
        <v>9.1609914454592323E-2</v>
      </c>
      <c r="D587" s="52">
        <v>76</v>
      </c>
      <c r="E587" s="53">
        <v>0.80575539568345322</v>
      </c>
      <c r="G587" s="2"/>
      <c r="L587" s="5"/>
      <c r="O587" s="2"/>
    </row>
    <row r="588" spans="2:15" x14ac:dyDescent="0.2">
      <c r="B588" s="50">
        <v>1790</v>
      </c>
      <c r="C588" s="51">
        <v>9.3732931295676281E-2</v>
      </c>
      <c r="D588" s="52">
        <v>76</v>
      </c>
      <c r="E588" s="53">
        <v>0.7769784172661871</v>
      </c>
      <c r="G588" s="2"/>
      <c r="L588" s="5"/>
      <c r="O588" s="2"/>
    </row>
    <row r="589" spans="2:15" x14ac:dyDescent="0.2">
      <c r="B589" s="50">
        <v>1820</v>
      </c>
      <c r="C589" s="51">
        <v>9.4714307460148639E-2</v>
      </c>
      <c r="D589" s="52">
        <v>76</v>
      </c>
      <c r="E589" s="53">
        <v>0.83453237410071945</v>
      </c>
      <c r="G589" s="2"/>
      <c r="L589" s="5"/>
      <c r="O589" s="2"/>
    </row>
    <row r="590" spans="2:15" x14ac:dyDescent="0.2">
      <c r="B590" s="50">
        <v>1791</v>
      </c>
      <c r="C590" s="51">
        <v>0.10025195972944223</v>
      </c>
      <c r="D590" s="52">
        <v>76</v>
      </c>
      <c r="E590" s="53">
        <v>0.83453237410071945</v>
      </c>
      <c r="G590" s="2"/>
      <c r="L590" s="5"/>
      <c r="O590" s="2"/>
    </row>
    <row r="591" spans="2:15" x14ac:dyDescent="0.2">
      <c r="B591" s="50">
        <v>1730</v>
      </c>
      <c r="C591" s="51">
        <v>0.10105382401227192</v>
      </c>
      <c r="D591" s="52">
        <v>76</v>
      </c>
      <c r="E591" s="53">
        <v>0.82014388489208634</v>
      </c>
      <c r="G591" s="2"/>
      <c r="L591" s="5"/>
      <c r="O591" s="2"/>
    </row>
    <row r="592" spans="2:15" x14ac:dyDescent="0.2">
      <c r="B592" s="50">
        <v>1760</v>
      </c>
      <c r="C592" s="51">
        <v>0.10196663355494373</v>
      </c>
      <c r="D592" s="52">
        <v>76</v>
      </c>
      <c r="E592" s="53">
        <v>0.79856115107913672</v>
      </c>
      <c r="G592" s="2"/>
      <c r="L592" s="5"/>
      <c r="O592" s="2"/>
    </row>
    <row r="593" spans="2:15" x14ac:dyDescent="0.2">
      <c r="B593" s="50">
        <v>1697</v>
      </c>
      <c r="C593" s="51">
        <v>0.12240126695280462</v>
      </c>
      <c r="D593" s="52">
        <v>76</v>
      </c>
      <c r="E593" s="53">
        <v>0.79136690647482011</v>
      </c>
      <c r="G593" s="2"/>
      <c r="L593" s="5"/>
      <c r="O593" s="2"/>
    </row>
    <row r="594" spans="2:15" x14ac:dyDescent="0.2">
      <c r="B594" s="50">
        <v>1729</v>
      </c>
      <c r="C594" s="51">
        <v>0.14089696417068864</v>
      </c>
      <c r="D594" s="52">
        <v>76</v>
      </c>
      <c r="E594" s="53">
        <v>0.79136690647482011</v>
      </c>
      <c r="G594" s="2"/>
      <c r="L594" s="5"/>
      <c r="O594" s="2"/>
    </row>
    <row r="595" spans="2:15" x14ac:dyDescent="0.2">
      <c r="B595" s="50">
        <v>267</v>
      </c>
      <c r="C595" s="51">
        <v>9.7507626768205236E-2</v>
      </c>
      <c r="D595" s="52">
        <v>77</v>
      </c>
      <c r="E595" s="53">
        <v>0.61151079136690645</v>
      </c>
      <c r="G595" s="2"/>
      <c r="L595" s="5"/>
      <c r="O595" s="2"/>
    </row>
    <row r="596" spans="2:15" x14ac:dyDescent="0.2">
      <c r="B596" s="50">
        <v>329</v>
      </c>
      <c r="C596" s="51">
        <v>9.846410622203039E-2</v>
      </c>
      <c r="D596" s="52">
        <v>77</v>
      </c>
      <c r="E596" s="53">
        <v>0.61870503597122306</v>
      </c>
      <c r="G596" s="2"/>
      <c r="L596" s="5"/>
      <c r="O596" s="2"/>
    </row>
    <row r="597" spans="2:15" x14ac:dyDescent="0.2">
      <c r="B597" s="50">
        <v>1733</v>
      </c>
      <c r="C597" s="51">
        <v>0.1068754406210779</v>
      </c>
      <c r="D597" s="52">
        <v>77</v>
      </c>
      <c r="E597" s="53">
        <v>0.82014388489208634</v>
      </c>
      <c r="G597" s="2"/>
      <c r="L597" s="5"/>
      <c r="O597" s="2"/>
    </row>
    <row r="598" spans="2:15" x14ac:dyDescent="0.2">
      <c r="B598" s="50">
        <v>1764</v>
      </c>
      <c r="C598" s="51">
        <v>0.14358815764047639</v>
      </c>
      <c r="D598" s="52">
        <v>77</v>
      </c>
      <c r="E598" s="53">
        <v>0.79856115107913672</v>
      </c>
      <c r="G598" s="2"/>
      <c r="L598" s="5"/>
      <c r="O598" s="2"/>
    </row>
    <row r="599" spans="2:15" x14ac:dyDescent="0.2">
      <c r="B599" s="50">
        <v>1823</v>
      </c>
      <c r="C599" s="51">
        <v>0.14550803728586426</v>
      </c>
      <c r="D599" s="52">
        <v>77</v>
      </c>
      <c r="E599" s="53">
        <v>0.72661870503597126</v>
      </c>
      <c r="G599" s="2"/>
      <c r="L599" s="5"/>
      <c r="O599" s="2"/>
    </row>
    <row r="600" spans="2:15" x14ac:dyDescent="0.2">
      <c r="B600" s="50">
        <v>1701</v>
      </c>
      <c r="C600" s="51">
        <v>0.15393504527940538</v>
      </c>
      <c r="D600" s="52">
        <v>77</v>
      </c>
      <c r="E600" s="53">
        <v>0.79856115107913672</v>
      </c>
      <c r="G600" s="2"/>
      <c r="L600" s="5"/>
      <c r="O600" s="2"/>
    </row>
    <row r="601" spans="2:15" x14ac:dyDescent="0.2">
      <c r="B601" s="50">
        <v>1794</v>
      </c>
      <c r="C601" s="51">
        <v>0.15733687521370288</v>
      </c>
      <c r="D601" s="52">
        <v>77</v>
      </c>
      <c r="E601" s="53">
        <v>0.71942446043165464</v>
      </c>
      <c r="G601" s="2"/>
      <c r="L601" s="5"/>
      <c r="O601" s="2"/>
    </row>
    <row r="602" spans="2:15" x14ac:dyDescent="0.2">
      <c r="B602" s="50">
        <v>1904</v>
      </c>
      <c r="C602" s="51">
        <v>0.22094292031787077</v>
      </c>
      <c r="D602" s="52">
        <v>77</v>
      </c>
      <c r="E602" s="53">
        <v>0.71223021582733814</v>
      </c>
      <c r="G602" s="2"/>
      <c r="L602" s="5"/>
      <c r="O602" s="2"/>
    </row>
    <row r="603" spans="2:15" x14ac:dyDescent="0.2">
      <c r="B603" s="50">
        <v>444</v>
      </c>
      <c r="C603" s="51">
        <v>0.67900570243386704</v>
      </c>
      <c r="D603" s="52">
        <v>78</v>
      </c>
      <c r="E603" s="53">
        <v>0.30935251798561153</v>
      </c>
      <c r="G603" s="2"/>
      <c r="L603" s="5"/>
      <c r="O603" s="2"/>
    </row>
    <row r="604" spans="2:15" x14ac:dyDescent="0.2">
      <c r="B604" s="50">
        <v>384</v>
      </c>
      <c r="C604" s="51">
        <v>0.68716726759164659</v>
      </c>
      <c r="D604" s="52">
        <v>78</v>
      </c>
      <c r="E604" s="53">
        <v>0.25899280575539568</v>
      </c>
      <c r="G604" s="2"/>
      <c r="L604" s="5"/>
      <c r="O604" s="2"/>
    </row>
    <row r="605" spans="2:15" x14ac:dyDescent="0.2">
      <c r="B605" s="50">
        <v>1189</v>
      </c>
      <c r="C605" s="51">
        <v>0.15521343971601942</v>
      </c>
      <c r="D605" s="52">
        <v>79</v>
      </c>
      <c r="E605" s="53">
        <v>0.7769784172661871</v>
      </c>
      <c r="G605" s="2"/>
      <c r="L605" s="5"/>
      <c r="O605" s="2"/>
    </row>
    <row r="606" spans="2:15" x14ac:dyDescent="0.2">
      <c r="B606" s="50">
        <v>998</v>
      </c>
      <c r="C606" s="51">
        <v>0.15614946956788434</v>
      </c>
      <c r="D606" s="52">
        <v>79</v>
      </c>
      <c r="E606" s="53">
        <v>0.76258992805755399</v>
      </c>
      <c r="G606" s="2"/>
      <c r="L606" s="5"/>
      <c r="O606" s="2"/>
    </row>
    <row r="607" spans="2:15" x14ac:dyDescent="0.2">
      <c r="B607" s="50">
        <v>1142</v>
      </c>
      <c r="C607" s="51">
        <v>0.15879545685740004</v>
      </c>
      <c r="D607" s="52">
        <v>79</v>
      </c>
      <c r="E607" s="53">
        <v>0.76978417266187049</v>
      </c>
      <c r="G607" s="2"/>
      <c r="L607" s="5"/>
      <c r="O607" s="2"/>
    </row>
    <row r="608" spans="2:15" x14ac:dyDescent="0.2">
      <c r="B608" s="50">
        <v>1095</v>
      </c>
      <c r="C608" s="51">
        <v>0.15880191474784255</v>
      </c>
      <c r="D608" s="52">
        <v>79</v>
      </c>
      <c r="E608" s="53">
        <v>0.76978417266187049</v>
      </c>
      <c r="G608" s="2"/>
      <c r="L608" s="5"/>
      <c r="O608" s="2"/>
    </row>
    <row r="609" spans="2:15" x14ac:dyDescent="0.2">
      <c r="B609" s="50">
        <v>1047</v>
      </c>
      <c r="C609" s="51">
        <v>0.16409294563337751</v>
      </c>
      <c r="D609" s="52">
        <v>79</v>
      </c>
      <c r="E609" s="53">
        <v>0.76258992805755399</v>
      </c>
      <c r="G609" s="2"/>
      <c r="L609" s="5"/>
      <c r="O609" s="2"/>
    </row>
    <row r="610" spans="2:15" x14ac:dyDescent="0.2">
      <c r="B610" s="50">
        <v>1143</v>
      </c>
      <c r="C610" s="51">
        <v>0.17578386804853152</v>
      </c>
      <c r="D610" s="52">
        <v>79</v>
      </c>
      <c r="E610" s="53">
        <v>0.76978417266187049</v>
      </c>
      <c r="G610" s="2"/>
      <c r="L610" s="5"/>
      <c r="O610" s="2"/>
    </row>
    <row r="611" spans="2:15" x14ac:dyDescent="0.2">
      <c r="B611" s="50">
        <v>1096</v>
      </c>
      <c r="C611" s="51">
        <v>0.17581017842308999</v>
      </c>
      <c r="D611" s="52">
        <v>79</v>
      </c>
      <c r="E611" s="53">
        <v>0.76978417266187049</v>
      </c>
      <c r="G611" s="2"/>
      <c r="L611" s="5"/>
      <c r="O611" s="2"/>
    </row>
    <row r="612" spans="2:15" x14ac:dyDescent="0.2">
      <c r="B612" s="50">
        <v>78</v>
      </c>
      <c r="C612" s="51">
        <v>0.23458837738156746</v>
      </c>
      <c r="D612" s="52">
        <v>79</v>
      </c>
      <c r="E612" s="53">
        <v>0.57553956834532372</v>
      </c>
      <c r="G612" s="2"/>
      <c r="L612" s="5"/>
      <c r="O612" s="2"/>
    </row>
    <row r="613" spans="2:15" x14ac:dyDescent="0.2">
      <c r="B613" s="50">
        <v>2146</v>
      </c>
      <c r="C613" s="51">
        <v>0.23458837738156746</v>
      </c>
      <c r="D613" s="52">
        <v>79</v>
      </c>
      <c r="E613" s="53">
        <v>0.57553956834532372</v>
      </c>
      <c r="G613" s="2"/>
      <c r="L613" s="5"/>
      <c r="O613" s="2"/>
    </row>
    <row r="614" spans="2:15" x14ac:dyDescent="0.2">
      <c r="B614" s="50">
        <v>1474</v>
      </c>
      <c r="C614" s="51">
        <v>0.15159719029949448</v>
      </c>
      <c r="D614" s="52">
        <v>80</v>
      </c>
      <c r="E614" s="53">
        <v>0.78417266187050361</v>
      </c>
      <c r="G614" s="2"/>
      <c r="L614" s="5"/>
      <c r="O614" s="2"/>
    </row>
    <row r="615" spans="2:15" x14ac:dyDescent="0.2">
      <c r="B615" s="50">
        <v>1962</v>
      </c>
      <c r="C615" s="51">
        <v>0.26912921624119857</v>
      </c>
      <c r="D615" s="52">
        <v>80</v>
      </c>
      <c r="E615" s="53">
        <v>0.56834532374100721</v>
      </c>
      <c r="G615" s="2"/>
      <c r="L615" s="5"/>
      <c r="O615" s="2"/>
    </row>
    <row r="616" spans="2:15" x14ac:dyDescent="0.2">
      <c r="B616" s="50">
        <v>1984</v>
      </c>
      <c r="C616" s="51">
        <v>0.28318888070385939</v>
      </c>
      <c r="D616" s="52">
        <v>80</v>
      </c>
      <c r="E616" s="53">
        <v>0.57553956834532372</v>
      </c>
      <c r="G616" s="2"/>
      <c r="L616" s="5"/>
      <c r="O616" s="2"/>
    </row>
    <row r="617" spans="2:15" x14ac:dyDescent="0.2">
      <c r="B617" s="50">
        <v>2005</v>
      </c>
      <c r="C617" s="51">
        <v>0.33792589800740236</v>
      </c>
      <c r="D617" s="52">
        <v>80</v>
      </c>
      <c r="E617" s="53">
        <v>0.56834532374100721</v>
      </c>
      <c r="G617" s="2"/>
      <c r="L617" s="5"/>
      <c r="O617" s="2"/>
    </row>
    <row r="618" spans="2:15" x14ac:dyDescent="0.2">
      <c r="B618" s="50">
        <v>2025</v>
      </c>
      <c r="C618" s="51">
        <v>0.35559098213039642</v>
      </c>
      <c r="D618" s="52">
        <v>80</v>
      </c>
      <c r="E618" s="53">
        <v>0.57553956834532372</v>
      </c>
      <c r="G618" s="2"/>
      <c r="L618" s="5"/>
      <c r="O618" s="2"/>
    </row>
    <row r="619" spans="2:15" x14ac:dyDescent="0.2">
      <c r="B619" s="50">
        <v>2044</v>
      </c>
      <c r="C619" s="51">
        <v>0.41511795109585936</v>
      </c>
      <c r="D619" s="52">
        <v>80</v>
      </c>
      <c r="E619" s="53">
        <v>0.51079136690647486</v>
      </c>
      <c r="G619" s="2"/>
      <c r="L619" s="5"/>
      <c r="O619" s="2"/>
    </row>
    <row r="620" spans="2:15" x14ac:dyDescent="0.2">
      <c r="B620" s="50">
        <v>2047</v>
      </c>
      <c r="C620" s="51">
        <v>0.35767968269323058</v>
      </c>
      <c r="D620" s="52">
        <v>81</v>
      </c>
      <c r="E620" s="53">
        <v>0.40287769784172661</v>
      </c>
      <c r="G620" s="2"/>
      <c r="L620" s="5"/>
      <c r="O620" s="2"/>
    </row>
    <row r="621" spans="2:15" x14ac:dyDescent="0.2">
      <c r="B621" s="50">
        <v>2171</v>
      </c>
      <c r="C621" s="51">
        <v>0.66098694303534777</v>
      </c>
      <c r="D621" s="52">
        <v>83</v>
      </c>
      <c r="E621" s="53">
        <v>0.2733812949640288</v>
      </c>
      <c r="G621" s="2"/>
      <c r="L621" s="5"/>
      <c r="O621" s="2"/>
    </row>
    <row r="622" spans="2:15" x14ac:dyDescent="0.2">
      <c r="B622" s="50">
        <v>1860</v>
      </c>
      <c r="C622" s="51">
        <v>0.22102321857208207</v>
      </c>
      <c r="D622" s="52">
        <v>84</v>
      </c>
      <c r="E622" s="53">
        <v>0.74820143884892087</v>
      </c>
      <c r="G622" s="2"/>
      <c r="L622" s="5"/>
      <c r="O622" s="2"/>
    </row>
    <row r="623" spans="2:15" x14ac:dyDescent="0.2">
      <c r="B623" s="50">
        <v>28</v>
      </c>
      <c r="C623" s="51">
        <v>1.4922065199329226</v>
      </c>
      <c r="D623" s="52">
        <v>84</v>
      </c>
      <c r="E623" s="53">
        <v>0.54347826086956519</v>
      </c>
      <c r="G623" s="2"/>
      <c r="L623" s="5"/>
      <c r="O623" s="2"/>
    </row>
    <row r="624" spans="2:15" x14ac:dyDescent="0.2">
      <c r="B624" s="50">
        <v>27</v>
      </c>
      <c r="C624" s="51">
        <v>1.5106631733904907</v>
      </c>
      <c r="D624" s="52">
        <v>84</v>
      </c>
      <c r="E624" s="53">
        <v>0.52173913043478259</v>
      </c>
      <c r="G624" s="2"/>
      <c r="L624" s="5"/>
      <c r="O624" s="2"/>
    </row>
    <row r="625" spans="2:15" x14ac:dyDescent="0.2">
      <c r="B625" s="50">
        <v>26</v>
      </c>
      <c r="C625" s="51">
        <v>1.6023407134123959</v>
      </c>
      <c r="D625" s="52">
        <v>84</v>
      </c>
      <c r="E625" s="53">
        <v>0.58695652173913049</v>
      </c>
      <c r="G625" s="2"/>
      <c r="L625" s="5"/>
      <c r="O625" s="2"/>
    </row>
    <row r="626" spans="2:15" x14ac:dyDescent="0.2">
      <c r="B626" s="50">
        <v>25</v>
      </c>
      <c r="C626" s="51">
        <v>1.8296106324602299</v>
      </c>
      <c r="D626" s="52">
        <v>84</v>
      </c>
      <c r="E626" s="53">
        <v>0.32608695652173914</v>
      </c>
      <c r="G626" s="2"/>
      <c r="L626" s="5"/>
      <c r="O626" s="2"/>
    </row>
    <row r="627" spans="2:15" x14ac:dyDescent="0.2">
      <c r="B627" s="50">
        <v>1830</v>
      </c>
      <c r="C627" s="51">
        <v>0.14775636347410093</v>
      </c>
      <c r="D627" s="52">
        <v>86</v>
      </c>
      <c r="E627" s="53">
        <v>0.69784172661870503</v>
      </c>
      <c r="G627" s="2"/>
      <c r="L627" s="5"/>
      <c r="O627" s="2"/>
    </row>
    <row r="628" spans="2:15" x14ac:dyDescent="0.2">
      <c r="B628" s="50">
        <v>1801</v>
      </c>
      <c r="C628" s="51">
        <v>0.15110249279214449</v>
      </c>
      <c r="D628" s="52">
        <v>86</v>
      </c>
      <c r="E628" s="53">
        <v>0.69784172661870503</v>
      </c>
      <c r="G628" s="2"/>
      <c r="L628" s="5"/>
      <c r="O628" s="2"/>
    </row>
    <row r="629" spans="2:15" x14ac:dyDescent="0.2">
      <c r="B629" s="50">
        <v>1931</v>
      </c>
      <c r="C629" s="51">
        <v>0.16277741262587142</v>
      </c>
      <c r="D629" s="52">
        <v>86</v>
      </c>
      <c r="E629" s="53">
        <v>0.76258992805755399</v>
      </c>
      <c r="G629" s="2"/>
      <c r="L629" s="5"/>
      <c r="O629" s="2"/>
    </row>
    <row r="630" spans="2:15" x14ac:dyDescent="0.2">
      <c r="B630" s="50">
        <v>1771</v>
      </c>
      <c r="C630" s="51">
        <v>0.16404803228123177</v>
      </c>
      <c r="D630" s="52">
        <v>86</v>
      </c>
      <c r="E630" s="53">
        <v>0.64748201438848918</v>
      </c>
      <c r="G630" s="2"/>
      <c r="L630" s="5"/>
      <c r="O630" s="2"/>
    </row>
    <row r="631" spans="2:15" x14ac:dyDescent="0.2">
      <c r="B631" s="50">
        <v>1930</v>
      </c>
      <c r="C631" s="51">
        <v>0.17165879044601762</v>
      </c>
      <c r="D631" s="52">
        <v>86</v>
      </c>
      <c r="E631" s="53">
        <v>0.79136690647482011</v>
      </c>
      <c r="G631" s="2"/>
      <c r="L631" s="5"/>
      <c r="O631" s="2"/>
    </row>
    <row r="632" spans="2:15" x14ac:dyDescent="0.2">
      <c r="B632" s="50">
        <v>1935</v>
      </c>
      <c r="C632" s="51">
        <v>0.18219187103114576</v>
      </c>
      <c r="D632" s="52">
        <v>86</v>
      </c>
      <c r="E632" s="53">
        <v>0.76978417266187049</v>
      </c>
      <c r="G632" s="2"/>
      <c r="L632" s="5"/>
      <c r="O632" s="2"/>
    </row>
    <row r="633" spans="2:15" x14ac:dyDescent="0.2">
      <c r="B633" s="50">
        <v>1739</v>
      </c>
      <c r="C633" s="51">
        <v>0.18291764683134304</v>
      </c>
      <c r="D633" s="52">
        <v>86</v>
      </c>
      <c r="E633" s="53">
        <v>0.59712230215827333</v>
      </c>
      <c r="G633" s="2"/>
      <c r="L633" s="5"/>
      <c r="O633" s="2"/>
    </row>
    <row r="634" spans="2:15" x14ac:dyDescent="0.2">
      <c r="B634" s="50">
        <v>1858</v>
      </c>
      <c r="C634" s="51">
        <v>0.20856875529703911</v>
      </c>
      <c r="D634" s="52">
        <v>86</v>
      </c>
      <c r="E634" s="53">
        <v>0.50359712230215825</v>
      </c>
      <c r="G634" s="2"/>
      <c r="L634" s="5"/>
      <c r="O634" s="2"/>
    </row>
    <row r="635" spans="2:15" x14ac:dyDescent="0.2">
      <c r="B635" s="50">
        <v>1829</v>
      </c>
      <c r="C635" s="51">
        <v>0.22483929857379814</v>
      </c>
      <c r="D635" s="52">
        <v>86</v>
      </c>
      <c r="E635" s="53">
        <v>0.58992805755395683</v>
      </c>
      <c r="G635" s="2"/>
      <c r="L635" s="5"/>
      <c r="O635" s="2"/>
    </row>
    <row r="636" spans="2:15" x14ac:dyDescent="0.2">
      <c r="B636" s="50">
        <v>1770</v>
      </c>
      <c r="C636" s="51">
        <v>0.24930182647458876</v>
      </c>
      <c r="D636" s="52">
        <v>86</v>
      </c>
      <c r="E636" s="53">
        <v>0.53237410071942448</v>
      </c>
      <c r="G636" s="2"/>
      <c r="L636" s="5"/>
      <c r="O636" s="2"/>
    </row>
    <row r="637" spans="2:15" x14ac:dyDescent="0.2">
      <c r="B637" s="50">
        <v>1911</v>
      </c>
      <c r="C637" s="51">
        <v>0.25901976441408181</v>
      </c>
      <c r="D637" s="52">
        <v>86</v>
      </c>
      <c r="E637" s="53">
        <v>0.51079136690647486</v>
      </c>
      <c r="G637" s="2"/>
      <c r="L637" s="5"/>
      <c r="O637" s="2"/>
    </row>
    <row r="638" spans="2:15" x14ac:dyDescent="0.2">
      <c r="B638" s="50">
        <v>1800</v>
      </c>
      <c r="C638" s="51">
        <v>0.25915645441178015</v>
      </c>
      <c r="D638" s="52">
        <v>86</v>
      </c>
      <c r="E638" s="53">
        <v>0.52517985611510787</v>
      </c>
      <c r="G638" s="2"/>
      <c r="L638" s="5"/>
      <c r="O638" s="2"/>
    </row>
    <row r="639" spans="2:15" x14ac:dyDescent="0.2">
      <c r="B639" s="50">
        <v>1859</v>
      </c>
      <c r="C639" s="51">
        <v>0.27127547994336632</v>
      </c>
      <c r="D639" s="52">
        <v>86</v>
      </c>
      <c r="E639" s="53">
        <v>0.66187050359712229</v>
      </c>
      <c r="G639" s="2"/>
      <c r="L639" s="5"/>
      <c r="O639" s="2"/>
    </row>
    <row r="640" spans="2:15" x14ac:dyDescent="0.2">
      <c r="B640" s="50">
        <v>1707</v>
      </c>
      <c r="C640" s="51">
        <v>0.27267471448924419</v>
      </c>
      <c r="D640" s="52">
        <v>86</v>
      </c>
      <c r="E640" s="53">
        <v>0.51798561151079137</v>
      </c>
      <c r="G640" s="2"/>
      <c r="L640" s="5"/>
      <c r="O640" s="2"/>
    </row>
    <row r="641" spans="2:15" x14ac:dyDescent="0.2">
      <c r="B641" s="50">
        <v>1743</v>
      </c>
      <c r="C641" s="51">
        <v>0.2731701268412845</v>
      </c>
      <c r="D641" s="52">
        <v>86</v>
      </c>
      <c r="E641" s="53">
        <v>0.76258992805755399</v>
      </c>
      <c r="G641" s="2"/>
      <c r="L641" s="5"/>
      <c r="O641" s="2"/>
    </row>
    <row r="642" spans="2:15" x14ac:dyDescent="0.2">
      <c r="B642" s="50">
        <v>1885</v>
      </c>
      <c r="C642" s="51">
        <v>0.28089867437896021</v>
      </c>
      <c r="D642" s="52">
        <v>86</v>
      </c>
      <c r="E642" s="53">
        <v>0.50359712230215825</v>
      </c>
      <c r="G642" s="2"/>
      <c r="L642" s="5"/>
      <c r="O642" s="2"/>
    </row>
    <row r="643" spans="2:15" x14ac:dyDescent="0.2">
      <c r="B643" s="50">
        <v>1857</v>
      </c>
      <c r="C643" s="51">
        <v>0.36488277683172698</v>
      </c>
      <c r="D643" s="52">
        <v>86</v>
      </c>
      <c r="E643" s="53">
        <v>0.47482014388489208</v>
      </c>
      <c r="G643" s="2"/>
      <c r="L643" s="5"/>
      <c r="O643" s="2"/>
    </row>
    <row r="644" spans="2:15" x14ac:dyDescent="0.2">
      <c r="B644" s="50">
        <v>1774</v>
      </c>
      <c r="C644" s="51">
        <v>0.40121965226502576</v>
      </c>
      <c r="D644" s="52">
        <v>86</v>
      </c>
      <c r="E644" s="53">
        <v>0.57553956834532372</v>
      </c>
      <c r="G644" s="2"/>
      <c r="L644" s="5"/>
      <c r="O644" s="2"/>
    </row>
    <row r="645" spans="2:15" x14ac:dyDescent="0.2">
      <c r="B645" s="50">
        <v>1886</v>
      </c>
      <c r="C645" s="51">
        <v>0.45320048170104454</v>
      </c>
      <c r="D645" s="52">
        <v>86</v>
      </c>
      <c r="E645" s="53">
        <v>0.41726618705035973</v>
      </c>
      <c r="G645" s="2"/>
      <c r="L645" s="5"/>
      <c r="O645" s="2"/>
    </row>
    <row r="646" spans="2:15" x14ac:dyDescent="0.2">
      <c r="B646" s="50">
        <v>1833</v>
      </c>
      <c r="C646" s="51">
        <v>0.46210475224776792</v>
      </c>
      <c r="D646" s="52">
        <v>86</v>
      </c>
      <c r="E646" s="53">
        <v>0.43884892086330934</v>
      </c>
      <c r="G646" s="2"/>
      <c r="L646" s="5"/>
      <c r="O646" s="2"/>
    </row>
    <row r="647" spans="2:15" x14ac:dyDescent="0.2">
      <c r="B647" s="50">
        <v>1711</v>
      </c>
      <c r="C647" s="51">
        <v>0.46949386270799809</v>
      </c>
      <c r="D647" s="52">
        <v>86</v>
      </c>
      <c r="E647" s="53">
        <v>0.43884892086330934</v>
      </c>
      <c r="G647" s="2"/>
      <c r="L647" s="5"/>
      <c r="O647" s="2"/>
    </row>
    <row r="648" spans="2:15" x14ac:dyDescent="0.2">
      <c r="B648" s="50">
        <v>1666</v>
      </c>
      <c r="C648" s="51">
        <v>0.10132424244661864</v>
      </c>
      <c r="D648" s="52">
        <v>87</v>
      </c>
      <c r="E648" s="53">
        <v>0.82733812949640284</v>
      </c>
      <c r="G648" s="2"/>
      <c r="L648" s="5"/>
      <c r="O648" s="2"/>
    </row>
    <row r="649" spans="2:15" x14ac:dyDescent="0.2">
      <c r="B649" s="50">
        <v>1667</v>
      </c>
      <c r="C649" s="51">
        <v>0.10936500802682325</v>
      </c>
      <c r="D649" s="52">
        <v>87</v>
      </c>
      <c r="E649" s="53">
        <v>0.82733812949640284</v>
      </c>
      <c r="G649" s="2"/>
      <c r="L649" s="5"/>
      <c r="O649" s="2"/>
    </row>
    <row r="650" spans="2:15" x14ac:dyDescent="0.2">
      <c r="B650" s="50">
        <v>1632</v>
      </c>
      <c r="C650" s="51">
        <v>0.11759722180170928</v>
      </c>
      <c r="D650" s="52">
        <v>87</v>
      </c>
      <c r="E650" s="53">
        <v>0.82733812949640284</v>
      </c>
      <c r="G650" s="2"/>
      <c r="L650" s="5"/>
      <c r="O650" s="2"/>
    </row>
    <row r="651" spans="2:15" x14ac:dyDescent="0.2">
      <c r="B651" s="50">
        <v>1633</v>
      </c>
      <c r="C651" s="51">
        <v>0.14934828374260323</v>
      </c>
      <c r="D651" s="52">
        <v>87</v>
      </c>
      <c r="E651" s="53">
        <v>0.72661870503597126</v>
      </c>
      <c r="G651" s="2"/>
      <c r="L651" s="5"/>
      <c r="O651" s="2"/>
    </row>
    <row r="652" spans="2:15" x14ac:dyDescent="0.2">
      <c r="B652" s="50">
        <v>1736</v>
      </c>
      <c r="C652" s="51">
        <v>0.1618187223759644</v>
      </c>
      <c r="D652" s="52">
        <v>87</v>
      </c>
      <c r="E652" s="53">
        <v>0.7769784172661871</v>
      </c>
      <c r="G652" s="2"/>
      <c r="L652" s="5"/>
      <c r="O652" s="2"/>
    </row>
    <row r="653" spans="2:15" x14ac:dyDescent="0.2">
      <c r="B653" s="50">
        <v>1828</v>
      </c>
      <c r="C653" s="51">
        <v>0.17043328417588666</v>
      </c>
      <c r="D653" s="52">
        <v>87</v>
      </c>
      <c r="E653" s="53">
        <v>0.68345323741007191</v>
      </c>
      <c r="G653" s="2"/>
      <c r="L653" s="5"/>
      <c r="O653" s="2"/>
    </row>
    <row r="654" spans="2:15" x14ac:dyDescent="0.2">
      <c r="B654" s="50">
        <v>1769</v>
      </c>
      <c r="C654" s="51">
        <v>0.17245328532371296</v>
      </c>
      <c r="D654" s="52">
        <v>87</v>
      </c>
      <c r="E654" s="53">
        <v>0.58992805755395683</v>
      </c>
      <c r="G654" s="2"/>
      <c r="L654" s="5"/>
      <c r="O654" s="2"/>
    </row>
    <row r="655" spans="2:15" x14ac:dyDescent="0.2">
      <c r="B655" s="50">
        <v>1826</v>
      </c>
      <c r="C655" s="51">
        <v>0.17436483541855552</v>
      </c>
      <c r="D655" s="52">
        <v>87</v>
      </c>
      <c r="E655" s="53">
        <v>0.67625899280575541</v>
      </c>
      <c r="G655" s="2"/>
      <c r="L655" s="5"/>
      <c r="O655" s="2"/>
    </row>
    <row r="656" spans="2:15" x14ac:dyDescent="0.2">
      <c r="B656" s="50">
        <v>1767</v>
      </c>
      <c r="C656" s="51">
        <v>0.17590109759852568</v>
      </c>
      <c r="D656" s="52">
        <v>87</v>
      </c>
      <c r="E656" s="53">
        <v>0.6690647482014388</v>
      </c>
      <c r="G656" s="2"/>
      <c r="L656" s="5"/>
      <c r="O656" s="2"/>
    </row>
    <row r="657" spans="2:15" x14ac:dyDescent="0.2">
      <c r="B657" s="50">
        <v>1799</v>
      </c>
      <c r="C657" s="51">
        <v>0.18809645449987034</v>
      </c>
      <c r="D657" s="52">
        <v>87</v>
      </c>
      <c r="E657" s="53">
        <v>0.68345323741007191</v>
      </c>
      <c r="G657" s="2"/>
      <c r="L657" s="5"/>
      <c r="O657" s="2"/>
    </row>
    <row r="658" spans="2:15" x14ac:dyDescent="0.2">
      <c r="B658" s="50">
        <v>1797</v>
      </c>
      <c r="C658" s="51">
        <v>0.19140229039465417</v>
      </c>
      <c r="D658" s="52">
        <v>87</v>
      </c>
      <c r="E658" s="53">
        <v>0.67625899280575541</v>
      </c>
      <c r="G658" s="2"/>
      <c r="L658" s="5"/>
      <c r="O658" s="2"/>
    </row>
    <row r="659" spans="2:15" x14ac:dyDescent="0.2">
      <c r="B659" s="50">
        <v>1856</v>
      </c>
      <c r="C659" s="51">
        <v>0.30613534081084792</v>
      </c>
      <c r="D659" s="52">
        <v>87</v>
      </c>
      <c r="E659" s="53">
        <v>0.60431654676258995</v>
      </c>
      <c r="G659" s="2"/>
      <c r="L659" s="5"/>
      <c r="O659" s="2"/>
    </row>
    <row r="660" spans="2:15" x14ac:dyDescent="0.2">
      <c r="B660" s="50">
        <v>1854</v>
      </c>
      <c r="C660" s="51">
        <v>0.30654064497783495</v>
      </c>
      <c r="D660" s="52">
        <v>87</v>
      </c>
      <c r="E660" s="53">
        <v>0.62589928057553956</v>
      </c>
      <c r="G660" s="2"/>
      <c r="L660" s="5"/>
      <c r="O660" s="2"/>
    </row>
    <row r="661" spans="2:15" x14ac:dyDescent="0.2">
      <c r="B661" s="50">
        <v>1881</v>
      </c>
      <c r="C661" s="51">
        <v>0.3597727469492823</v>
      </c>
      <c r="D661" s="52">
        <v>87</v>
      </c>
      <c r="E661" s="53">
        <v>0.49640287769784175</v>
      </c>
      <c r="G661" s="2"/>
      <c r="L661" s="5"/>
      <c r="O661" s="2"/>
    </row>
    <row r="662" spans="2:15" x14ac:dyDescent="0.2">
      <c r="B662" s="50">
        <v>1883</v>
      </c>
      <c r="C662" s="51">
        <v>0.36352662140157355</v>
      </c>
      <c r="D662" s="52">
        <v>87</v>
      </c>
      <c r="E662" s="53">
        <v>0.47482014388489208</v>
      </c>
      <c r="G662" s="2"/>
      <c r="L662" s="5"/>
      <c r="O662" s="2"/>
    </row>
    <row r="663" spans="2:15" x14ac:dyDescent="0.2">
      <c r="B663" s="50">
        <v>1884</v>
      </c>
      <c r="C663" s="51">
        <v>0.42693395823922542</v>
      </c>
      <c r="D663" s="52">
        <v>87</v>
      </c>
      <c r="E663" s="53">
        <v>0.45323741007194246</v>
      </c>
      <c r="G663" s="2"/>
      <c r="L663" s="5"/>
      <c r="O663" s="2"/>
    </row>
    <row r="664" spans="2:15" x14ac:dyDescent="0.2">
      <c r="B664" s="50">
        <v>1804</v>
      </c>
      <c r="C664" s="51">
        <v>0.52253757000486267</v>
      </c>
      <c r="D664" s="52">
        <v>87</v>
      </c>
      <c r="E664" s="53">
        <v>0.42446043165467628</v>
      </c>
      <c r="G664" s="2"/>
      <c r="L664" s="5"/>
      <c r="O664" s="2"/>
    </row>
    <row r="665" spans="2:15" x14ac:dyDescent="0.2">
      <c r="B665" s="50">
        <v>1910</v>
      </c>
      <c r="C665" s="51">
        <v>0.52508937318615767</v>
      </c>
      <c r="D665" s="52">
        <v>87</v>
      </c>
      <c r="E665" s="53">
        <v>0.43884892086330934</v>
      </c>
      <c r="G665" s="2"/>
      <c r="L665" s="5"/>
      <c r="O665" s="2"/>
    </row>
    <row r="666" spans="2:15" x14ac:dyDescent="0.2">
      <c r="B666" s="50">
        <v>1765</v>
      </c>
      <c r="C666" s="51">
        <v>0.1512625717111109</v>
      </c>
      <c r="D666" s="52">
        <v>88</v>
      </c>
      <c r="E666" s="53">
        <v>0.67625899280575541</v>
      </c>
      <c r="G666" s="2"/>
      <c r="L666" s="5"/>
      <c r="O666" s="2"/>
    </row>
    <row r="667" spans="2:15" x14ac:dyDescent="0.2">
      <c r="B667" s="50">
        <v>1824</v>
      </c>
      <c r="C667" s="51">
        <v>0.15201338375870199</v>
      </c>
      <c r="D667" s="52">
        <v>88</v>
      </c>
      <c r="E667" s="53">
        <v>0.69064748201438853</v>
      </c>
      <c r="G667" s="2"/>
      <c r="L667" s="5"/>
      <c r="O667" s="2"/>
    </row>
    <row r="668" spans="2:15" x14ac:dyDescent="0.2">
      <c r="B668" s="50">
        <v>1702</v>
      </c>
      <c r="C668" s="51">
        <v>0.15494648404743194</v>
      </c>
      <c r="D668" s="52">
        <v>88</v>
      </c>
      <c r="E668" s="53">
        <v>0.6690647482014388</v>
      </c>
      <c r="G668" s="2"/>
      <c r="L668" s="5"/>
      <c r="O668" s="2"/>
    </row>
    <row r="669" spans="2:15" x14ac:dyDescent="0.2">
      <c r="B669" s="50">
        <v>1735</v>
      </c>
      <c r="C669" s="51">
        <v>0.16062975340588026</v>
      </c>
      <c r="D669" s="52">
        <v>88</v>
      </c>
      <c r="E669" s="53">
        <v>0.7769784172661871</v>
      </c>
      <c r="G669" s="2"/>
      <c r="L669" s="5"/>
      <c r="O669" s="2"/>
    </row>
    <row r="670" spans="2:15" x14ac:dyDescent="0.2">
      <c r="B670" s="50">
        <v>1795</v>
      </c>
      <c r="C670" s="51">
        <v>0.16658925427479532</v>
      </c>
      <c r="D670" s="52">
        <v>88</v>
      </c>
      <c r="E670" s="53">
        <v>0.68345323741007191</v>
      </c>
      <c r="G670" s="2"/>
      <c r="L670" s="5"/>
      <c r="O670" s="2"/>
    </row>
    <row r="671" spans="2:15" x14ac:dyDescent="0.2">
      <c r="B671" s="50">
        <v>1825</v>
      </c>
      <c r="C671" s="51">
        <v>0.16855327921975483</v>
      </c>
      <c r="D671" s="52">
        <v>88</v>
      </c>
      <c r="E671" s="53">
        <v>0.68345323741007191</v>
      </c>
      <c r="G671" s="2"/>
      <c r="L671" s="5"/>
      <c r="O671" s="2"/>
    </row>
    <row r="672" spans="2:15" x14ac:dyDescent="0.2">
      <c r="B672" s="50">
        <v>1827</v>
      </c>
      <c r="C672" s="51">
        <v>0.1687406008436847</v>
      </c>
      <c r="D672" s="52">
        <v>88</v>
      </c>
      <c r="E672" s="53">
        <v>0.68345323741007191</v>
      </c>
      <c r="G672" s="2"/>
      <c r="L672" s="5"/>
      <c r="O672" s="2"/>
    </row>
    <row r="673" spans="2:15" x14ac:dyDescent="0.2">
      <c r="B673" s="50">
        <v>1766</v>
      </c>
      <c r="C673" s="51">
        <v>0.17090090477227604</v>
      </c>
      <c r="D673" s="52">
        <v>88</v>
      </c>
      <c r="E673" s="53">
        <v>0.67625899280575541</v>
      </c>
      <c r="G673" s="2"/>
      <c r="L673" s="5"/>
      <c r="O673" s="2"/>
    </row>
    <row r="674" spans="2:15" x14ac:dyDescent="0.2">
      <c r="B674" s="50">
        <v>1734</v>
      </c>
      <c r="C674" s="51">
        <v>0.17144420850164988</v>
      </c>
      <c r="D674" s="52">
        <v>88</v>
      </c>
      <c r="E674" s="53">
        <v>0.7769784172661871</v>
      </c>
      <c r="G674" s="2"/>
      <c r="L674" s="5"/>
      <c r="O674" s="2"/>
    </row>
    <row r="675" spans="2:15" x14ac:dyDescent="0.2">
      <c r="B675" s="50">
        <v>1768</v>
      </c>
      <c r="C675" s="51">
        <v>0.17170970115936379</v>
      </c>
      <c r="D675" s="52">
        <v>88</v>
      </c>
      <c r="E675" s="53">
        <v>0.68345323741007191</v>
      </c>
      <c r="G675" s="2"/>
      <c r="L675" s="5"/>
      <c r="O675" s="2"/>
    </row>
    <row r="676" spans="2:15" x14ac:dyDescent="0.2">
      <c r="B676" s="50">
        <v>1703</v>
      </c>
      <c r="C676" s="51">
        <v>0.17637252839477802</v>
      </c>
      <c r="D676" s="52">
        <v>88</v>
      </c>
      <c r="E676" s="53">
        <v>0.6690647482014388</v>
      </c>
      <c r="G676" s="2"/>
      <c r="L676" s="5"/>
      <c r="O676" s="2"/>
    </row>
    <row r="677" spans="2:15" x14ac:dyDescent="0.2">
      <c r="B677" s="50">
        <v>1796</v>
      </c>
      <c r="C677" s="51">
        <v>0.18580077863828648</v>
      </c>
      <c r="D677" s="52">
        <v>88</v>
      </c>
      <c r="E677" s="53">
        <v>0.68345323741007191</v>
      </c>
      <c r="G677" s="2"/>
      <c r="L677" s="5"/>
      <c r="O677" s="2"/>
    </row>
    <row r="678" spans="2:15" x14ac:dyDescent="0.2">
      <c r="B678" s="50">
        <v>1798</v>
      </c>
      <c r="C678" s="51">
        <v>0.18714004334412404</v>
      </c>
      <c r="D678" s="52">
        <v>88</v>
      </c>
      <c r="E678" s="53">
        <v>0.68345323741007191</v>
      </c>
      <c r="G678" s="2"/>
      <c r="L678" s="5"/>
      <c r="O678" s="2"/>
    </row>
    <row r="679" spans="2:15" x14ac:dyDescent="0.2">
      <c r="B679" s="50">
        <v>1853</v>
      </c>
      <c r="C679" s="51">
        <v>0.29946595567893486</v>
      </c>
      <c r="D679" s="52">
        <v>88</v>
      </c>
      <c r="E679" s="53">
        <v>0.62589928057553956</v>
      </c>
      <c r="G679" s="2"/>
      <c r="L679" s="5"/>
      <c r="O679" s="2"/>
    </row>
    <row r="680" spans="2:15" x14ac:dyDescent="0.2">
      <c r="B680" s="50">
        <v>1855</v>
      </c>
      <c r="C680" s="51">
        <v>0.30769585985356318</v>
      </c>
      <c r="D680" s="52">
        <v>88</v>
      </c>
      <c r="E680" s="53">
        <v>0.5611510791366906</v>
      </c>
      <c r="G680" s="2"/>
      <c r="L680" s="5"/>
      <c r="O680" s="2"/>
    </row>
    <row r="681" spans="2:15" x14ac:dyDescent="0.2">
      <c r="B681" s="50">
        <v>1882</v>
      </c>
      <c r="C681" s="51">
        <v>0.36542874356786192</v>
      </c>
      <c r="D681" s="52">
        <v>88</v>
      </c>
      <c r="E681" s="53">
        <v>0.49640287769784175</v>
      </c>
      <c r="G681" s="2"/>
      <c r="L681" s="5"/>
      <c r="O681" s="2"/>
    </row>
    <row r="682" spans="2:15" x14ac:dyDescent="0.2">
      <c r="B682" s="50">
        <v>568</v>
      </c>
      <c r="C682" s="51">
        <v>9.3574743150695472E-2</v>
      </c>
      <c r="D682" s="52">
        <v>89</v>
      </c>
      <c r="E682" s="53">
        <v>0.65467625899280579</v>
      </c>
      <c r="G682" s="2"/>
      <c r="L682" s="5"/>
      <c r="O682" s="2"/>
    </row>
    <row r="683" spans="2:15" x14ac:dyDescent="0.2">
      <c r="B683" s="50">
        <v>625</v>
      </c>
      <c r="C683" s="51">
        <v>9.3797521395000971E-2</v>
      </c>
      <c r="D683" s="52">
        <v>89</v>
      </c>
      <c r="E683" s="53">
        <v>0.65467625899280579</v>
      </c>
      <c r="G683" s="2"/>
      <c r="L683" s="5"/>
      <c r="O683" s="2"/>
    </row>
    <row r="684" spans="2:15" x14ac:dyDescent="0.2">
      <c r="B684" s="50">
        <v>681</v>
      </c>
      <c r="C684" s="51">
        <v>9.413091728234757E-2</v>
      </c>
      <c r="D684" s="52">
        <v>89</v>
      </c>
      <c r="E684" s="53">
        <v>0.65467625899280579</v>
      </c>
      <c r="G684" s="2"/>
      <c r="L684" s="5"/>
      <c r="O684" s="2"/>
    </row>
    <row r="685" spans="2:15" x14ac:dyDescent="0.2">
      <c r="B685" s="50">
        <v>736</v>
      </c>
      <c r="C685" s="51">
        <v>9.7711895732052856E-2</v>
      </c>
      <c r="D685" s="52">
        <v>89</v>
      </c>
      <c r="E685" s="53">
        <v>0.65467625899280579</v>
      </c>
      <c r="G685" s="2"/>
      <c r="L685" s="5"/>
      <c r="O685" s="2"/>
    </row>
    <row r="686" spans="2:15" x14ac:dyDescent="0.2">
      <c r="B686" s="50">
        <v>790</v>
      </c>
      <c r="C686" s="51">
        <v>9.8885716988121986E-2</v>
      </c>
      <c r="D686" s="52">
        <v>89</v>
      </c>
      <c r="E686" s="53">
        <v>0.65467625899280579</v>
      </c>
      <c r="G686" s="2"/>
      <c r="L686" s="5"/>
      <c r="O686" s="2"/>
    </row>
    <row r="687" spans="2:15" x14ac:dyDescent="0.2">
      <c r="B687" s="50">
        <v>2127</v>
      </c>
      <c r="C687" s="51">
        <v>0.10122842348301564</v>
      </c>
      <c r="D687" s="52">
        <v>89</v>
      </c>
      <c r="E687" s="53">
        <v>0.63309352517985606</v>
      </c>
      <c r="G687" s="2"/>
      <c r="L687" s="5"/>
      <c r="O687" s="2"/>
    </row>
    <row r="688" spans="2:15" x14ac:dyDescent="0.2">
      <c r="B688" s="50">
        <v>569</v>
      </c>
      <c r="C688" s="51">
        <v>0.10238001738173563</v>
      </c>
      <c r="D688" s="52">
        <v>89</v>
      </c>
      <c r="E688" s="53">
        <v>0.64748201438848918</v>
      </c>
      <c r="G688" s="2"/>
      <c r="L688" s="5"/>
      <c r="O688" s="2"/>
    </row>
    <row r="689" spans="2:15" x14ac:dyDescent="0.2">
      <c r="B689" s="50">
        <v>626</v>
      </c>
      <c r="C689" s="51">
        <v>0.102390557414623</v>
      </c>
      <c r="D689" s="52">
        <v>89</v>
      </c>
      <c r="E689" s="53">
        <v>0.65467625899280579</v>
      </c>
      <c r="G689" s="2"/>
      <c r="L689" s="5"/>
      <c r="O689" s="2"/>
    </row>
    <row r="690" spans="2:15" x14ac:dyDescent="0.2">
      <c r="B690" s="50">
        <v>682</v>
      </c>
      <c r="C690" s="51">
        <v>0.10253454025605158</v>
      </c>
      <c r="D690" s="52">
        <v>89</v>
      </c>
      <c r="E690" s="53">
        <v>0.65467625899280579</v>
      </c>
      <c r="G690" s="2"/>
      <c r="L690" s="5"/>
      <c r="O690" s="2"/>
    </row>
    <row r="691" spans="2:15" x14ac:dyDescent="0.2">
      <c r="B691" s="50">
        <v>737</v>
      </c>
      <c r="C691" s="51">
        <v>0.10572630162279784</v>
      </c>
      <c r="D691" s="52">
        <v>89</v>
      </c>
      <c r="E691" s="53">
        <v>0.65467625899280579</v>
      </c>
      <c r="G691" s="2"/>
      <c r="L691" s="5"/>
      <c r="O691" s="2"/>
    </row>
    <row r="692" spans="2:15" x14ac:dyDescent="0.2">
      <c r="B692" s="50">
        <v>791</v>
      </c>
      <c r="C692" s="51">
        <v>0.10668061973531906</v>
      </c>
      <c r="D692" s="52">
        <v>89</v>
      </c>
      <c r="E692" s="53">
        <v>0.65467625899280579</v>
      </c>
      <c r="G692" s="2"/>
      <c r="L692" s="5"/>
      <c r="O692" s="2"/>
    </row>
    <row r="693" spans="2:15" x14ac:dyDescent="0.2">
      <c r="B693" s="50">
        <v>844</v>
      </c>
      <c r="C693" s="51">
        <v>0.10984653689874457</v>
      </c>
      <c r="D693" s="52">
        <v>89</v>
      </c>
      <c r="E693" s="53">
        <v>0.65467625899280579</v>
      </c>
      <c r="G693" s="2"/>
      <c r="L693" s="5"/>
      <c r="O693" s="2"/>
    </row>
    <row r="694" spans="2:15" x14ac:dyDescent="0.2">
      <c r="B694" s="50">
        <v>1136</v>
      </c>
      <c r="C694" s="51">
        <v>0.30358004162127128</v>
      </c>
      <c r="D694" s="52">
        <v>89</v>
      </c>
      <c r="E694" s="53">
        <v>0.74820143884892087</v>
      </c>
      <c r="G694" s="2"/>
      <c r="L694" s="5"/>
      <c r="O694" s="2"/>
    </row>
    <row r="695" spans="2:15" x14ac:dyDescent="0.2">
      <c r="B695" s="50">
        <v>1089</v>
      </c>
      <c r="C695" s="51">
        <v>0.30448796560894031</v>
      </c>
      <c r="D695" s="52">
        <v>89</v>
      </c>
      <c r="E695" s="53">
        <v>0.74820143884892087</v>
      </c>
      <c r="G695" s="2"/>
      <c r="L695" s="5"/>
      <c r="O695" s="2"/>
    </row>
    <row r="696" spans="2:15" x14ac:dyDescent="0.2">
      <c r="B696" s="50">
        <v>1852</v>
      </c>
      <c r="C696" s="51">
        <v>0.27274881383683514</v>
      </c>
      <c r="D696" s="52">
        <v>90</v>
      </c>
      <c r="E696" s="53">
        <v>0.62589928057553956</v>
      </c>
      <c r="G696" s="2"/>
      <c r="L696" s="5"/>
      <c r="O696" s="2"/>
    </row>
    <row r="697" spans="2:15" x14ac:dyDescent="0.2">
      <c r="B697" s="50">
        <v>1879</v>
      </c>
      <c r="C697" s="51">
        <v>0.31848863566296093</v>
      </c>
      <c r="D697" s="52">
        <v>90</v>
      </c>
      <c r="E697" s="53">
        <v>0.57553956834532372</v>
      </c>
      <c r="G697" s="2"/>
      <c r="L697" s="5"/>
      <c r="O697" s="2"/>
    </row>
    <row r="698" spans="2:15" x14ac:dyDescent="0.2">
      <c r="B698" s="50">
        <v>1905</v>
      </c>
      <c r="C698" s="51">
        <v>0.323228091167438</v>
      </c>
      <c r="D698" s="52">
        <v>90</v>
      </c>
      <c r="E698" s="53">
        <v>0.63309352517985606</v>
      </c>
      <c r="G698" s="2"/>
      <c r="L698" s="5"/>
      <c r="O698" s="2"/>
    </row>
    <row r="699" spans="2:15" x14ac:dyDescent="0.2">
      <c r="B699" s="50">
        <v>1880</v>
      </c>
      <c r="C699" s="51">
        <v>0.35006792000642895</v>
      </c>
      <c r="D699" s="52">
        <v>90</v>
      </c>
      <c r="E699" s="53">
        <v>0.49640287769784175</v>
      </c>
      <c r="G699" s="2"/>
      <c r="L699" s="5"/>
      <c r="O699" s="2"/>
    </row>
    <row r="700" spans="2:15" x14ac:dyDescent="0.2">
      <c r="B700" s="50">
        <v>1906</v>
      </c>
      <c r="C700" s="51">
        <v>0.37204517215890498</v>
      </c>
      <c r="D700" s="52">
        <v>90</v>
      </c>
      <c r="E700" s="53">
        <v>0.49640287769784175</v>
      </c>
      <c r="G700" s="2"/>
      <c r="L700" s="5"/>
      <c r="O700" s="2"/>
    </row>
    <row r="701" spans="2:15" x14ac:dyDescent="0.2">
      <c r="B701" s="50">
        <v>2152</v>
      </c>
      <c r="C701" s="51">
        <v>0.50056669998520453</v>
      </c>
      <c r="D701" s="52">
        <v>92</v>
      </c>
      <c r="E701" s="53">
        <v>0.37410071942446044</v>
      </c>
      <c r="G701" s="2"/>
      <c r="L701" s="5"/>
      <c r="O701" s="2"/>
    </row>
    <row r="702" spans="2:15" x14ac:dyDescent="0.2">
      <c r="B702" s="50">
        <v>2140</v>
      </c>
      <c r="C702" s="51">
        <v>0.57169519672162405</v>
      </c>
      <c r="D702" s="52">
        <v>92</v>
      </c>
      <c r="E702" s="53">
        <v>0.35971223021582732</v>
      </c>
      <c r="G702" s="2"/>
      <c r="L702" s="5"/>
      <c r="O702" s="2"/>
    </row>
    <row r="703" spans="2:15" x14ac:dyDescent="0.2">
      <c r="B703" s="50">
        <v>2163</v>
      </c>
      <c r="C703" s="51">
        <v>0.60544804215136649</v>
      </c>
      <c r="D703" s="52">
        <v>92</v>
      </c>
      <c r="E703" s="53">
        <v>0.35251798561151076</v>
      </c>
      <c r="G703" s="2"/>
      <c r="L703" s="5"/>
      <c r="O703" s="2"/>
    </row>
    <row r="704" spans="2:15" x14ac:dyDescent="0.2">
      <c r="B704" s="50">
        <v>451</v>
      </c>
      <c r="C704" s="51">
        <v>9.0766225019729863E-2</v>
      </c>
      <c r="D704" s="52">
        <v>93</v>
      </c>
      <c r="E704" s="53">
        <v>0.63309352517985606</v>
      </c>
      <c r="G704" s="2"/>
      <c r="L704" s="5"/>
      <c r="O704" s="2"/>
    </row>
    <row r="705" spans="2:15" x14ac:dyDescent="0.2">
      <c r="B705" s="50">
        <v>510</v>
      </c>
      <c r="C705" s="51">
        <v>9.5312222898782939E-2</v>
      </c>
      <c r="D705" s="52">
        <v>93</v>
      </c>
      <c r="E705" s="53">
        <v>0.63309352517985606</v>
      </c>
      <c r="G705" s="2"/>
      <c r="L705" s="5"/>
      <c r="O705" s="2"/>
    </row>
    <row r="706" spans="2:15" x14ac:dyDescent="0.2">
      <c r="B706" s="50">
        <v>1665</v>
      </c>
      <c r="C706" s="51">
        <v>8.8935403519636247E-2</v>
      </c>
      <c r="D706" s="52">
        <v>94</v>
      </c>
      <c r="E706" s="53">
        <v>0.83453237410071945</v>
      </c>
      <c r="G706" s="2"/>
      <c r="L706" s="5"/>
      <c r="O706" s="2"/>
    </row>
    <row r="707" spans="2:15" x14ac:dyDescent="0.2">
      <c r="B707" s="50">
        <v>1631</v>
      </c>
      <c r="C707" s="51">
        <v>0.10620994901435454</v>
      </c>
      <c r="D707" s="52">
        <v>94</v>
      </c>
      <c r="E707" s="53">
        <v>0.83453237410071945</v>
      </c>
      <c r="G707" s="2"/>
      <c r="L707" s="5"/>
      <c r="O707" s="2"/>
    </row>
    <row r="708" spans="2:15" x14ac:dyDescent="0.2">
      <c r="B708" s="50">
        <v>1630</v>
      </c>
      <c r="C708" s="51">
        <v>0.12862614182167398</v>
      </c>
      <c r="D708" s="52">
        <v>94</v>
      </c>
      <c r="E708" s="53">
        <v>0.79136690647482011</v>
      </c>
      <c r="G708" s="2"/>
      <c r="L708" s="5"/>
      <c r="O708" s="2"/>
    </row>
    <row r="709" spans="2:15" x14ac:dyDescent="0.2">
      <c r="B709" s="50">
        <v>1664</v>
      </c>
      <c r="C709" s="51">
        <v>0.13228771609464107</v>
      </c>
      <c r="D709" s="52">
        <v>94</v>
      </c>
      <c r="E709" s="53">
        <v>0.79136690647482011</v>
      </c>
      <c r="G709" s="2"/>
      <c r="L709" s="5"/>
      <c r="O709" s="2"/>
    </row>
    <row r="710" spans="2:15" x14ac:dyDescent="0.2">
      <c r="B710" s="50">
        <v>674</v>
      </c>
      <c r="C710" s="51">
        <v>0.63035416549255552</v>
      </c>
      <c r="D710" s="52">
        <v>94</v>
      </c>
      <c r="E710" s="53">
        <v>0.23741007194244604</v>
      </c>
      <c r="G710" s="2"/>
      <c r="L710" s="5"/>
      <c r="O710" s="2"/>
    </row>
    <row r="711" spans="2:15" x14ac:dyDescent="0.2">
      <c r="B711" s="50">
        <v>1668</v>
      </c>
      <c r="C711" s="51">
        <v>0.1431953067015509</v>
      </c>
      <c r="D711" s="52">
        <v>95</v>
      </c>
      <c r="E711" s="53">
        <v>0.82733812949640284</v>
      </c>
      <c r="G711" s="2"/>
      <c r="L711" s="5"/>
      <c r="O711" s="2"/>
    </row>
    <row r="712" spans="2:15" x14ac:dyDescent="0.2">
      <c r="B712" s="50">
        <v>992</v>
      </c>
      <c r="C712" s="51">
        <v>0.29455012117436352</v>
      </c>
      <c r="D712" s="52">
        <v>95</v>
      </c>
      <c r="E712" s="53">
        <v>0.6690647482014388</v>
      </c>
      <c r="G712" s="2"/>
      <c r="L712" s="5"/>
      <c r="O712" s="2"/>
    </row>
    <row r="713" spans="2:15" x14ac:dyDescent="0.2">
      <c r="B713" s="50">
        <v>1041</v>
      </c>
      <c r="C713" s="51">
        <v>0.3213370286256676</v>
      </c>
      <c r="D713" s="52">
        <v>95</v>
      </c>
      <c r="E713" s="53">
        <v>0.6690647482014388</v>
      </c>
      <c r="G713" s="2"/>
      <c r="L713" s="5"/>
      <c r="O713" s="2"/>
    </row>
    <row r="714" spans="2:15" x14ac:dyDescent="0.2">
      <c r="B714" s="50">
        <v>836</v>
      </c>
      <c r="C714" s="51">
        <v>0.5839450638643553</v>
      </c>
      <c r="D714" s="52">
        <v>96</v>
      </c>
      <c r="E714" s="53">
        <v>0.22302158273381295</v>
      </c>
      <c r="G714" s="2"/>
      <c r="L714" s="5"/>
      <c r="O714" s="2"/>
    </row>
    <row r="715" spans="2:15" x14ac:dyDescent="0.2">
      <c r="B715" s="50">
        <v>618</v>
      </c>
      <c r="C715" s="51">
        <v>0.63900374766753754</v>
      </c>
      <c r="D715" s="52">
        <v>96</v>
      </c>
      <c r="E715" s="53">
        <v>0.23021582733812951</v>
      </c>
      <c r="G715" s="2"/>
      <c r="L715" s="5"/>
      <c r="O715" s="2"/>
    </row>
    <row r="716" spans="2:15" x14ac:dyDescent="0.2">
      <c r="B716" s="50">
        <v>561</v>
      </c>
      <c r="C716" s="51">
        <v>0.64412767607887511</v>
      </c>
      <c r="D716" s="52">
        <v>96</v>
      </c>
      <c r="E716" s="53">
        <v>0.2805755395683453</v>
      </c>
      <c r="G716" s="2"/>
      <c r="L716" s="5"/>
      <c r="O716" s="2"/>
    </row>
    <row r="717" spans="2:15" x14ac:dyDescent="0.2">
      <c r="B717" s="50">
        <v>503</v>
      </c>
      <c r="C717" s="51">
        <v>0.65292356673082452</v>
      </c>
      <c r="D717" s="52">
        <v>96</v>
      </c>
      <c r="E717" s="53">
        <v>0.2805755395683453</v>
      </c>
      <c r="G717" s="2"/>
      <c r="L717" s="5"/>
      <c r="O717" s="2"/>
    </row>
    <row r="718" spans="2:15" x14ac:dyDescent="0.2">
      <c r="B718" s="50">
        <v>443</v>
      </c>
      <c r="C718" s="51">
        <v>0.67204325383749108</v>
      </c>
      <c r="D718" s="52">
        <v>96</v>
      </c>
      <c r="E718" s="53">
        <v>0.17266187050359713</v>
      </c>
      <c r="G718" s="2"/>
      <c r="L718" s="5"/>
      <c r="O718" s="2"/>
    </row>
    <row r="719" spans="2:15" x14ac:dyDescent="0.2">
      <c r="B719" s="50">
        <v>383</v>
      </c>
      <c r="C719" s="51">
        <v>0.68106932363339334</v>
      </c>
      <c r="D719" s="52">
        <v>96</v>
      </c>
      <c r="E719" s="53">
        <v>0.17985611510791366</v>
      </c>
      <c r="G719" s="2"/>
      <c r="L719" s="5"/>
      <c r="O719" s="2"/>
    </row>
    <row r="720" spans="2:15" x14ac:dyDescent="0.2">
      <c r="B720" s="50">
        <v>260</v>
      </c>
      <c r="C720" s="51">
        <v>0.73252497068247113</v>
      </c>
      <c r="D720" s="52">
        <v>96</v>
      </c>
      <c r="E720" s="53">
        <v>0.2446043165467626</v>
      </c>
      <c r="G720" s="2"/>
      <c r="L720" s="5"/>
      <c r="O720" s="2"/>
    </row>
    <row r="721" spans="2:15" x14ac:dyDescent="0.2">
      <c r="B721" s="50">
        <v>948</v>
      </c>
      <c r="C721" s="51">
        <v>0.13039938773779591</v>
      </c>
      <c r="D721" s="52">
        <v>97</v>
      </c>
      <c r="E721" s="53">
        <v>0.76978417266187049</v>
      </c>
      <c r="G721" s="2"/>
      <c r="L721" s="5"/>
      <c r="O721" s="2"/>
    </row>
    <row r="722" spans="2:15" x14ac:dyDescent="0.2">
      <c r="B722" s="50">
        <v>897</v>
      </c>
      <c r="C722" s="51">
        <v>0.13227246748739152</v>
      </c>
      <c r="D722" s="52">
        <v>97</v>
      </c>
      <c r="E722" s="53">
        <v>0.76978417266187049</v>
      </c>
      <c r="G722" s="2"/>
      <c r="L722" s="5"/>
      <c r="O722" s="2"/>
    </row>
    <row r="723" spans="2:15" x14ac:dyDescent="0.2">
      <c r="B723" s="50">
        <v>738</v>
      </c>
      <c r="C723" s="51">
        <v>0.1328411742509511</v>
      </c>
      <c r="D723" s="52">
        <v>97</v>
      </c>
      <c r="E723" s="53">
        <v>0.74100719424460426</v>
      </c>
      <c r="G723" s="2"/>
      <c r="L723" s="5"/>
      <c r="O723" s="2"/>
    </row>
    <row r="724" spans="2:15" x14ac:dyDescent="0.2">
      <c r="B724" s="50">
        <v>792</v>
      </c>
      <c r="C724" s="51">
        <v>0.13376403011666194</v>
      </c>
      <c r="D724" s="52">
        <v>97</v>
      </c>
      <c r="E724" s="53">
        <v>0.74100719424460426</v>
      </c>
      <c r="G724" s="2"/>
      <c r="L724" s="5"/>
      <c r="O724" s="2"/>
    </row>
    <row r="725" spans="2:15" x14ac:dyDescent="0.2">
      <c r="B725" s="50">
        <v>845</v>
      </c>
      <c r="C725" s="51">
        <v>0.1367468661481801</v>
      </c>
      <c r="D725" s="52">
        <v>97</v>
      </c>
      <c r="E725" s="53">
        <v>0.76978417266187049</v>
      </c>
      <c r="G725" s="2"/>
      <c r="L725" s="5"/>
      <c r="O725" s="2"/>
    </row>
    <row r="726" spans="2:15" x14ac:dyDescent="0.2">
      <c r="B726" s="50">
        <v>949</v>
      </c>
      <c r="C726" s="51">
        <v>0.14596862603248362</v>
      </c>
      <c r="D726" s="52">
        <v>97</v>
      </c>
      <c r="E726" s="53">
        <v>0.76978417266187049</v>
      </c>
      <c r="G726" s="2"/>
      <c r="L726" s="5"/>
      <c r="O726" s="2"/>
    </row>
    <row r="727" spans="2:15" x14ac:dyDescent="0.2">
      <c r="B727" s="50">
        <v>898</v>
      </c>
      <c r="C727" s="51">
        <v>0.14803752535121428</v>
      </c>
      <c r="D727" s="52">
        <v>97</v>
      </c>
      <c r="E727" s="53">
        <v>0.76978417266187049</v>
      </c>
      <c r="G727" s="2"/>
      <c r="L727" s="5"/>
      <c r="O727" s="2"/>
    </row>
    <row r="728" spans="2:15" x14ac:dyDescent="0.2">
      <c r="B728" s="50">
        <v>846</v>
      </c>
      <c r="C728" s="51">
        <v>0.15299408712017692</v>
      </c>
      <c r="D728" s="52">
        <v>97</v>
      </c>
      <c r="E728" s="53">
        <v>0.76978417266187049</v>
      </c>
      <c r="G728" s="2"/>
      <c r="L728" s="5"/>
      <c r="O728" s="2"/>
    </row>
    <row r="729" spans="2:15" x14ac:dyDescent="0.2">
      <c r="B729" s="50">
        <v>999</v>
      </c>
      <c r="C729" s="51">
        <v>0.17329335219730235</v>
      </c>
      <c r="D729" s="52">
        <v>97</v>
      </c>
      <c r="E729" s="53">
        <v>0.76258992805755399</v>
      </c>
      <c r="G729" s="2"/>
      <c r="L729" s="5"/>
      <c r="O729" s="2"/>
    </row>
    <row r="730" spans="2:15" x14ac:dyDescent="0.2">
      <c r="B730" s="50">
        <v>1048</v>
      </c>
      <c r="C730" s="51">
        <v>0.18179765724986208</v>
      </c>
      <c r="D730" s="52">
        <v>97</v>
      </c>
      <c r="E730" s="53">
        <v>0.68345323741007191</v>
      </c>
      <c r="G730" s="2"/>
      <c r="L730" s="5"/>
      <c r="O730" s="2"/>
    </row>
    <row r="731" spans="2:15" x14ac:dyDescent="0.2">
      <c r="B731" s="50">
        <v>79</v>
      </c>
      <c r="C731" s="51">
        <v>0.23953339815076047</v>
      </c>
      <c r="D731" s="52">
        <v>97</v>
      </c>
      <c r="E731" s="53">
        <v>0.56834532374100721</v>
      </c>
      <c r="G731" s="2"/>
      <c r="L731" s="5"/>
      <c r="O731" s="2"/>
    </row>
    <row r="732" spans="2:15" x14ac:dyDescent="0.2">
      <c r="B732" s="50">
        <v>2134</v>
      </c>
      <c r="C732" s="51">
        <v>0.23953339815076047</v>
      </c>
      <c r="D732" s="52">
        <v>97</v>
      </c>
      <c r="E732" s="53">
        <v>0.56834532374100721</v>
      </c>
      <c r="G732" s="2"/>
      <c r="L732" s="5"/>
      <c r="O732" s="2"/>
    </row>
    <row r="733" spans="2:15" x14ac:dyDescent="0.2">
      <c r="B733" s="50">
        <v>1395</v>
      </c>
      <c r="C733" s="51">
        <v>0.12724421540917885</v>
      </c>
      <c r="D733" s="52">
        <v>98</v>
      </c>
      <c r="E733" s="53">
        <v>0.69784172661870503</v>
      </c>
      <c r="G733" s="2"/>
      <c r="L733" s="5"/>
      <c r="O733" s="2"/>
    </row>
    <row r="734" spans="2:15" x14ac:dyDescent="0.2">
      <c r="B734" s="50">
        <v>783</v>
      </c>
      <c r="C734" s="51">
        <v>0.60977116800301701</v>
      </c>
      <c r="D734" s="52">
        <v>98</v>
      </c>
      <c r="E734" s="53">
        <v>0.22302158273381295</v>
      </c>
      <c r="G734" s="2"/>
      <c r="L734" s="5"/>
      <c r="O734" s="2"/>
    </row>
    <row r="735" spans="2:15" x14ac:dyDescent="0.2">
      <c r="B735" s="50">
        <v>729</v>
      </c>
      <c r="C735" s="51">
        <v>0.61690646961858331</v>
      </c>
      <c r="D735" s="52">
        <v>98</v>
      </c>
      <c r="E735" s="53">
        <v>0.22302158273381295</v>
      </c>
      <c r="G735" s="2"/>
      <c r="L735" s="5"/>
      <c r="O735" s="2"/>
    </row>
    <row r="736" spans="2:15" x14ac:dyDescent="0.2">
      <c r="B736" s="50">
        <v>322</v>
      </c>
      <c r="C736" s="51">
        <v>0.72679306303431412</v>
      </c>
      <c r="D736" s="52">
        <v>98</v>
      </c>
      <c r="E736" s="53">
        <v>0.25179856115107913</v>
      </c>
      <c r="G736" s="2"/>
      <c r="L736" s="5"/>
      <c r="O736" s="2"/>
    </row>
    <row r="737" spans="2:15" x14ac:dyDescent="0.2">
      <c r="B737" s="50">
        <v>2111</v>
      </c>
      <c r="C737" s="51">
        <v>0.39468987081556195</v>
      </c>
      <c r="D737" s="52">
        <v>101</v>
      </c>
      <c r="E737" s="53">
        <v>0.35251798561151076</v>
      </c>
      <c r="G737" s="2"/>
      <c r="L737" s="5"/>
      <c r="O737" s="2"/>
    </row>
    <row r="738" spans="2:15" x14ac:dyDescent="0.2">
      <c r="B738" s="50">
        <v>2150</v>
      </c>
      <c r="C738" s="51">
        <v>0.49052895569967492</v>
      </c>
      <c r="D738" s="52">
        <v>101</v>
      </c>
      <c r="E738" s="53">
        <v>0.35251798561151076</v>
      </c>
      <c r="G738" s="2"/>
      <c r="L738" s="5"/>
      <c r="O738" s="2"/>
    </row>
    <row r="739" spans="2:15" x14ac:dyDescent="0.2">
      <c r="B739" s="50">
        <v>2161</v>
      </c>
      <c r="C739" s="51">
        <v>0.55637110379904442</v>
      </c>
      <c r="D739" s="52">
        <v>101</v>
      </c>
      <c r="E739" s="53">
        <v>0.33093525179856115</v>
      </c>
      <c r="G739" s="2"/>
      <c r="L739" s="5"/>
      <c r="O739" s="2"/>
    </row>
    <row r="740" spans="2:15" x14ac:dyDescent="0.2">
      <c r="B740" s="50">
        <v>2096</v>
      </c>
      <c r="C740" s="51">
        <v>0.39828692496859142</v>
      </c>
      <c r="D740" s="52">
        <v>102</v>
      </c>
      <c r="E740" s="53">
        <v>0.35251798561151076</v>
      </c>
      <c r="G740" s="2"/>
      <c r="L740" s="5"/>
      <c r="O740" s="2"/>
    </row>
    <row r="741" spans="2:15" x14ac:dyDescent="0.2">
      <c r="B741" s="50">
        <v>1932</v>
      </c>
      <c r="C741" s="51">
        <v>0.20107241162349299</v>
      </c>
      <c r="D741" s="52">
        <v>103</v>
      </c>
      <c r="E741" s="53">
        <v>0.72661870503597126</v>
      </c>
      <c r="G741" s="2"/>
      <c r="L741" s="5"/>
      <c r="O741" s="2"/>
    </row>
    <row r="742" spans="2:15" x14ac:dyDescent="0.2">
      <c r="B742" s="50">
        <v>2080</v>
      </c>
      <c r="C742" s="51">
        <v>0.39632935319811069</v>
      </c>
      <c r="D742" s="52">
        <v>103</v>
      </c>
      <c r="E742" s="53">
        <v>0.35251798561151076</v>
      </c>
      <c r="G742" s="2"/>
      <c r="L742" s="5"/>
      <c r="O742" s="2"/>
    </row>
    <row r="743" spans="2:15" x14ac:dyDescent="0.2">
      <c r="B743" s="50">
        <v>2063</v>
      </c>
      <c r="C743" s="51">
        <v>0.40295966926091342</v>
      </c>
      <c r="D743" s="52">
        <v>103</v>
      </c>
      <c r="E743" s="53">
        <v>0.35251798561151076</v>
      </c>
      <c r="G743" s="2"/>
      <c r="L743" s="5"/>
      <c r="O743" s="2"/>
    </row>
    <row r="744" spans="2:15" x14ac:dyDescent="0.2">
      <c r="B744" s="50">
        <v>1541</v>
      </c>
      <c r="C744" s="51">
        <v>0.19394091043273953</v>
      </c>
      <c r="D744" s="52">
        <v>104</v>
      </c>
      <c r="E744" s="53">
        <v>0.60431654676258995</v>
      </c>
      <c r="G744" s="2"/>
      <c r="L744" s="5"/>
      <c r="O744" s="2"/>
    </row>
    <row r="745" spans="2:15" x14ac:dyDescent="0.2">
      <c r="B745" s="50">
        <v>1740</v>
      </c>
      <c r="C745" s="51">
        <v>0.20987104734249895</v>
      </c>
      <c r="D745" s="52">
        <v>104</v>
      </c>
      <c r="E745" s="53">
        <v>0.53956834532374098</v>
      </c>
      <c r="G745" s="2"/>
      <c r="L745" s="5"/>
      <c r="O745" s="2"/>
    </row>
    <row r="746" spans="2:15" x14ac:dyDescent="0.2">
      <c r="B746" s="50">
        <v>1543</v>
      </c>
      <c r="C746" s="51">
        <v>0.25768741081163415</v>
      </c>
      <c r="D746" s="52">
        <v>104</v>
      </c>
      <c r="E746" s="53">
        <v>0.51079136690647486</v>
      </c>
      <c r="G746" s="2"/>
      <c r="L746" s="5"/>
      <c r="O746" s="2"/>
    </row>
    <row r="747" spans="2:15" x14ac:dyDescent="0.2">
      <c r="B747" s="50">
        <v>39</v>
      </c>
      <c r="C747" s="51">
        <v>0.48105772185383633</v>
      </c>
      <c r="D747" s="52">
        <v>104</v>
      </c>
      <c r="E747" s="53">
        <v>0.234375</v>
      </c>
      <c r="G747" s="2"/>
      <c r="L747" s="5"/>
      <c r="O747" s="2"/>
    </row>
    <row r="748" spans="2:15" x14ac:dyDescent="0.2">
      <c r="B748" s="50">
        <v>38</v>
      </c>
      <c r="C748" s="51">
        <v>0.53187804802991945</v>
      </c>
      <c r="D748" s="52">
        <v>104</v>
      </c>
      <c r="E748" s="53">
        <v>0.21875</v>
      </c>
      <c r="G748" s="2"/>
      <c r="L748" s="5"/>
      <c r="O748" s="2"/>
    </row>
    <row r="749" spans="2:15" x14ac:dyDescent="0.2">
      <c r="B749" s="50">
        <v>37</v>
      </c>
      <c r="C749" s="51">
        <v>0.55951884796714224</v>
      </c>
      <c r="D749" s="52">
        <v>104</v>
      </c>
      <c r="E749" s="53">
        <v>0.21875</v>
      </c>
      <c r="G749" s="2"/>
      <c r="L749" s="5"/>
      <c r="O749" s="2"/>
    </row>
    <row r="750" spans="2:15" x14ac:dyDescent="0.2">
      <c r="B750" s="50">
        <v>36</v>
      </c>
      <c r="C750" s="51">
        <v>0.57658528152788979</v>
      </c>
      <c r="D750" s="52">
        <v>104</v>
      </c>
      <c r="E750" s="53">
        <v>0.203125</v>
      </c>
      <c r="G750" s="2"/>
      <c r="L750" s="5"/>
      <c r="O750" s="2"/>
    </row>
    <row r="751" spans="2:15" x14ac:dyDescent="0.2">
      <c r="B751" s="50">
        <v>35</v>
      </c>
      <c r="C751" s="51">
        <v>0.62421380224626932</v>
      </c>
      <c r="D751" s="52">
        <v>104</v>
      </c>
      <c r="E751" s="53">
        <v>0.203125</v>
      </c>
      <c r="G751" s="2"/>
      <c r="L751" s="5"/>
      <c r="O751" s="2"/>
    </row>
    <row r="752" spans="2:15" x14ac:dyDescent="0.2">
      <c r="B752" s="50">
        <v>34</v>
      </c>
      <c r="C752" s="51">
        <v>0.69621976692859167</v>
      </c>
      <c r="D752" s="52">
        <v>104</v>
      </c>
      <c r="E752" s="53">
        <v>0.21875</v>
      </c>
      <c r="G752" s="2"/>
      <c r="L752" s="5"/>
      <c r="O752" s="2"/>
    </row>
    <row r="753" spans="2:15" x14ac:dyDescent="0.2">
      <c r="B753" s="50">
        <v>1487</v>
      </c>
      <c r="C753" s="51">
        <v>0.13637423664529003</v>
      </c>
      <c r="D753" s="52">
        <v>105</v>
      </c>
      <c r="E753" s="53">
        <v>0.82014388489208634</v>
      </c>
      <c r="G753" s="2"/>
      <c r="L753" s="5"/>
      <c r="O753" s="2"/>
    </row>
    <row r="754" spans="2:15" x14ac:dyDescent="0.2">
      <c r="B754" s="50">
        <v>1486</v>
      </c>
      <c r="C754" s="51">
        <v>0.14909392142707867</v>
      </c>
      <c r="D754" s="52">
        <v>105</v>
      </c>
      <c r="E754" s="53">
        <v>0.81294964028776984</v>
      </c>
      <c r="G754" s="2"/>
      <c r="L754" s="5"/>
      <c r="O754" s="2"/>
    </row>
    <row r="755" spans="2:15" x14ac:dyDescent="0.2">
      <c r="B755" s="50">
        <v>1704</v>
      </c>
      <c r="C755" s="51">
        <v>0.18357968763966193</v>
      </c>
      <c r="D755" s="52">
        <v>105</v>
      </c>
      <c r="E755" s="53">
        <v>0.6690647482014388</v>
      </c>
      <c r="G755" s="2"/>
      <c r="L755" s="5"/>
      <c r="O755" s="2"/>
    </row>
    <row r="756" spans="2:15" x14ac:dyDescent="0.2">
      <c r="B756" s="50">
        <v>1503</v>
      </c>
      <c r="C756" s="51">
        <v>0.19872850711329892</v>
      </c>
      <c r="D756" s="52">
        <v>105</v>
      </c>
      <c r="E756" s="53">
        <v>0.60431654676258995</v>
      </c>
      <c r="G756" s="2"/>
      <c r="L756" s="5"/>
      <c r="O756" s="2"/>
    </row>
    <row r="757" spans="2:15" x14ac:dyDescent="0.2">
      <c r="B757" s="50">
        <v>1737</v>
      </c>
      <c r="C757" s="51">
        <v>0.17682843122399683</v>
      </c>
      <c r="D757" s="52">
        <v>106</v>
      </c>
      <c r="E757" s="53">
        <v>0.69784172661870503</v>
      </c>
      <c r="G757" s="2"/>
      <c r="L757" s="5"/>
      <c r="O757" s="2"/>
    </row>
    <row r="758" spans="2:15" x14ac:dyDescent="0.2">
      <c r="B758" s="50">
        <v>1708</v>
      </c>
      <c r="C758" s="51">
        <v>0.20466364514334734</v>
      </c>
      <c r="D758" s="52">
        <v>106</v>
      </c>
      <c r="E758" s="53">
        <v>0.58273381294964033</v>
      </c>
      <c r="G758" s="2"/>
      <c r="L758" s="5"/>
      <c r="O758" s="2"/>
    </row>
    <row r="759" spans="2:15" x14ac:dyDescent="0.2">
      <c r="B759" s="50">
        <v>1502</v>
      </c>
      <c r="C759" s="51">
        <v>0.22911048107147691</v>
      </c>
      <c r="D759" s="52">
        <v>106</v>
      </c>
      <c r="E759" s="53">
        <v>0.6690647482014388</v>
      </c>
      <c r="G759" s="2"/>
      <c r="L759" s="5"/>
      <c r="O759" s="2"/>
    </row>
    <row r="760" spans="2:15" x14ac:dyDescent="0.2">
      <c r="B760" s="50">
        <v>1540</v>
      </c>
      <c r="C760" s="51">
        <v>0.23836381208276902</v>
      </c>
      <c r="D760" s="52">
        <v>106</v>
      </c>
      <c r="E760" s="53">
        <v>0.72661870503597126</v>
      </c>
      <c r="G760" s="2"/>
      <c r="L760" s="5"/>
      <c r="O760" s="2"/>
    </row>
    <row r="761" spans="2:15" x14ac:dyDescent="0.2">
      <c r="B761" s="50">
        <v>1542</v>
      </c>
      <c r="C761" s="51">
        <v>0.26667014380295362</v>
      </c>
      <c r="D761" s="52">
        <v>106</v>
      </c>
      <c r="E761" s="53">
        <v>0.56834532374100721</v>
      </c>
      <c r="G761" s="2"/>
      <c r="L761" s="5"/>
      <c r="O761" s="2"/>
    </row>
    <row r="762" spans="2:15" x14ac:dyDescent="0.2">
      <c r="B762" s="50">
        <v>1504</v>
      </c>
      <c r="C762" s="51">
        <v>0.28256112490714824</v>
      </c>
      <c r="D762" s="52">
        <v>106</v>
      </c>
      <c r="E762" s="53">
        <v>0.61870503597122306</v>
      </c>
      <c r="G762" s="2"/>
      <c r="L762" s="5"/>
      <c r="O762" s="2"/>
    </row>
    <row r="763" spans="2:15" x14ac:dyDescent="0.2">
      <c r="B763" s="50">
        <v>1499</v>
      </c>
      <c r="C763" s="51">
        <v>0.29490414079605431</v>
      </c>
      <c r="D763" s="52">
        <v>106</v>
      </c>
      <c r="E763" s="53">
        <v>0.71223021582733814</v>
      </c>
      <c r="G763" s="2"/>
      <c r="L763" s="5"/>
      <c r="O763" s="2"/>
    </row>
    <row r="764" spans="2:15" x14ac:dyDescent="0.2">
      <c r="B764" s="50">
        <v>1505</v>
      </c>
      <c r="C764" s="51">
        <v>0.29611316661345932</v>
      </c>
      <c r="D764" s="52">
        <v>106</v>
      </c>
      <c r="E764" s="53">
        <v>0.51079136690647486</v>
      </c>
      <c r="G764" s="2"/>
      <c r="L764" s="5"/>
      <c r="O764" s="2"/>
    </row>
    <row r="765" spans="2:15" x14ac:dyDescent="0.2">
      <c r="B765" s="50">
        <v>1537</v>
      </c>
      <c r="C765" s="51">
        <v>0.31386642910215934</v>
      </c>
      <c r="D765" s="52">
        <v>106</v>
      </c>
      <c r="E765" s="53">
        <v>0.65467625899280579</v>
      </c>
      <c r="G765" s="2"/>
      <c r="L765" s="5"/>
      <c r="O765" s="2"/>
    </row>
    <row r="766" spans="2:15" x14ac:dyDescent="0.2">
      <c r="B766" s="50">
        <v>1500</v>
      </c>
      <c r="C766" s="51">
        <v>0.31975455415684684</v>
      </c>
      <c r="D766" s="52">
        <v>106</v>
      </c>
      <c r="E766" s="53">
        <v>0.59712230215827333</v>
      </c>
      <c r="G766" s="2"/>
      <c r="L766" s="5"/>
      <c r="O766" s="2"/>
    </row>
    <row r="767" spans="2:15" x14ac:dyDescent="0.2">
      <c r="B767" s="50">
        <v>1501</v>
      </c>
      <c r="C767" s="51">
        <v>0.33592374388720647</v>
      </c>
      <c r="D767" s="52">
        <v>106</v>
      </c>
      <c r="E767" s="53">
        <v>0.60431654676258995</v>
      </c>
      <c r="G767" s="2"/>
      <c r="L767" s="5"/>
      <c r="O767" s="2"/>
    </row>
    <row r="768" spans="2:15" x14ac:dyDescent="0.2">
      <c r="B768" s="50">
        <v>1538</v>
      </c>
      <c r="C768" s="51">
        <v>0.33751348003235626</v>
      </c>
      <c r="D768" s="52">
        <v>106</v>
      </c>
      <c r="E768" s="53">
        <v>0.65467625899280579</v>
      </c>
      <c r="G768" s="2"/>
      <c r="L768" s="5"/>
      <c r="O768" s="2"/>
    </row>
    <row r="769" spans="2:15" x14ac:dyDescent="0.2">
      <c r="B769" s="50">
        <v>1544</v>
      </c>
      <c r="C769" s="51">
        <v>0.34163498282372473</v>
      </c>
      <c r="D769" s="52">
        <v>106</v>
      </c>
      <c r="E769" s="53">
        <v>0.61151079136690645</v>
      </c>
      <c r="G769" s="2"/>
      <c r="L769" s="5"/>
      <c r="O769" s="2"/>
    </row>
    <row r="770" spans="2:15" x14ac:dyDescent="0.2">
      <c r="B770" s="50">
        <v>1539</v>
      </c>
      <c r="C770" s="51">
        <v>0.3521659514882518</v>
      </c>
      <c r="D770" s="52">
        <v>106</v>
      </c>
      <c r="E770" s="53">
        <v>0.60431654676258995</v>
      </c>
      <c r="G770" s="2"/>
      <c r="L770" s="5"/>
      <c r="O770" s="2"/>
    </row>
    <row r="771" spans="2:15" x14ac:dyDescent="0.2">
      <c r="B771" s="50">
        <v>1683</v>
      </c>
      <c r="C771" s="51">
        <v>0.36483474638163804</v>
      </c>
      <c r="D771" s="52">
        <v>106</v>
      </c>
      <c r="E771" s="53">
        <v>0.69784172661870503</v>
      </c>
      <c r="G771" s="2"/>
      <c r="L771" s="5"/>
      <c r="O771" s="2"/>
    </row>
    <row r="772" spans="2:15" x14ac:dyDescent="0.2">
      <c r="B772" s="50">
        <v>1545</v>
      </c>
      <c r="C772" s="51">
        <v>0.37888952874421122</v>
      </c>
      <c r="D772" s="52">
        <v>106</v>
      </c>
      <c r="E772" s="53">
        <v>0.58992805755395683</v>
      </c>
      <c r="G772" s="2"/>
      <c r="L772" s="5"/>
      <c r="O772" s="2"/>
    </row>
    <row r="773" spans="2:15" x14ac:dyDescent="0.2">
      <c r="B773" s="50">
        <v>1506</v>
      </c>
      <c r="C773" s="51">
        <v>0.41107117297206019</v>
      </c>
      <c r="D773" s="52">
        <v>106</v>
      </c>
      <c r="E773" s="53">
        <v>0.58273381294964033</v>
      </c>
      <c r="G773" s="2"/>
      <c r="L773" s="5"/>
      <c r="O773" s="2"/>
    </row>
    <row r="774" spans="2:15" x14ac:dyDescent="0.2">
      <c r="B774" s="50">
        <v>1507</v>
      </c>
      <c r="C774" s="51">
        <v>0.44282097524469055</v>
      </c>
      <c r="D774" s="52">
        <v>106</v>
      </c>
      <c r="E774" s="53">
        <v>0.48201438848920863</v>
      </c>
      <c r="G774" s="2"/>
      <c r="L774" s="5"/>
      <c r="O774" s="2"/>
    </row>
    <row r="775" spans="2:15" x14ac:dyDescent="0.2">
      <c r="B775" s="50">
        <v>1508</v>
      </c>
      <c r="C775" s="51">
        <v>0.44909003732954866</v>
      </c>
      <c r="D775" s="52">
        <v>106</v>
      </c>
      <c r="E775" s="53">
        <v>0.58992805755395683</v>
      </c>
      <c r="G775" s="2"/>
      <c r="L775" s="5"/>
      <c r="O775" s="2"/>
    </row>
    <row r="776" spans="2:15" x14ac:dyDescent="0.2">
      <c r="B776" s="50">
        <v>1679</v>
      </c>
      <c r="C776" s="51">
        <v>0.46102163215397096</v>
      </c>
      <c r="D776" s="52">
        <v>106</v>
      </c>
      <c r="E776" s="53">
        <v>0.59712230215827333</v>
      </c>
      <c r="G776" s="2"/>
      <c r="L776" s="5"/>
      <c r="O776" s="2"/>
    </row>
    <row r="777" spans="2:15" x14ac:dyDescent="0.2">
      <c r="B777" s="50">
        <v>1682</v>
      </c>
      <c r="C777" s="51">
        <v>0.49890395126811604</v>
      </c>
      <c r="D777" s="52">
        <v>106</v>
      </c>
      <c r="E777" s="53">
        <v>0.59712230215827333</v>
      </c>
      <c r="G777" s="2"/>
      <c r="L777" s="5"/>
      <c r="O777" s="2"/>
    </row>
    <row r="778" spans="2:15" x14ac:dyDescent="0.2">
      <c r="B778" s="50">
        <v>1680</v>
      </c>
      <c r="C778" s="51">
        <v>0.50997846319476825</v>
      </c>
      <c r="D778" s="52">
        <v>106</v>
      </c>
      <c r="E778" s="53">
        <v>0.51079136690647486</v>
      </c>
      <c r="G778" s="2"/>
      <c r="L778" s="5"/>
      <c r="O778" s="2"/>
    </row>
    <row r="779" spans="2:15" x14ac:dyDescent="0.2">
      <c r="B779" s="50">
        <v>1681</v>
      </c>
      <c r="C779" s="51">
        <v>0.53663407995025569</v>
      </c>
      <c r="D779" s="52">
        <v>106</v>
      </c>
      <c r="E779" s="53">
        <v>0.51079136690647486</v>
      </c>
      <c r="G779" s="2"/>
      <c r="L779" s="5"/>
      <c r="O779" s="2"/>
    </row>
    <row r="780" spans="2:15" x14ac:dyDescent="0.2">
      <c r="B780" s="50">
        <v>511</v>
      </c>
      <c r="C780" s="51">
        <v>0.10433839260885125</v>
      </c>
      <c r="D780" s="52">
        <v>107</v>
      </c>
      <c r="E780" s="53">
        <v>0.64748201438848918</v>
      </c>
      <c r="G780" s="2"/>
      <c r="L780" s="5"/>
      <c r="O780" s="2"/>
    </row>
    <row r="781" spans="2:15" x14ac:dyDescent="0.2">
      <c r="B781" s="50">
        <v>1525</v>
      </c>
      <c r="C781" s="51">
        <v>0.12510452917765291</v>
      </c>
      <c r="D781" s="52">
        <v>107</v>
      </c>
      <c r="E781" s="53">
        <v>0.82014388489208634</v>
      </c>
      <c r="G781" s="2"/>
      <c r="L781" s="5"/>
      <c r="O781" s="2"/>
    </row>
    <row r="782" spans="2:15" x14ac:dyDescent="0.2">
      <c r="B782" s="50">
        <v>1524</v>
      </c>
      <c r="C782" s="51">
        <v>0.13645336291690824</v>
      </c>
      <c r="D782" s="52">
        <v>107</v>
      </c>
      <c r="E782" s="53">
        <v>0.81294964028776984</v>
      </c>
      <c r="G782" s="2"/>
      <c r="L782" s="5"/>
      <c r="O782" s="2"/>
    </row>
    <row r="783" spans="2:15" x14ac:dyDescent="0.2">
      <c r="B783" s="50">
        <v>1738</v>
      </c>
      <c r="C783" s="51">
        <v>0.17935075101817943</v>
      </c>
      <c r="D783" s="52">
        <v>107</v>
      </c>
      <c r="E783" s="53">
        <v>0.69784172661870503</v>
      </c>
      <c r="G783" s="2"/>
      <c r="L783" s="5"/>
      <c r="O783" s="2"/>
    </row>
    <row r="784" spans="2:15" x14ac:dyDescent="0.2">
      <c r="B784" s="50">
        <v>1706</v>
      </c>
      <c r="C784" s="51">
        <v>0.18373150880574296</v>
      </c>
      <c r="D784" s="52">
        <v>107</v>
      </c>
      <c r="E784" s="53">
        <v>0.58992805755395683</v>
      </c>
      <c r="G784" s="2"/>
      <c r="L784" s="5"/>
      <c r="O784" s="2"/>
    </row>
    <row r="785" spans="2:15" x14ac:dyDescent="0.2">
      <c r="B785" s="50">
        <v>1907</v>
      </c>
      <c r="C785" s="51">
        <v>0.38652933189358485</v>
      </c>
      <c r="D785" s="52">
        <v>107</v>
      </c>
      <c r="E785" s="53">
        <v>0.49640287769784175</v>
      </c>
      <c r="G785" s="2"/>
      <c r="L785" s="5"/>
      <c r="O785" s="2"/>
    </row>
    <row r="786" spans="2:15" x14ac:dyDescent="0.2">
      <c r="B786" s="50">
        <v>1649</v>
      </c>
      <c r="C786" s="51">
        <v>0.47375664934730755</v>
      </c>
      <c r="D786" s="52">
        <v>107</v>
      </c>
      <c r="E786" s="53">
        <v>0.50359712230215825</v>
      </c>
      <c r="G786" s="2"/>
      <c r="L786" s="5"/>
      <c r="O786" s="2"/>
    </row>
    <row r="787" spans="2:15" x14ac:dyDescent="0.2">
      <c r="B787" s="50">
        <v>1648</v>
      </c>
      <c r="C787" s="51">
        <v>0.55139565579940297</v>
      </c>
      <c r="D787" s="52">
        <v>107</v>
      </c>
      <c r="E787" s="53">
        <v>0.48920863309352519</v>
      </c>
      <c r="G787" s="2"/>
      <c r="L787" s="5"/>
      <c r="O787" s="2"/>
    </row>
    <row r="788" spans="2:15" x14ac:dyDescent="0.2">
      <c r="B788" s="50">
        <v>1650</v>
      </c>
      <c r="C788" s="51">
        <v>0.58625634689077522</v>
      </c>
      <c r="D788" s="52">
        <v>107</v>
      </c>
      <c r="E788" s="53">
        <v>0.21582733812949639</v>
      </c>
      <c r="G788" s="2"/>
      <c r="L788" s="5"/>
      <c r="O788" s="2"/>
    </row>
    <row r="789" spans="2:15" x14ac:dyDescent="0.2">
      <c r="B789" s="50">
        <v>1463</v>
      </c>
      <c r="C789" s="51">
        <v>0.12739505405513585</v>
      </c>
      <c r="D789" s="52">
        <v>108</v>
      </c>
      <c r="E789" s="53">
        <v>0.53237410071942448</v>
      </c>
      <c r="G789" s="2"/>
      <c r="L789" s="5"/>
      <c r="O789" s="2"/>
    </row>
    <row r="790" spans="2:15" x14ac:dyDescent="0.2">
      <c r="B790" s="50">
        <v>1465</v>
      </c>
      <c r="C790" s="51">
        <v>0.1658997276391837</v>
      </c>
      <c r="D790" s="52">
        <v>108</v>
      </c>
      <c r="E790" s="53">
        <v>0.43165467625899279</v>
      </c>
      <c r="G790" s="2"/>
      <c r="L790" s="5"/>
      <c r="O790" s="2"/>
    </row>
    <row r="791" spans="2:15" x14ac:dyDescent="0.2">
      <c r="B791" s="50">
        <v>1460</v>
      </c>
      <c r="C791" s="51">
        <v>0.16866809606035016</v>
      </c>
      <c r="D791" s="52">
        <v>108</v>
      </c>
      <c r="E791" s="53">
        <v>0.62589928057553956</v>
      </c>
      <c r="G791" s="2"/>
      <c r="L791" s="5"/>
      <c r="O791" s="2"/>
    </row>
    <row r="792" spans="2:15" x14ac:dyDescent="0.2">
      <c r="B792" s="50">
        <v>1705</v>
      </c>
      <c r="C792" s="51">
        <v>0.18074295525619899</v>
      </c>
      <c r="D792" s="52">
        <v>108</v>
      </c>
      <c r="E792" s="53">
        <v>0.58992805755395683</v>
      </c>
      <c r="G792" s="2"/>
      <c r="L792" s="5"/>
      <c r="O792" s="2"/>
    </row>
    <row r="793" spans="2:15" x14ac:dyDescent="0.2">
      <c r="B793" s="50">
        <v>1420</v>
      </c>
      <c r="C793" s="51">
        <v>0.18978126811037044</v>
      </c>
      <c r="D793" s="52">
        <v>108</v>
      </c>
      <c r="E793" s="53">
        <v>0.6690647482014388</v>
      </c>
      <c r="G793" s="2"/>
      <c r="L793" s="5"/>
      <c r="O793" s="2"/>
    </row>
    <row r="794" spans="2:15" x14ac:dyDescent="0.2">
      <c r="B794" s="50">
        <v>1466</v>
      </c>
      <c r="C794" s="51">
        <v>0.19126015629051307</v>
      </c>
      <c r="D794" s="52">
        <v>108</v>
      </c>
      <c r="E794" s="53">
        <v>0.41726618705035973</v>
      </c>
      <c r="G794" s="2"/>
      <c r="L794" s="5"/>
      <c r="O794" s="2"/>
    </row>
    <row r="795" spans="2:15" x14ac:dyDescent="0.2">
      <c r="B795" s="50">
        <v>1424</v>
      </c>
      <c r="C795" s="51">
        <v>0.19636361522542423</v>
      </c>
      <c r="D795" s="52">
        <v>108</v>
      </c>
      <c r="E795" s="53">
        <v>0.60431654676258995</v>
      </c>
      <c r="G795" s="2"/>
      <c r="L795" s="5"/>
      <c r="O795" s="2"/>
    </row>
    <row r="796" spans="2:15" x14ac:dyDescent="0.2">
      <c r="B796" s="50">
        <v>43</v>
      </c>
      <c r="C796" s="51">
        <v>0.30681387479773581</v>
      </c>
      <c r="D796" s="52">
        <v>108</v>
      </c>
      <c r="E796" s="53">
        <v>0.33333333333333331</v>
      </c>
      <c r="G796" s="2"/>
      <c r="L796" s="5"/>
      <c r="O796" s="2"/>
    </row>
    <row r="797" spans="2:15" x14ac:dyDescent="0.2">
      <c r="B797" s="50">
        <v>42</v>
      </c>
      <c r="C797" s="51">
        <v>0.32166909121969223</v>
      </c>
      <c r="D797" s="52">
        <v>108</v>
      </c>
      <c r="E797" s="53">
        <v>0.33333333333333331</v>
      </c>
      <c r="G797" s="2"/>
      <c r="L797" s="5"/>
      <c r="O797" s="2"/>
    </row>
    <row r="798" spans="2:15" x14ac:dyDescent="0.2">
      <c r="B798" s="50">
        <v>41</v>
      </c>
      <c r="C798" s="51">
        <v>0.34727685211590553</v>
      </c>
      <c r="D798" s="52">
        <v>108</v>
      </c>
      <c r="E798" s="53">
        <v>0.33333333333333331</v>
      </c>
      <c r="G798" s="2"/>
      <c r="L798" s="5"/>
      <c r="O798" s="2"/>
    </row>
    <row r="799" spans="2:15" x14ac:dyDescent="0.2">
      <c r="B799" s="50">
        <v>1645</v>
      </c>
      <c r="C799" s="51">
        <v>0.51979650854375925</v>
      </c>
      <c r="D799" s="52">
        <v>108</v>
      </c>
      <c r="E799" s="53">
        <v>0.50359712230215825</v>
      </c>
      <c r="G799" s="2"/>
      <c r="L799" s="5"/>
      <c r="O799" s="2"/>
    </row>
    <row r="800" spans="2:15" x14ac:dyDescent="0.2">
      <c r="B800" s="50">
        <v>1646</v>
      </c>
      <c r="C800" s="51">
        <v>0.5548633407077358</v>
      </c>
      <c r="D800" s="52">
        <v>108</v>
      </c>
      <c r="E800" s="53">
        <v>0.49640287769784175</v>
      </c>
      <c r="G800" s="2"/>
      <c r="L800" s="5"/>
      <c r="O800" s="2"/>
    </row>
    <row r="801" spans="2:15" x14ac:dyDescent="0.2">
      <c r="B801" s="50">
        <v>1647</v>
      </c>
      <c r="C801" s="51">
        <v>0.57341557328602932</v>
      </c>
      <c r="D801" s="52">
        <v>108</v>
      </c>
      <c r="E801" s="53">
        <v>0.50359712230215825</v>
      </c>
      <c r="G801" s="2"/>
      <c r="L801" s="5"/>
      <c r="O801" s="2"/>
    </row>
    <row r="802" spans="2:15" x14ac:dyDescent="0.2">
      <c r="B802" s="50">
        <v>392</v>
      </c>
      <c r="C802" s="51">
        <v>9.8528043330208037E-2</v>
      </c>
      <c r="D802" s="52">
        <v>109</v>
      </c>
      <c r="E802" s="53">
        <v>0.64028776978417268</v>
      </c>
      <c r="G802" s="2"/>
      <c r="L802" s="5"/>
      <c r="O802" s="2"/>
    </row>
    <row r="803" spans="2:15" x14ac:dyDescent="0.2">
      <c r="B803" s="50">
        <v>1367</v>
      </c>
      <c r="C803" s="51">
        <v>0.15559601471593854</v>
      </c>
      <c r="D803" s="52">
        <v>109</v>
      </c>
      <c r="E803" s="53">
        <v>0.82014388489208634</v>
      </c>
      <c r="G803" s="2"/>
      <c r="L803" s="5"/>
      <c r="O803" s="2"/>
    </row>
    <row r="804" spans="2:15" x14ac:dyDescent="0.2">
      <c r="B804" s="50">
        <v>1325</v>
      </c>
      <c r="C804" s="51">
        <v>0.1717199728051253</v>
      </c>
      <c r="D804" s="52">
        <v>109</v>
      </c>
      <c r="E804" s="53">
        <v>0.84172661870503596</v>
      </c>
      <c r="G804" s="2"/>
      <c r="L804" s="5"/>
      <c r="O804" s="2"/>
    </row>
    <row r="805" spans="2:15" x14ac:dyDescent="0.2">
      <c r="B805" s="50">
        <v>1366</v>
      </c>
      <c r="C805" s="51">
        <v>0.17247260319289415</v>
      </c>
      <c r="D805" s="52">
        <v>109</v>
      </c>
      <c r="E805" s="53">
        <v>0.84172661870503596</v>
      </c>
      <c r="G805" s="2"/>
      <c r="L805" s="5"/>
      <c r="O805" s="2"/>
    </row>
    <row r="806" spans="2:15" x14ac:dyDescent="0.2">
      <c r="B806" s="50">
        <v>1324</v>
      </c>
      <c r="C806" s="51">
        <v>0.18930528678350456</v>
      </c>
      <c r="D806" s="52">
        <v>109</v>
      </c>
      <c r="E806" s="53">
        <v>0.78417266187050361</v>
      </c>
      <c r="G806" s="2"/>
      <c r="L806" s="5"/>
      <c r="O806" s="2"/>
    </row>
    <row r="807" spans="2:15" x14ac:dyDescent="0.2">
      <c r="B807" s="50">
        <v>1408</v>
      </c>
      <c r="C807" s="51">
        <v>0.19192925107716474</v>
      </c>
      <c r="D807" s="52">
        <v>109</v>
      </c>
      <c r="E807" s="53">
        <v>0.74820143884892087</v>
      </c>
      <c r="G807" s="2"/>
      <c r="L807" s="5"/>
      <c r="O807" s="2"/>
    </row>
    <row r="808" spans="2:15" x14ac:dyDescent="0.2">
      <c r="B808" s="50">
        <v>1448</v>
      </c>
      <c r="C808" s="51">
        <v>0.19836048430120101</v>
      </c>
      <c r="D808" s="52">
        <v>109</v>
      </c>
      <c r="E808" s="53">
        <v>0.74100719424460426</v>
      </c>
      <c r="G808" s="2"/>
      <c r="L808" s="5"/>
      <c r="O808" s="2"/>
    </row>
    <row r="809" spans="2:15" x14ac:dyDescent="0.2">
      <c r="B809" s="50">
        <v>1407</v>
      </c>
      <c r="C809" s="51">
        <v>0.20773761339699393</v>
      </c>
      <c r="D809" s="52">
        <v>109</v>
      </c>
      <c r="E809" s="53">
        <v>0.73381294964028776</v>
      </c>
      <c r="G809" s="2"/>
      <c r="L809" s="5"/>
      <c r="O809" s="2"/>
    </row>
    <row r="810" spans="2:15" x14ac:dyDescent="0.2">
      <c r="B810" s="50">
        <v>1447</v>
      </c>
      <c r="C810" s="51">
        <v>0.21518092591402782</v>
      </c>
      <c r="D810" s="52">
        <v>109</v>
      </c>
      <c r="E810" s="53">
        <v>0.71942446043165464</v>
      </c>
      <c r="G810" s="2"/>
      <c r="L810" s="5"/>
      <c r="O810" s="2"/>
    </row>
    <row r="811" spans="2:15" x14ac:dyDescent="0.2">
      <c r="B811" s="50">
        <v>1425</v>
      </c>
      <c r="C811" s="51">
        <v>0.24626691253380806</v>
      </c>
      <c r="D811" s="52">
        <v>109</v>
      </c>
      <c r="E811" s="53">
        <v>0.51798561151079137</v>
      </c>
      <c r="G811" s="2"/>
      <c r="L811" s="5"/>
      <c r="O811" s="2"/>
    </row>
    <row r="812" spans="2:15" x14ac:dyDescent="0.2">
      <c r="B812" s="50">
        <v>1423</v>
      </c>
      <c r="C812" s="51">
        <v>0.18107469696993472</v>
      </c>
      <c r="D812" s="52">
        <v>110</v>
      </c>
      <c r="E812" s="53">
        <v>0.62589928057553956</v>
      </c>
      <c r="G812" s="2"/>
      <c r="L812" s="5"/>
      <c r="O812" s="2"/>
    </row>
    <row r="813" spans="2:15" x14ac:dyDescent="0.2">
      <c r="B813" s="50">
        <v>1461</v>
      </c>
      <c r="C813" s="51">
        <v>0.19876430951424207</v>
      </c>
      <c r="D813" s="52">
        <v>110</v>
      </c>
      <c r="E813" s="53">
        <v>0.66187050359712229</v>
      </c>
      <c r="G813" s="2"/>
      <c r="L813" s="5"/>
      <c r="O813" s="2"/>
    </row>
    <row r="814" spans="2:15" x14ac:dyDescent="0.2">
      <c r="B814" s="50">
        <v>1421</v>
      </c>
      <c r="C814" s="51">
        <v>0.21242354666385321</v>
      </c>
      <c r="D814" s="52">
        <v>110</v>
      </c>
      <c r="E814" s="53">
        <v>0.65467625899280579</v>
      </c>
      <c r="G814" s="2"/>
      <c r="L814" s="5"/>
      <c r="O814" s="2"/>
    </row>
    <row r="815" spans="2:15" x14ac:dyDescent="0.2">
      <c r="B815" s="50">
        <v>1462</v>
      </c>
      <c r="C815" s="51">
        <v>0.22004454483990943</v>
      </c>
      <c r="D815" s="52">
        <v>110</v>
      </c>
      <c r="E815" s="53">
        <v>0.71223021582733814</v>
      </c>
      <c r="G815" s="2"/>
      <c r="L815" s="5"/>
      <c r="O815" s="2"/>
    </row>
    <row r="816" spans="2:15" x14ac:dyDescent="0.2">
      <c r="B816" s="50">
        <v>1422</v>
      </c>
      <c r="C816" s="51">
        <v>0.22556379585496544</v>
      </c>
      <c r="D816" s="52">
        <v>110</v>
      </c>
      <c r="E816" s="53">
        <v>0.71223021582733814</v>
      </c>
      <c r="G816" s="2"/>
      <c r="L816" s="5"/>
      <c r="O816" s="2"/>
    </row>
    <row r="817" spans="2:15" x14ac:dyDescent="0.2">
      <c r="B817" s="50">
        <v>1426</v>
      </c>
      <c r="C817" s="51">
        <v>0.28258378322087663</v>
      </c>
      <c r="D817" s="52">
        <v>110</v>
      </c>
      <c r="E817" s="53">
        <v>0.51079136690647486</v>
      </c>
      <c r="G817" s="2"/>
      <c r="L817" s="5"/>
      <c r="O817" s="2"/>
    </row>
    <row r="818" spans="2:15" x14ac:dyDescent="0.2">
      <c r="B818" s="50">
        <v>1467</v>
      </c>
      <c r="C818" s="51">
        <v>0.29701499412350518</v>
      </c>
      <c r="D818" s="52">
        <v>110</v>
      </c>
      <c r="E818" s="53">
        <v>0.50359712230215825</v>
      </c>
      <c r="G818" s="2"/>
      <c r="L818" s="5"/>
      <c r="O818" s="2"/>
    </row>
    <row r="819" spans="2:15" x14ac:dyDescent="0.2">
      <c r="B819" s="50">
        <v>1470</v>
      </c>
      <c r="C819" s="51">
        <v>0.31544455775414215</v>
      </c>
      <c r="D819" s="52">
        <v>110</v>
      </c>
      <c r="E819" s="53">
        <v>0.43884892086330934</v>
      </c>
      <c r="G819" s="2"/>
      <c r="L819" s="5"/>
      <c r="O819" s="2"/>
    </row>
    <row r="820" spans="2:15" x14ac:dyDescent="0.2">
      <c r="B820" s="50">
        <v>1427</v>
      </c>
      <c r="C820" s="51">
        <v>0.34423475042099672</v>
      </c>
      <c r="D820" s="52">
        <v>110</v>
      </c>
      <c r="E820" s="53">
        <v>0.5539568345323741</v>
      </c>
      <c r="G820" s="2"/>
      <c r="L820" s="5"/>
      <c r="O820" s="2"/>
    </row>
    <row r="821" spans="2:15" x14ac:dyDescent="0.2">
      <c r="B821" s="50">
        <v>1343</v>
      </c>
      <c r="C821" s="51">
        <v>0.3711917793264542</v>
      </c>
      <c r="D821" s="52">
        <v>110</v>
      </c>
      <c r="E821" s="53">
        <v>0.56834532374100721</v>
      </c>
      <c r="G821" s="2"/>
      <c r="L821" s="5"/>
      <c r="O821" s="2"/>
    </row>
    <row r="822" spans="2:15" x14ac:dyDescent="0.2">
      <c r="B822" s="50">
        <v>1430</v>
      </c>
      <c r="C822" s="51">
        <v>0.38167984114027476</v>
      </c>
      <c r="D822" s="52">
        <v>110</v>
      </c>
      <c r="E822" s="53">
        <v>0.52517985611510787</v>
      </c>
      <c r="G822" s="2"/>
      <c r="L822" s="5"/>
      <c r="O822" s="2"/>
    </row>
    <row r="823" spans="2:15" x14ac:dyDescent="0.2">
      <c r="B823" s="50">
        <v>1349</v>
      </c>
      <c r="C823" s="51">
        <v>0.44985645203434232</v>
      </c>
      <c r="D823" s="52">
        <v>110</v>
      </c>
      <c r="E823" s="53">
        <v>0.57553956834532372</v>
      </c>
      <c r="G823" s="2"/>
      <c r="L823" s="5"/>
      <c r="O823" s="2"/>
    </row>
    <row r="824" spans="2:15" x14ac:dyDescent="0.2">
      <c r="B824" s="50">
        <v>1350</v>
      </c>
      <c r="C824" s="51">
        <v>0.46437933643517892</v>
      </c>
      <c r="D824" s="52">
        <v>110</v>
      </c>
      <c r="E824" s="53">
        <v>0.57553956834532372</v>
      </c>
      <c r="G824" s="2"/>
      <c r="L824" s="5"/>
      <c r="O824" s="2"/>
    </row>
    <row r="825" spans="2:15" x14ac:dyDescent="0.2">
      <c r="B825" s="50">
        <v>391</v>
      </c>
      <c r="C825" s="51">
        <v>8.8717372575300324E-2</v>
      </c>
      <c r="D825" s="52">
        <v>111</v>
      </c>
      <c r="E825" s="53">
        <v>0.62589928057553956</v>
      </c>
      <c r="G825" s="2"/>
      <c r="L825" s="5"/>
      <c r="O825" s="2"/>
    </row>
    <row r="826" spans="2:15" x14ac:dyDescent="0.2">
      <c r="B826" s="50">
        <v>269</v>
      </c>
      <c r="C826" s="51">
        <v>9.1271835080902863E-2</v>
      </c>
      <c r="D826" s="52">
        <v>111</v>
      </c>
      <c r="E826" s="53">
        <v>0.70503597122302153</v>
      </c>
      <c r="G826" s="2"/>
      <c r="L826" s="5"/>
      <c r="O826" s="2"/>
    </row>
    <row r="827" spans="2:15" x14ac:dyDescent="0.2">
      <c r="B827" s="50">
        <v>331</v>
      </c>
      <c r="C827" s="51">
        <v>9.2110533477105072E-2</v>
      </c>
      <c r="D827" s="52">
        <v>111</v>
      </c>
      <c r="E827" s="53">
        <v>0.70503597122302153</v>
      </c>
      <c r="G827" s="2"/>
      <c r="L827" s="5"/>
      <c r="O827" s="2"/>
    </row>
    <row r="828" spans="2:15" x14ac:dyDescent="0.2">
      <c r="B828" s="50">
        <v>452</v>
      </c>
      <c r="C828" s="51">
        <v>0.10045301448548216</v>
      </c>
      <c r="D828" s="52">
        <v>111</v>
      </c>
      <c r="E828" s="53">
        <v>0.64028776978417268</v>
      </c>
      <c r="G828" s="2"/>
      <c r="L828" s="5"/>
      <c r="O828" s="2"/>
    </row>
    <row r="829" spans="2:15" x14ac:dyDescent="0.2">
      <c r="B829" s="50">
        <v>387</v>
      </c>
      <c r="C829" s="51">
        <v>0.17492822630981042</v>
      </c>
      <c r="D829" s="52">
        <v>111</v>
      </c>
      <c r="E829" s="53">
        <v>0.73381294964028776</v>
      </c>
      <c r="G829" s="2"/>
      <c r="L829" s="5"/>
      <c r="O829" s="2"/>
    </row>
    <row r="830" spans="2:15" x14ac:dyDescent="0.2">
      <c r="B830" s="50">
        <v>447</v>
      </c>
      <c r="C830" s="51">
        <v>0.18151741539632171</v>
      </c>
      <c r="D830" s="52">
        <v>111</v>
      </c>
      <c r="E830" s="53">
        <v>0.73381294964028776</v>
      </c>
      <c r="G830" s="2"/>
      <c r="L830" s="5"/>
      <c r="O830" s="2"/>
    </row>
    <row r="831" spans="2:15" x14ac:dyDescent="0.2">
      <c r="B831" s="50">
        <v>564</v>
      </c>
      <c r="C831" s="51">
        <v>0.18816327876307959</v>
      </c>
      <c r="D831" s="52">
        <v>111</v>
      </c>
      <c r="E831" s="53">
        <v>0.73381294964028776</v>
      </c>
      <c r="G831" s="2"/>
      <c r="L831" s="5"/>
      <c r="O831" s="2"/>
    </row>
    <row r="832" spans="2:15" x14ac:dyDescent="0.2">
      <c r="B832" s="50">
        <v>621</v>
      </c>
      <c r="C832" s="51">
        <v>0.18879079901531792</v>
      </c>
      <c r="D832" s="52">
        <v>111</v>
      </c>
      <c r="E832" s="53">
        <v>0.75539568345323738</v>
      </c>
      <c r="G832" s="2"/>
      <c r="L832" s="5"/>
      <c r="O832" s="2"/>
    </row>
    <row r="833" spans="2:15" x14ac:dyDescent="0.2">
      <c r="B833" s="50">
        <v>677</v>
      </c>
      <c r="C833" s="51">
        <v>0.19037175153021613</v>
      </c>
      <c r="D833" s="52">
        <v>111</v>
      </c>
      <c r="E833" s="53">
        <v>0.75539568345323738</v>
      </c>
      <c r="G833" s="2"/>
      <c r="L833" s="5"/>
      <c r="O833" s="2"/>
    </row>
    <row r="834" spans="2:15" x14ac:dyDescent="0.2">
      <c r="B834" s="50">
        <v>506</v>
      </c>
      <c r="C834" s="51">
        <v>0.19550234761373053</v>
      </c>
      <c r="D834" s="52">
        <v>111</v>
      </c>
      <c r="E834" s="53">
        <v>0.73381294964028776</v>
      </c>
      <c r="G834" s="2"/>
      <c r="L834" s="5"/>
      <c r="O834" s="2"/>
    </row>
    <row r="835" spans="2:15" x14ac:dyDescent="0.2">
      <c r="B835" s="50">
        <v>732</v>
      </c>
      <c r="C835" s="51">
        <v>0.20135914810856415</v>
      </c>
      <c r="D835" s="52">
        <v>111</v>
      </c>
      <c r="E835" s="53">
        <v>0.67625899280575541</v>
      </c>
      <c r="G835" s="2"/>
      <c r="L835" s="5"/>
      <c r="O835" s="2"/>
    </row>
    <row r="836" spans="2:15" x14ac:dyDescent="0.2">
      <c r="B836" s="50">
        <v>786</v>
      </c>
      <c r="C836" s="51">
        <v>0.20485413058875102</v>
      </c>
      <c r="D836" s="52">
        <v>111</v>
      </c>
      <c r="E836" s="53">
        <v>0.67625899280575541</v>
      </c>
      <c r="G836" s="2"/>
      <c r="L836" s="5"/>
      <c r="O836" s="2"/>
    </row>
    <row r="837" spans="2:15" x14ac:dyDescent="0.2">
      <c r="B837" s="50">
        <v>1386</v>
      </c>
      <c r="C837" s="51">
        <v>0.45600706822791626</v>
      </c>
      <c r="D837" s="52">
        <v>111</v>
      </c>
      <c r="E837" s="53">
        <v>0.46043165467625902</v>
      </c>
      <c r="G837" s="2"/>
      <c r="L837" s="5"/>
      <c r="O837" s="2"/>
    </row>
    <row r="838" spans="2:15" x14ac:dyDescent="0.2">
      <c r="B838" s="50">
        <v>1347</v>
      </c>
      <c r="C838" s="51">
        <v>0.46188082970257527</v>
      </c>
      <c r="D838" s="52">
        <v>111</v>
      </c>
      <c r="E838" s="53">
        <v>0.57553956834532372</v>
      </c>
      <c r="G838" s="2"/>
      <c r="L838" s="5"/>
      <c r="O838" s="2"/>
    </row>
    <row r="839" spans="2:15" x14ac:dyDescent="0.2">
      <c r="B839" s="50">
        <v>1389</v>
      </c>
      <c r="C839" s="51">
        <v>0.49803017961693707</v>
      </c>
      <c r="D839" s="52">
        <v>111</v>
      </c>
      <c r="E839" s="53">
        <v>0.47482014388489208</v>
      </c>
      <c r="G839" s="2"/>
      <c r="L839" s="5"/>
      <c r="O839" s="2"/>
    </row>
    <row r="840" spans="2:15" x14ac:dyDescent="0.2">
      <c r="B840" s="50">
        <v>1391</v>
      </c>
      <c r="C840" s="51">
        <v>0.81396478817534512</v>
      </c>
      <c r="D840" s="52">
        <v>111</v>
      </c>
      <c r="E840" s="53">
        <v>0.2733812949640288</v>
      </c>
      <c r="G840" s="2"/>
      <c r="L840" s="5"/>
      <c r="O840" s="2"/>
    </row>
    <row r="841" spans="2:15" x14ac:dyDescent="0.2">
      <c r="B841" s="50">
        <v>1485</v>
      </c>
      <c r="C841" s="51">
        <v>0.13205168096653874</v>
      </c>
      <c r="D841" s="52">
        <v>112</v>
      </c>
      <c r="E841" s="53">
        <v>0.82733812949640284</v>
      </c>
      <c r="G841" s="2"/>
      <c r="L841" s="5"/>
      <c r="O841" s="2"/>
    </row>
    <row r="842" spans="2:15" x14ac:dyDescent="0.2">
      <c r="B842" s="50">
        <v>1484</v>
      </c>
      <c r="C842" s="51">
        <v>0.19238149904708357</v>
      </c>
      <c r="D842" s="52">
        <v>112</v>
      </c>
      <c r="E842" s="53">
        <v>0.76978417266187049</v>
      </c>
      <c r="G842" s="2"/>
      <c r="L842" s="5"/>
      <c r="O842" s="2"/>
    </row>
    <row r="843" spans="2:15" x14ac:dyDescent="0.2">
      <c r="B843" s="50">
        <v>1337</v>
      </c>
      <c r="C843" s="51">
        <v>0.26761851389597879</v>
      </c>
      <c r="D843" s="52">
        <v>112</v>
      </c>
      <c r="E843" s="53">
        <v>0.69784172661870503</v>
      </c>
      <c r="G843" s="2"/>
      <c r="L843" s="5"/>
      <c r="O843" s="2"/>
    </row>
    <row r="844" spans="2:15" x14ac:dyDescent="0.2">
      <c r="B844" s="50">
        <v>1340</v>
      </c>
      <c r="C844" s="51">
        <v>0.26916331628494583</v>
      </c>
      <c r="D844" s="52">
        <v>112</v>
      </c>
      <c r="E844" s="53">
        <v>0.71223021582733814</v>
      </c>
      <c r="G844" s="2"/>
      <c r="L844" s="5"/>
      <c r="O844" s="2"/>
    </row>
    <row r="845" spans="2:15" x14ac:dyDescent="0.2">
      <c r="B845" s="50">
        <v>1341</v>
      </c>
      <c r="C845" s="51">
        <v>0.28592609539119951</v>
      </c>
      <c r="D845" s="52">
        <v>112</v>
      </c>
      <c r="E845" s="53">
        <v>0.69784172661870503</v>
      </c>
      <c r="G845" s="2"/>
      <c r="L845" s="5"/>
      <c r="O845" s="2"/>
    </row>
    <row r="846" spans="2:15" x14ac:dyDescent="0.2">
      <c r="B846" s="50">
        <v>1338</v>
      </c>
      <c r="C846" s="51">
        <v>0.28814267925559556</v>
      </c>
      <c r="D846" s="52">
        <v>112</v>
      </c>
      <c r="E846" s="53">
        <v>0.67625899280575541</v>
      </c>
      <c r="G846" s="2"/>
      <c r="L846" s="5"/>
      <c r="O846" s="2"/>
    </row>
    <row r="847" spans="2:15" x14ac:dyDescent="0.2">
      <c r="B847" s="50">
        <v>1339</v>
      </c>
      <c r="C847" s="51">
        <v>0.2998900393957461</v>
      </c>
      <c r="D847" s="52">
        <v>112</v>
      </c>
      <c r="E847" s="53">
        <v>0.65467625899280579</v>
      </c>
      <c r="G847" s="2"/>
      <c r="L847" s="5"/>
      <c r="O847" s="2"/>
    </row>
    <row r="848" spans="2:15" x14ac:dyDescent="0.2">
      <c r="B848" s="50">
        <v>1379</v>
      </c>
      <c r="C848" s="51">
        <v>0.30033787552649105</v>
      </c>
      <c r="D848" s="52">
        <v>112</v>
      </c>
      <c r="E848" s="53">
        <v>0.59712230215827333</v>
      </c>
      <c r="G848" s="2"/>
      <c r="L848" s="5"/>
      <c r="O848" s="2"/>
    </row>
    <row r="849" spans="2:15" x14ac:dyDescent="0.2">
      <c r="B849" s="50">
        <v>1382</v>
      </c>
      <c r="C849" s="51">
        <v>0.30743710530417312</v>
      </c>
      <c r="D849" s="52">
        <v>112</v>
      </c>
      <c r="E849" s="53">
        <v>0.69064748201438853</v>
      </c>
      <c r="G849" s="2"/>
      <c r="L849" s="5"/>
      <c r="O849" s="2"/>
    </row>
    <row r="850" spans="2:15" x14ac:dyDescent="0.2">
      <c r="B850" s="50">
        <v>1380</v>
      </c>
      <c r="C850" s="51">
        <v>0.3194328109410941</v>
      </c>
      <c r="D850" s="52">
        <v>112</v>
      </c>
      <c r="E850" s="53">
        <v>0.58992805755395683</v>
      </c>
      <c r="G850" s="2"/>
      <c r="L850" s="5"/>
      <c r="O850" s="2"/>
    </row>
    <row r="851" spans="2:15" x14ac:dyDescent="0.2">
      <c r="B851" s="50">
        <v>1383</v>
      </c>
      <c r="C851" s="51">
        <v>0.32707442955666055</v>
      </c>
      <c r="D851" s="52">
        <v>112</v>
      </c>
      <c r="E851" s="53">
        <v>0.6690647482014388</v>
      </c>
      <c r="G851" s="2"/>
      <c r="L851" s="5"/>
      <c r="O851" s="2"/>
    </row>
    <row r="852" spans="2:15" x14ac:dyDescent="0.2">
      <c r="B852" s="50">
        <v>1381</v>
      </c>
      <c r="C852" s="51">
        <v>0.3298008781634062</v>
      </c>
      <c r="D852" s="52">
        <v>112</v>
      </c>
      <c r="E852" s="53">
        <v>0.58992805755395683</v>
      </c>
      <c r="G852" s="2"/>
      <c r="L852" s="5"/>
      <c r="O852" s="2"/>
    </row>
    <row r="853" spans="2:15" x14ac:dyDescent="0.2">
      <c r="B853" s="50">
        <v>1342</v>
      </c>
      <c r="C853" s="51">
        <v>0.33472572456906224</v>
      </c>
      <c r="D853" s="52">
        <v>112</v>
      </c>
      <c r="E853" s="53">
        <v>0.57553956834532372</v>
      </c>
      <c r="G853" s="2"/>
      <c r="L853" s="5"/>
      <c r="O853" s="2"/>
    </row>
    <row r="854" spans="2:15" x14ac:dyDescent="0.2">
      <c r="B854" s="50">
        <v>1384</v>
      </c>
      <c r="C854" s="51">
        <v>0.36555583499220612</v>
      </c>
      <c r="D854" s="52">
        <v>112</v>
      </c>
      <c r="E854" s="53">
        <v>0.58273381294964033</v>
      </c>
      <c r="G854" s="2"/>
      <c r="L854" s="5"/>
      <c r="O854" s="2"/>
    </row>
    <row r="855" spans="2:15" x14ac:dyDescent="0.2">
      <c r="B855" s="50">
        <v>1385</v>
      </c>
      <c r="C855" s="51">
        <v>0.40253072408036938</v>
      </c>
      <c r="D855" s="52">
        <v>112</v>
      </c>
      <c r="E855" s="53">
        <v>0.56834532374100721</v>
      </c>
      <c r="G855" s="2"/>
      <c r="L855" s="5"/>
      <c r="O855" s="2"/>
    </row>
    <row r="856" spans="2:15" x14ac:dyDescent="0.2">
      <c r="B856" s="50">
        <v>268</v>
      </c>
      <c r="C856" s="51">
        <v>8.0631152689070951E-2</v>
      </c>
      <c r="D856" s="52">
        <v>113</v>
      </c>
      <c r="E856" s="53">
        <v>0.69064748201438853</v>
      </c>
      <c r="G856" s="2"/>
      <c r="L856" s="5"/>
      <c r="O856" s="2"/>
    </row>
    <row r="857" spans="2:15" x14ac:dyDescent="0.2">
      <c r="B857" s="50">
        <v>330</v>
      </c>
      <c r="C857" s="51">
        <v>8.1603584482312197E-2</v>
      </c>
      <c r="D857" s="52">
        <v>113</v>
      </c>
      <c r="E857" s="53">
        <v>0.64028776978417268</v>
      </c>
      <c r="G857" s="2"/>
      <c r="L857" s="5"/>
      <c r="O857" s="2"/>
    </row>
    <row r="858" spans="2:15" x14ac:dyDescent="0.2">
      <c r="B858" s="50">
        <v>1488</v>
      </c>
      <c r="C858" s="51">
        <v>0.13061323802757629</v>
      </c>
      <c r="D858" s="52">
        <v>113</v>
      </c>
      <c r="E858" s="53">
        <v>0.82014388489208634</v>
      </c>
      <c r="G858" s="2"/>
      <c r="L858" s="5"/>
      <c r="O858" s="2"/>
    </row>
    <row r="859" spans="2:15" x14ac:dyDescent="0.2">
      <c r="B859" s="50">
        <v>1634</v>
      </c>
      <c r="C859" s="51">
        <v>0.1873913282793177</v>
      </c>
      <c r="D859" s="52">
        <v>113</v>
      </c>
      <c r="E859" s="53">
        <v>0.71942446043165464</v>
      </c>
      <c r="G859" s="2"/>
      <c r="L859" s="5"/>
      <c r="O859" s="2"/>
    </row>
    <row r="860" spans="2:15" x14ac:dyDescent="0.2">
      <c r="B860" s="50">
        <v>839</v>
      </c>
      <c r="C860" s="51">
        <v>0.21692965875535442</v>
      </c>
      <c r="D860" s="52">
        <v>113</v>
      </c>
      <c r="E860" s="53">
        <v>0.67625899280575541</v>
      </c>
      <c r="G860" s="2"/>
      <c r="L860" s="5"/>
      <c r="O860" s="2"/>
    </row>
    <row r="861" spans="2:15" x14ac:dyDescent="0.2">
      <c r="B861" s="50">
        <v>1597</v>
      </c>
      <c r="C861" s="51">
        <v>0.11739165578863497</v>
      </c>
      <c r="D861" s="52">
        <v>114</v>
      </c>
      <c r="E861" s="53">
        <v>0.82733812949640284</v>
      </c>
      <c r="G861" s="2"/>
      <c r="L861" s="5"/>
      <c r="O861" s="2"/>
    </row>
    <row r="862" spans="2:15" x14ac:dyDescent="0.2">
      <c r="B862" s="50">
        <v>1523</v>
      </c>
      <c r="C862" s="51">
        <v>0.12086975467843364</v>
      </c>
      <c r="D862" s="52">
        <v>114</v>
      </c>
      <c r="E862" s="53">
        <v>0.82733812949640284</v>
      </c>
      <c r="G862" s="2"/>
      <c r="L862" s="5"/>
      <c r="O862" s="2"/>
    </row>
    <row r="863" spans="2:15" x14ac:dyDescent="0.2">
      <c r="B863" s="50">
        <v>1561</v>
      </c>
      <c r="C863" s="51">
        <v>0.1336924320044004</v>
      </c>
      <c r="D863" s="52">
        <v>114</v>
      </c>
      <c r="E863" s="53">
        <v>0.82014388489208634</v>
      </c>
      <c r="G863" s="2"/>
      <c r="L863" s="5"/>
      <c r="O863" s="2"/>
    </row>
    <row r="864" spans="2:15" x14ac:dyDescent="0.2">
      <c r="B864" s="50">
        <v>1598</v>
      </c>
      <c r="C864" s="51">
        <v>0.14050848375410629</v>
      </c>
      <c r="D864" s="52">
        <v>114</v>
      </c>
      <c r="E864" s="53">
        <v>0.82733812949640284</v>
      </c>
      <c r="G864" s="2"/>
      <c r="L864" s="5"/>
      <c r="O864" s="2"/>
    </row>
    <row r="865" spans="2:15" x14ac:dyDescent="0.2">
      <c r="B865" s="50">
        <v>1522</v>
      </c>
      <c r="C865" s="51">
        <v>0.17628464990082804</v>
      </c>
      <c r="D865" s="52">
        <v>114</v>
      </c>
      <c r="E865" s="53">
        <v>0.76978417266187049</v>
      </c>
      <c r="G865" s="2"/>
      <c r="L865" s="5"/>
      <c r="O865" s="2"/>
    </row>
    <row r="866" spans="2:15" x14ac:dyDescent="0.2">
      <c r="B866" s="50">
        <v>989</v>
      </c>
      <c r="C866" s="51">
        <v>0.47374688498205331</v>
      </c>
      <c r="D866" s="52">
        <v>114</v>
      </c>
      <c r="E866" s="53">
        <v>0.22302158273381295</v>
      </c>
      <c r="G866" s="2"/>
      <c r="L866" s="5"/>
      <c r="O866" s="2"/>
    </row>
    <row r="867" spans="2:15" x14ac:dyDescent="0.2">
      <c r="B867" s="50">
        <v>617</v>
      </c>
      <c r="C867" s="51">
        <v>0.62618681282077593</v>
      </c>
      <c r="D867" s="52">
        <v>114</v>
      </c>
      <c r="E867" s="53">
        <v>0.17266187050359713</v>
      </c>
      <c r="G867" s="2"/>
      <c r="L867" s="5"/>
      <c r="O867" s="2"/>
    </row>
    <row r="868" spans="2:15" x14ac:dyDescent="0.2">
      <c r="B868" s="50">
        <v>560</v>
      </c>
      <c r="C868" s="51">
        <v>0.63255278669056103</v>
      </c>
      <c r="D868" s="52">
        <v>114</v>
      </c>
      <c r="E868" s="53">
        <v>0.17266187050359713</v>
      </c>
      <c r="G868" s="2"/>
      <c r="L868" s="5"/>
      <c r="O868" s="2"/>
    </row>
    <row r="869" spans="2:15" x14ac:dyDescent="0.2">
      <c r="B869" s="50">
        <v>502</v>
      </c>
      <c r="C869" s="51">
        <v>0.64184062562133604</v>
      </c>
      <c r="D869" s="52">
        <v>114</v>
      </c>
      <c r="E869" s="53">
        <v>0.17266187050359713</v>
      </c>
      <c r="G869" s="2"/>
      <c r="L869" s="5"/>
      <c r="O869" s="2"/>
    </row>
    <row r="870" spans="2:15" x14ac:dyDescent="0.2">
      <c r="B870" s="50">
        <v>1526</v>
      </c>
      <c r="C870" s="51">
        <v>0.12507403124003225</v>
      </c>
      <c r="D870" s="52">
        <v>115</v>
      </c>
      <c r="E870" s="53">
        <v>0.82014388489208634</v>
      </c>
      <c r="G870" s="2"/>
      <c r="L870" s="5"/>
      <c r="O870" s="2"/>
    </row>
    <row r="871" spans="2:15" x14ac:dyDescent="0.2">
      <c r="B871" s="50">
        <v>683</v>
      </c>
      <c r="C871" s="51">
        <v>0.12952011411453845</v>
      </c>
      <c r="D871" s="52">
        <v>115</v>
      </c>
      <c r="E871" s="53">
        <v>0.74100719424460426</v>
      </c>
      <c r="G871" s="2"/>
      <c r="L871" s="5"/>
      <c r="O871" s="2"/>
    </row>
    <row r="872" spans="2:15" x14ac:dyDescent="0.2">
      <c r="B872" s="50">
        <v>627</v>
      </c>
      <c r="C872" s="51">
        <v>0.12956972236307829</v>
      </c>
      <c r="D872" s="52">
        <v>115</v>
      </c>
      <c r="E872" s="53">
        <v>0.74100719424460426</v>
      </c>
      <c r="G872" s="2"/>
      <c r="L872" s="5"/>
      <c r="O872" s="2"/>
    </row>
    <row r="873" spans="2:15" x14ac:dyDescent="0.2">
      <c r="B873" s="50">
        <v>570</v>
      </c>
      <c r="C873" s="51">
        <v>0.1296518291982498</v>
      </c>
      <c r="D873" s="52">
        <v>115</v>
      </c>
      <c r="E873" s="53">
        <v>0.73381294964028776</v>
      </c>
      <c r="G873" s="2"/>
      <c r="L873" s="5"/>
      <c r="O873" s="2"/>
    </row>
    <row r="874" spans="2:15" x14ac:dyDescent="0.2">
      <c r="B874" s="50">
        <v>512</v>
      </c>
      <c r="C874" s="51">
        <v>0.13219130107600785</v>
      </c>
      <c r="D874" s="52">
        <v>115</v>
      </c>
      <c r="E874" s="53">
        <v>0.73381294964028776</v>
      </c>
      <c r="G874" s="2"/>
      <c r="L874" s="5"/>
      <c r="O874" s="2"/>
    </row>
    <row r="875" spans="2:15" x14ac:dyDescent="0.2">
      <c r="B875" s="50">
        <v>684</v>
      </c>
      <c r="C875" s="51">
        <v>0.14576394223347133</v>
      </c>
      <c r="D875" s="52">
        <v>115</v>
      </c>
      <c r="E875" s="53">
        <v>0.74100719424460426</v>
      </c>
      <c r="G875" s="2"/>
      <c r="L875" s="5"/>
      <c r="O875" s="2"/>
    </row>
    <row r="876" spans="2:15" x14ac:dyDescent="0.2">
      <c r="B876" s="50">
        <v>628</v>
      </c>
      <c r="C876" s="51">
        <v>0.14591895422086043</v>
      </c>
      <c r="D876" s="52">
        <v>115</v>
      </c>
      <c r="E876" s="53">
        <v>0.74100719424460426</v>
      </c>
      <c r="G876" s="2"/>
      <c r="L876" s="5"/>
      <c r="O876" s="2"/>
    </row>
    <row r="877" spans="2:15" x14ac:dyDescent="0.2">
      <c r="B877" s="50">
        <v>571</v>
      </c>
      <c r="C877" s="51">
        <v>0.1460542231215447</v>
      </c>
      <c r="D877" s="52">
        <v>115</v>
      </c>
      <c r="E877" s="53">
        <v>0.73381294964028776</v>
      </c>
      <c r="G877" s="2"/>
      <c r="L877" s="5"/>
      <c r="O877" s="2"/>
    </row>
    <row r="878" spans="2:15" x14ac:dyDescent="0.2">
      <c r="B878" s="50">
        <v>513</v>
      </c>
      <c r="C878" s="51">
        <v>0.14894793037438792</v>
      </c>
      <c r="D878" s="52">
        <v>115</v>
      </c>
      <c r="E878" s="53">
        <v>0.73381294964028776</v>
      </c>
      <c r="G878" s="2"/>
      <c r="L878" s="5"/>
      <c r="O878" s="2"/>
    </row>
    <row r="879" spans="2:15" x14ac:dyDescent="0.2">
      <c r="B879" s="50">
        <v>739</v>
      </c>
      <c r="C879" s="51">
        <v>0.14917514089486394</v>
      </c>
      <c r="D879" s="52">
        <v>115</v>
      </c>
      <c r="E879" s="53">
        <v>0.74100719424460426</v>
      </c>
      <c r="G879" s="2"/>
      <c r="L879" s="5"/>
      <c r="O879" s="2"/>
    </row>
    <row r="880" spans="2:15" x14ac:dyDescent="0.2">
      <c r="B880" s="50">
        <v>793</v>
      </c>
      <c r="C880" s="51">
        <v>0.15008608497180231</v>
      </c>
      <c r="D880" s="52">
        <v>115</v>
      </c>
      <c r="E880" s="53">
        <v>0.76978417266187049</v>
      </c>
      <c r="G880" s="2"/>
      <c r="L880" s="5"/>
      <c r="O880" s="2"/>
    </row>
    <row r="881" spans="2:15" x14ac:dyDescent="0.2">
      <c r="B881" s="50">
        <v>1312</v>
      </c>
      <c r="C881" s="51">
        <v>0.13307499221055352</v>
      </c>
      <c r="D881" s="52">
        <v>116</v>
      </c>
      <c r="E881" s="53">
        <v>0.69784172661870503</v>
      </c>
      <c r="G881" s="2"/>
      <c r="L881" s="5"/>
      <c r="O881" s="2"/>
    </row>
    <row r="882" spans="2:15" x14ac:dyDescent="0.2">
      <c r="B882" s="50">
        <v>1963</v>
      </c>
      <c r="C882" s="51">
        <v>0.1373652924030504</v>
      </c>
      <c r="D882" s="52">
        <v>116</v>
      </c>
      <c r="E882" s="53">
        <v>0.50359712230215825</v>
      </c>
      <c r="G882" s="2"/>
      <c r="L882" s="5"/>
      <c r="O882" s="2"/>
    </row>
    <row r="883" spans="2:15" x14ac:dyDescent="0.2">
      <c r="B883" s="50">
        <v>1354</v>
      </c>
      <c r="C883" s="51">
        <v>0.14309665978527808</v>
      </c>
      <c r="D883" s="52">
        <v>116</v>
      </c>
      <c r="E883" s="53">
        <v>0.69784172661870503</v>
      </c>
      <c r="G883" s="2"/>
      <c r="L883" s="5"/>
      <c r="O883" s="2"/>
    </row>
    <row r="884" spans="2:15" x14ac:dyDescent="0.2">
      <c r="B884" s="50">
        <v>1985</v>
      </c>
      <c r="C884" s="51">
        <v>0.14467137726394275</v>
      </c>
      <c r="D884" s="52">
        <v>116</v>
      </c>
      <c r="E884" s="53">
        <v>0.49640287769784175</v>
      </c>
      <c r="G884" s="2"/>
      <c r="L884" s="5"/>
      <c r="O884" s="2"/>
    </row>
    <row r="885" spans="2:15" x14ac:dyDescent="0.2">
      <c r="B885" s="50">
        <v>1365</v>
      </c>
      <c r="C885" s="51">
        <v>0.15376735420086785</v>
      </c>
      <c r="D885" s="52">
        <v>116</v>
      </c>
      <c r="E885" s="53">
        <v>0.85611510791366907</v>
      </c>
      <c r="G885" s="2"/>
      <c r="L885" s="5"/>
      <c r="O885" s="2"/>
    </row>
    <row r="886" spans="2:15" x14ac:dyDescent="0.2">
      <c r="B886" s="50">
        <v>1323</v>
      </c>
      <c r="C886" s="51">
        <v>0.16925732666331372</v>
      </c>
      <c r="D886" s="52">
        <v>116</v>
      </c>
      <c r="E886" s="53">
        <v>0.79856115107913672</v>
      </c>
      <c r="G886" s="2"/>
      <c r="L886" s="5"/>
      <c r="O886" s="2"/>
    </row>
    <row r="887" spans="2:15" x14ac:dyDescent="0.2">
      <c r="B887" s="50">
        <v>1225</v>
      </c>
      <c r="C887" s="51">
        <v>0.17382996151099506</v>
      </c>
      <c r="D887" s="52">
        <v>116</v>
      </c>
      <c r="E887" s="53">
        <v>0.69784172661870503</v>
      </c>
      <c r="G887" s="2"/>
      <c r="L887" s="5"/>
      <c r="O887" s="2"/>
    </row>
    <row r="888" spans="2:15" x14ac:dyDescent="0.2">
      <c r="B888" s="50">
        <v>1406</v>
      </c>
      <c r="C888" s="51">
        <v>0.18597175197054061</v>
      </c>
      <c r="D888" s="52">
        <v>116</v>
      </c>
      <c r="E888" s="53">
        <v>0.74100719424460426</v>
      </c>
      <c r="G888" s="2"/>
      <c r="L888" s="5"/>
      <c r="O888" s="2"/>
    </row>
    <row r="889" spans="2:15" x14ac:dyDescent="0.2">
      <c r="B889" s="50">
        <v>1446</v>
      </c>
      <c r="C889" s="51">
        <v>0.19321926057117333</v>
      </c>
      <c r="D889" s="52">
        <v>116</v>
      </c>
      <c r="E889" s="53">
        <v>0.73381294964028776</v>
      </c>
      <c r="G889" s="2"/>
      <c r="L889" s="5"/>
      <c r="O889" s="2"/>
    </row>
    <row r="890" spans="2:15" x14ac:dyDescent="0.2">
      <c r="B890" s="50">
        <v>1364</v>
      </c>
      <c r="C890" s="51">
        <v>0.23189406332059892</v>
      </c>
      <c r="D890" s="52">
        <v>116</v>
      </c>
      <c r="E890" s="53">
        <v>0.74100719424460426</v>
      </c>
      <c r="G890" s="2"/>
      <c r="L890" s="5"/>
      <c r="O890" s="2"/>
    </row>
    <row r="891" spans="2:15" x14ac:dyDescent="0.2">
      <c r="B891" s="50">
        <v>1322</v>
      </c>
      <c r="C891" s="51">
        <v>0.25171423355334299</v>
      </c>
      <c r="D891" s="52">
        <v>116</v>
      </c>
      <c r="E891" s="53">
        <v>0.71942446043165464</v>
      </c>
      <c r="G891" s="2"/>
      <c r="L891" s="5"/>
      <c r="O891" s="2"/>
    </row>
    <row r="892" spans="2:15" x14ac:dyDescent="0.2">
      <c r="B892" s="50">
        <v>1405</v>
      </c>
      <c r="C892" s="51">
        <v>0.26253622845910407</v>
      </c>
      <c r="D892" s="52">
        <v>116</v>
      </c>
      <c r="E892" s="53">
        <v>0.6690647482014388</v>
      </c>
      <c r="G892" s="2"/>
      <c r="L892" s="5"/>
      <c r="O892" s="2"/>
    </row>
    <row r="893" spans="2:15" x14ac:dyDescent="0.2">
      <c r="B893" s="50">
        <v>1445</v>
      </c>
      <c r="C893" s="51">
        <v>0.26811626259542654</v>
      </c>
      <c r="D893" s="52">
        <v>116</v>
      </c>
      <c r="E893" s="53">
        <v>0.67625899280575541</v>
      </c>
      <c r="G893" s="2"/>
      <c r="L893" s="5"/>
      <c r="O893" s="2"/>
    </row>
    <row r="894" spans="2:15" x14ac:dyDescent="0.2">
      <c r="B894" s="50">
        <v>1475</v>
      </c>
      <c r="C894" s="51">
        <v>0.31324363413730505</v>
      </c>
      <c r="D894" s="52">
        <v>116</v>
      </c>
      <c r="E894" s="53">
        <v>0.73381294964028776</v>
      </c>
      <c r="G894" s="2"/>
      <c r="L894" s="5"/>
      <c r="O894" s="2"/>
    </row>
    <row r="895" spans="2:15" x14ac:dyDescent="0.2">
      <c r="B895" s="50">
        <v>1396</v>
      </c>
      <c r="C895" s="51">
        <v>0.47322406589770227</v>
      </c>
      <c r="D895" s="52">
        <v>116</v>
      </c>
      <c r="E895" s="53">
        <v>0.64028776978417268</v>
      </c>
      <c r="G895" s="2"/>
      <c r="L895" s="5"/>
      <c r="O895" s="2"/>
    </row>
    <row r="896" spans="2:15" x14ac:dyDescent="0.2">
      <c r="B896" s="50">
        <v>782</v>
      </c>
      <c r="C896" s="51">
        <v>0.59189128291886195</v>
      </c>
      <c r="D896" s="52">
        <v>116</v>
      </c>
      <c r="E896" s="53">
        <v>0.2446043165467626</v>
      </c>
      <c r="G896" s="2"/>
      <c r="L896" s="5"/>
      <c r="O896" s="2"/>
    </row>
    <row r="897" spans="2:15" x14ac:dyDescent="0.2">
      <c r="B897" s="50">
        <v>728</v>
      </c>
      <c r="C897" s="51">
        <v>0.60039406257093308</v>
      </c>
      <c r="D897" s="52">
        <v>116</v>
      </c>
      <c r="E897" s="53">
        <v>0.2446043165467626</v>
      </c>
      <c r="G897" s="2"/>
      <c r="L897" s="5"/>
      <c r="O897" s="2"/>
    </row>
    <row r="898" spans="2:15" x14ac:dyDescent="0.2">
      <c r="B898" s="50">
        <v>673</v>
      </c>
      <c r="C898" s="51">
        <v>0.61658700328905669</v>
      </c>
      <c r="D898" s="52">
        <v>116</v>
      </c>
      <c r="E898" s="53">
        <v>0.2446043165467626</v>
      </c>
      <c r="G898" s="2"/>
      <c r="L898" s="5"/>
      <c r="O898" s="2"/>
    </row>
    <row r="899" spans="2:15" x14ac:dyDescent="0.2">
      <c r="B899" s="50">
        <v>70</v>
      </c>
      <c r="C899" s="51">
        <v>0.6830841481603781</v>
      </c>
      <c r="D899" s="52">
        <v>116</v>
      </c>
      <c r="E899" s="53">
        <v>0.35971223021582732</v>
      </c>
      <c r="G899" s="2"/>
      <c r="L899" s="5"/>
      <c r="O899" s="2"/>
    </row>
    <row r="900" spans="2:15" x14ac:dyDescent="0.2">
      <c r="B900" s="50">
        <v>2206</v>
      </c>
      <c r="C900" s="51">
        <v>0.6830841481603781</v>
      </c>
      <c r="D900" s="52">
        <v>116</v>
      </c>
      <c r="E900" s="53">
        <v>0.35971223021582732</v>
      </c>
      <c r="G900" s="2"/>
      <c r="L900" s="5"/>
      <c r="O900" s="2"/>
    </row>
    <row r="901" spans="2:15" x14ac:dyDescent="0.2">
      <c r="B901" s="50">
        <v>1368</v>
      </c>
      <c r="C901" s="51">
        <v>0.14816602962506908</v>
      </c>
      <c r="D901" s="52">
        <v>117</v>
      </c>
      <c r="E901" s="53">
        <v>0.82014388489208634</v>
      </c>
      <c r="G901" s="2"/>
      <c r="L901" s="5"/>
      <c r="O901" s="2"/>
    </row>
    <row r="902" spans="2:15" x14ac:dyDescent="0.2">
      <c r="B902" s="50">
        <v>1409</v>
      </c>
      <c r="C902" s="51">
        <v>0.18600620543074531</v>
      </c>
      <c r="D902" s="52">
        <v>117</v>
      </c>
      <c r="E902" s="53">
        <v>0.78417266187050361</v>
      </c>
      <c r="G902" s="2"/>
      <c r="L902" s="5"/>
      <c r="O902" s="2"/>
    </row>
    <row r="903" spans="2:15" x14ac:dyDescent="0.2">
      <c r="B903" s="50">
        <v>1449</v>
      </c>
      <c r="C903" s="51">
        <v>0.19003571401669994</v>
      </c>
      <c r="D903" s="52">
        <v>117</v>
      </c>
      <c r="E903" s="53">
        <v>0.79136690647482011</v>
      </c>
      <c r="G903" s="2"/>
      <c r="L903" s="5"/>
      <c r="O903" s="2"/>
    </row>
    <row r="904" spans="2:15" x14ac:dyDescent="0.2">
      <c r="B904" s="50">
        <v>2186</v>
      </c>
      <c r="C904" s="51">
        <v>0.21833441175841939</v>
      </c>
      <c r="D904" s="52">
        <v>118</v>
      </c>
      <c r="E904" s="53">
        <v>0.57553956834532372</v>
      </c>
      <c r="G904" s="2"/>
      <c r="L904" s="5"/>
      <c r="O904" s="2"/>
    </row>
    <row r="905" spans="2:15" x14ac:dyDescent="0.2">
      <c r="B905" s="50">
        <v>2177</v>
      </c>
      <c r="C905" s="51">
        <v>0.2374737055931776</v>
      </c>
      <c r="D905" s="52">
        <v>118</v>
      </c>
      <c r="E905" s="53">
        <v>0.58273381294964033</v>
      </c>
      <c r="G905" s="2"/>
      <c r="L905" s="5"/>
      <c r="O905" s="2"/>
    </row>
    <row r="906" spans="2:15" x14ac:dyDescent="0.2">
      <c r="B906" s="50">
        <v>2178</v>
      </c>
      <c r="C906" s="51">
        <v>0.24785450624584282</v>
      </c>
      <c r="D906" s="52">
        <v>118</v>
      </c>
      <c r="E906" s="53">
        <v>0.51798561151079137</v>
      </c>
      <c r="G906" s="2"/>
      <c r="L906" s="5"/>
      <c r="O906" s="2"/>
    </row>
    <row r="907" spans="2:15" x14ac:dyDescent="0.2">
      <c r="B907" s="50">
        <v>2147</v>
      </c>
      <c r="C907" s="51">
        <v>0.2654045066903763</v>
      </c>
      <c r="D907" s="52">
        <v>118</v>
      </c>
      <c r="E907" s="53">
        <v>0.5611510791366906</v>
      </c>
      <c r="G907" s="2"/>
      <c r="L907" s="5"/>
      <c r="O907" s="2"/>
    </row>
    <row r="908" spans="2:15" x14ac:dyDescent="0.2">
      <c r="B908" s="50">
        <v>2148</v>
      </c>
      <c r="C908" s="51">
        <v>0.27972116779054979</v>
      </c>
      <c r="D908" s="52">
        <v>118</v>
      </c>
      <c r="E908" s="53">
        <v>0.5611510791366906</v>
      </c>
      <c r="G908" s="2"/>
      <c r="L908" s="5"/>
      <c r="O908" s="2"/>
    </row>
    <row r="909" spans="2:15" x14ac:dyDescent="0.2">
      <c r="B909" s="50">
        <v>2136</v>
      </c>
      <c r="C909" s="51">
        <v>0.29774425935648852</v>
      </c>
      <c r="D909" s="52">
        <v>118</v>
      </c>
      <c r="E909" s="53">
        <v>0.5611510791366906</v>
      </c>
      <c r="G909" s="2"/>
      <c r="L909" s="5"/>
      <c r="O909" s="2"/>
    </row>
    <row r="910" spans="2:15" x14ac:dyDescent="0.2">
      <c r="B910" s="50">
        <v>2158</v>
      </c>
      <c r="C910" s="51">
        <v>0.30039950082333389</v>
      </c>
      <c r="D910" s="52">
        <v>118</v>
      </c>
      <c r="E910" s="53">
        <v>0.50359712230215825</v>
      </c>
      <c r="G910" s="2"/>
      <c r="L910" s="5"/>
      <c r="O910" s="2"/>
    </row>
    <row r="911" spans="2:15" x14ac:dyDescent="0.2">
      <c r="B911" s="50">
        <v>2159</v>
      </c>
      <c r="C911" s="51">
        <v>0.31283310164083922</v>
      </c>
      <c r="D911" s="52">
        <v>118</v>
      </c>
      <c r="E911" s="53">
        <v>0.50359712230215825</v>
      </c>
      <c r="G911" s="2"/>
      <c r="L911" s="5"/>
      <c r="O911" s="2"/>
    </row>
    <row r="912" spans="2:15" x14ac:dyDescent="0.2">
      <c r="B912" s="50">
        <v>2168</v>
      </c>
      <c r="C912" s="51">
        <v>0.32987906921557075</v>
      </c>
      <c r="D912" s="52">
        <v>118</v>
      </c>
      <c r="E912" s="53">
        <v>0.41726618705035973</v>
      </c>
      <c r="G912" s="2"/>
      <c r="L912" s="5"/>
      <c r="O912" s="2"/>
    </row>
    <row r="913" spans="2:15" x14ac:dyDescent="0.2">
      <c r="B913" s="50">
        <v>2169</v>
      </c>
      <c r="C913" s="51">
        <v>0.34236203320526559</v>
      </c>
      <c r="D913" s="52">
        <v>118</v>
      </c>
      <c r="E913" s="53">
        <v>0.41726618705035973</v>
      </c>
      <c r="G913" s="2"/>
      <c r="L913" s="5"/>
      <c r="O913" s="2"/>
    </row>
    <row r="914" spans="2:15" x14ac:dyDescent="0.2">
      <c r="B914" s="50">
        <v>939</v>
      </c>
      <c r="C914" s="51">
        <v>0.56188658353421572</v>
      </c>
      <c r="D914" s="52">
        <v>118</v>
      </c>
      <c r="E914" s="53">
        <v>0.30215827338129497</v>
      </c>
      <c r="G914" s="2"/>
      <c r="L914" s="5"/>
      <c r="O914" s="2"/>
    </row>
    <row r="915" spans="2:15" x14ac:dyDescent="0.2">
      <c r="B915" s="50">
        <v>270</v>
      </c>
      <c r="C915" s="51">
        <v>0.11939265158867485</v>
      </c>
      <c r="D915" s="52">
        <v>119</v>
      </c>
      <c r="E915" s="53">
        <v>0.64028776978417268</v>
      </c>
      <c r="G915" s="2"/>
      <c r="L915" s="5"/>
      <c r="O915" s="2"/>
    </row>
    <row r="916" spans="2:15" x14ac:dyDescent="0.2">
      <c r="B916" s="50">
        <v>332</v>
      </c>
      <c r="C916" s="51">
        <v>0.12017072220092606</v>
      </c>
      <c r="D916" s="52">
        <v>119</v>
      </c>
      <c r="E916" s="53">
        <v>0.64028776978417268</v>
      </c>
      <c r="G916" s="2"/>
      <c r="L916" s="5"/>
      <c r="O916" s="2"/>
    </row>
    <row r="917" spans="2:15" x14ac:dyDescent="0.2">
      <c r="B917" s="50">
        <v>393</v>
      </c>
      <c r="C917" s="51">
        <v>0.12648582031188293</v>
      </c>
      <c r="D917" s="52">
        <v>119</v>
      </c>
      <c r="E917" s="53">
        <v>0.73381294964028776</v>
      </c>
      <c r="G917" s="2"/>
      <c r="L917" s="5"/>
      <c r="O917" s="2"/>
    </row>
    <row r="918" spans="2:15" x14ac:dyDescent="0.2">
      <c r="B918" s="50">
        <v>453</v>
      </c>
      <c r="C918" s="51">
        <v>0.12843774260238072</v>
      </c>
      <c r="D918" s="52">
        <v>119</v>
      </c>
      <c r="E918" s="53">
        <v>0.73381294964028776</v>
      </c>
      <c r="G918" s="2"/>
      <c r="L918" s="5"/>
      <c r="O918" s="2"/>
    </row>
    <row r="919" spans="2:15" x14ac:dyDescent="0.2">
      <c r="B919" s="50">
        <v>394</v>
      </c>
      <c r="C919" s="51">
        <v>0.14328431555950849</v>
      </c>
      <c r="D919" s="52">
        <v>119</v>
      </c>
      <c r="E919" s="53">
        <v>0.73381294964028776</v>
      </c>
      <c r="G919" s="2"/>
      <c r="L919" s="5"/>
      <c r="O919" s="2"/>
    </row>
    <row r="920" spans="2:15" x14ac:dyDescent="0.2">
      <c r="B920" s="50">
        <v>454</v>
      </c>
      <c r="C920" s="51">
        <v>0.14525822712001446</v>
      </c>
      <c r="D920" s="52">
        <v>119</v>
      </c>
      <c r="E920" s="53">
        <v>0.73381294964028776</v>
      </c>
      <c r="G920" s="2"/>
      <c r="L920" s="5"/>
      <c r="O920" s="2"/>
    </row>
    <row r="921" spans="2:15" x14ac:dyDescent="0.2">
      <c r="B921" s="50">
        <v>2138</v>
      </c>
      <c r="C921" s="51">
        <v>0.55449250133683514</v>
      </c>
      <c r="D921" s="52">
        <v>119</v>
      </c>
      <c r="E921" s="53">
        <v>0.33812949640287771</v>
      </c>
      <c r="G921" s="2"/>
      <c r="L921" s="5"/>
      <c r="O921" s="2"/>
    </row>
    <row r="922" spans="2:15" x14ac:dyDescent="0.2">
      <c r="B922" s="50">
        <v>2006</v>
      </c>
      <c r="C922" s="51">
        <v>0.22489954470970908</v>
      </c>
      <c r="D922" s="52">
        <v>120</v>
      </c>
      <c r="E922" s="53">
        <v>0.43884892086330934</v>
      </c>
      <c r="G922" s="2"/>
      <c r="L922" s="5"/>
      <c r="O922" s="2"/>
    </row>
    <row r="923" spans="2:15" x14ac:dyDescent="0.2">
      <c r="B923" s="50">
        <v>2026</v>
      </c>
      <c r="C923" s="51">
        <v>0.26573809410980531</v>
      </c>
      <c r="D923" s="52">
        <v>120</v>
      </c>
      <c r="E923" s="53">
        <v>0.43884892086330934</v>
      </c>
      <c r="G923" s="2"/>
      <c r="L923" s="5"/>
      <c r="O923" s="2"/>
    </row>
    <row r="924" spans="2:15" x14ac:dyDescent="0.2">
      <c r="B924" s="50">
        <v>1596</v>
      </c>
      <c r="C924" s="51">
        <v>0.10404814481483504</v>
      </c>
      <c r="D924" s="52">
        <v>121</v>
      </c>
      <c r="E924" s="53">
        <v>0.83453237410071945</v>
      </c>
      <c r="G924" s="2"/>
      <c r="L924" s="5"/>
      <c r="O924" s="2"/>
    </row>
    <row r="925" spans="2:15" x14ac:dyDescent="0.2">
      <c r="B925" s="50">
        <v>1560</v>
      </c>
      <c r="C925" s="51">
        <v>0.11881699720568162</v>
      </c>
      <c r="D925" s="52">
        <v>121</v>
      </c>
      <c r="E925" s="53">
        <v>0.83453237410071945</v>
      </c>
      <c r="G925" s="2"/>
      <c r="L925" s="5"/>
      <c r="O925" s="2"/>
    </row>
    <row r="926" spans="2:15" x14ac:dyDescent="0.2">
      <c r="B926" s="50">
        <v>203</v>
      </c>
      <c r="C926" s="51">
        <v>0.1255531935344405</v>
      </c>
      <c r="D926" s="52">
        <v>121</v>
      </c>
      <c r="E926" s="53">
        <v>0.66187050359712229</v>
      </c>
      <c r="G926" s="2"/>
      <c r="L926" s="5"/>
      <c r="O926" s="2"/>
    </row>
    <row r="927" spans="2:15" x14ac:dyDescent="0.2">
      <c r="B927" s="50">
        <v>1595</v>
      </c>
      <c r="C927" s="51">
        <v>0.15475571991804193</v>
      </c>
      <c r="D927" s="52">
        <v>121</v>
      </c>
      <c r="E927" s="53">
        <v>0.79136690647482011</v>
      </c>
      <c r="G927" s="2"/>
      <c r="L927" s="5"/>
      <c r="O927" s="2"/>
    </row>
    <row r="928" spans="2:15" x14ac:dyDescent="0.2">
      <c r="B928" s="50">
        <v>1559</v>
      </c>
      <c r="C928" s="51">
        <v>0.17125157988686401</v>
      </c>
      <c r="D928" s="52">
        <v>121</v>
      </c>
      <c r="E928" s="53">
        <v>0.78417266187050361</v>
      </c>
      <c r="G928" s="2"/>
      <c r="L928" s="5"/>
      <c r="O928" s="2"/>
    </row>
    <row r="929" spans="2:15" x14ac:dyDescent="0.2">
      <c r="B929" s="50">
        <v>888</v>
      </c>
      <c r="C929" s="51">
        <v>0.56821313730755252</v>
      </c>
      <c r="D929" s="52">
        <v>121</v>
      </c>
      <c r="E929" s="53">
        <v>0.30215827338129497</v>
      </c>
      <c r="G929" s="2"/>
      <c r="L929" s="5"/>
      <c r="O929" s="2"/>
    </row>
    <row r="930" spans="2:15" x14ac:dyDescent="0.2">
      <c r="B930" s="50">
        <v>990</v>
      </c>
      <c r="C930" s="51">
        <v>0.18034082600326518</v>
      </c>
      <c r="D930" s="52">
        <v>122</v>
      </c>
      <c r="E930" s="53">
        <v>0.58273381294964033</v>
      </c>
      <c r="G930" s="2"/>
      <c r="L930" s="5"/>
      <c r="O930" s="2"/>
    </row>
    <row r="931" spans="2:15" x14ac:dyDescent="0.2">
      <c r="B931" s="50">
        <v>1495</v>
      </c>
      <c r="C931" s="51">
        <v>0.18241180123409717</v>
      </c>
      <c r="D931" s="52">
        <v>122</v>
      </c>
      <c r="E931" s="53">
        <v>0.61151079136690645</v>
      </c>
      <c r="G931" s="2"/>
      <c r="L931" s="5"/>
      <c r="O931" s="2"/>
    </row>
    <row r="932" spans="2:15" x14ac:dyDescent="0.2">
      <c r="B932" s="50">
        <v>1496</v>
      </c>
      <c r="C932" s="51">
        <v>0.23998381704946725</v>
      </c>
      <c r="D932" s="52">
        <v>122</v>
      </c>
      <c r="E932" s="53">
        <v>0.59712230215827333</v>
      </c>
      <c r="G932" s="2"/>
      <c r="L932" s="5"/>
      <c r="O932" s="2"/>
    </row>
    <row r="933" spans="2:15" x14ac:dyDescent="0.2">
      <c r="B933" s="50">
        <v>1674</v>
      </c>
      <c r="C933" s="51">
        <v>0.26337341783403412</v>
      </c>
      <c r="D933" s="52">
        <v>122</v>
      </c>
      <c r="E933" s="53">
        <v>0.52517985611510787</v>
      </c>
      <c r="G933" s="2"/>
      <c r="L933" s="5"/>
      <c r="O933" s="2"/>
    </row>
    <row r="934" spans="2:15" x14ac:dyDescent="0.2">
      <c r="B934" s="50">
        <v>1497</v>
      </c>
      <c r="C934" s="51">
        <v>0.2854130343482828</v>
      </c>
      <c r="D934" s="52">
        <v>122</v>
      </c>
      <c r="E934" s="53">
        <v>0.57553956834532372</v>
      </c>
      <c r="G934" s="2"/>
      <c r="L934" s="5"/>
      <c r="O934" s="2"/>
    </row>
    <row r="935" spans="2:15" x14ac:dyDescent="0.2">
      <c r="B935" s="50">
        <v>1498</v>
      </c>
      <c r="C935" s="51">
        <v>0.30512332337680848</v>
      </c>
      <c r="D935" s="52">
        <v>122</v>
      </c>
      <c r="E935" s="53">
        <v>0.56834532374100721</v>
      </c>
      <c r="G935" s="2"/>
      <c r="L935" s="5"/>
      <c r="O935" s="2"/>
    </row>
    <row r="936" spans="2:15" x14ac:dyDescent="0.2">
      <c r="B936" s="50">
        <v>1678</v>
      </c>
      <c r="C936" s="51">
        <v>0.43738167848832055</v>
      </c>
      <c r="D936" s="52">
        <v>122</v>
      </c>
      <c r="E936" s="53">
        <v>0.57553956834532372</v>
      </c>
      <c r="G936" s="2"/>
      <c r="L936" s="5"/>
      <c r="O936" s="2"/>
    </row>
    <row r="937" spans="2:15" x14ac:dyDescent="0.2">
      <c r="B937" s="50">
        <v>1464</v>
      </c>
      <c r="C937" s="51">
        <v>0.13597565923271193</v>
      </c>
      <c r="D937" s="52">
        <v>123</v>
      </c>
      <c r="E937" s="53">
        <v>0.30215827338129497</v>
      </c>
      <c r="G937" s="2"/>
      <c r="L937" s="5"/>
      <c r="O937" s="2"/>
    </row>
    <row r="938" spans="2:15" x14ac:dyDescent="0.2">
      <c r="B938" s="50">
        <v>1741</v>
      </c>
      <c r="C938" s="51">
        <v>0.19434274116606287</v>
      </c>
      <c r="D938" s="52">
        <v>123</v>
      </c>
      <c r="E938" s="53">
        <v>0.76258992805755399</v>
      </c>
      <c r="G938" s="2"/>
      <c r="L938" s="5"/>
      <c r="O938" s="2"/>
    </row>
    <row r="939" spans="2:15" x14ac:dyDescent="0.2">
      <c r="B939" s="50">
        <v>1831</v>
      </c>
      <c r="C939" s="51">
        <v>0.2957768529633551</v>
      </c>
      <c r="D939" s="52">
        <v>123</v>
      </c>
      <c r="E939" s="53">
        <v>0.6690647482014388</v>
      </c>
      <c r="G939" s="2"/>
      <c r="L939" s="5"/>
      <c r="O939" s="2"/>
    </row>
    <row r="940" spans="2:15" x14ac:dyDescent="0.2">
      <c r="B940" s="50">
        <v>1640</v>
      </c>
      <c r="C940" s="51">
        <v>0.30629496618346352</v>
      </c>
      <c r="D940" s="52">
        <v>123</v>
      </c>
      <c r="E940" s="53">
        <v>0.52517985611510787</v>
      </c>
      <c r="G940" s="2"/>
      <c r="L940" s="5"/>
      <c r="O940" s="2"/>
    </row>
    <row r="941" spans="2:15" x14ac:dyDescent="0.2">
      <c r="B941" s="50">
        <v>1772</v>
      </c>
      <c r="C941" s="51">
        <v>0.32816110559614997</v>
      </c>
      <c r="D941" s="52">
        <v>123</v>
      </c>
      <c r="E941" s="53">
        <v>0.66187050359712229</v>
      </c>
      <c r="G941" s="2"/>
      <c r="L941" s="5"/>
      <c r="O941" s="2"/>
    </row>
    <row r="942" spans="2:15" x14ac:dyDescent="0.2">
      <c r="B942" s="50">
        <v>1773</v>
      </c>
      <c r="C942" s="51">
        <v>0.3755487096822745</v>
      </c>
      <c r="D942" s="52">
        <v>123</v>
      </c>
      <c r="E942" s="53">
        <v>0.57553956834532372</v>
      </c>
      <c r="G942" s="2"/>
      <c r="L942" s="5"/>
      <c r="O942" s="2"/>
    </row>
    <row r="943" spans="2:15" x14ac:dyDescent="0.2">
      <c r="B943" s="50">
        <v>1709</v>
      </c>
      <c r="C943" s="51">
        <v>0.40310309039748082</v>
      </c>
      <c r="D943" s="52">
        <v>123</v>
      </c>
      <c r="E943" s="53">
        <v>0.58992805755395683</v>
      </c>
      <c r="G943" s="2"/>
      <c r="L943" s="5"/>
      <c r="O943" s="2"/>
    </row>
    <row r="944" spans="2:15" x14ac:dyDescent="0.2">
      <c r="B944" s="50">
        <v>1802</v>
      </c>
      <c r="C944" s="51">
        <v>0.42638062886103545</v>
      </c>
      <c r="D944" s="52">
        <v>123</v>
      </c>
      <c r="E944" s="53">
        <v>0.53237410071942448</v>
      </c>
      <c r="G944" s="2"/>
      <c r="L944" s="5"/>
      <c r="O944" s="2"/>
    </row>
    <row r="945" spans="2:15" x14ac:dyDescent="0.2">
      <c r="B945" s="50">
        <v>1710</v>
      </c>
      <c r="C945" s="51">
        <v>0.44580416210604523</v>
      </c>
      <c r="D945" s="52">
        <v>123</v>
      </c>
      <c r="E945" s="53">
        <v>0.51079136690647486</v>
      </c>
      <c r="G945" s="2"/>
      <c r="L945" s="5"/>
      <c r="O945" s="2"/>
    </row>
    <row r="946" spans="2:15" x14ac:dyDescent="0.2">
      <c r="B946" s="50">
        <v>264</v>
      </c>
      <c r="C946" s="51">
        <v>0.14470133672215213</v>
      </c>
      <c r="D946" s="52">
        <v>124</v>
      </c>
      <c r="E946" s="53">
        <v>0.70503597122302153</v>
      </c>
      <c r="G946" s="2"/>
      <c r="L946" s="5"/>
      <c r="O946" s="2"/>
    </row>
    <row r="947" spans="2:15" x14ac:dyDescent="0.2">
      <c r="B947" s="50">
        <v>326</v>
      </c>
      <c r="C947" s="51">
        <v>0.1465010944727374</v>
      </c>
      <c r="D947" s="52">
        <v>124</v>
      </c>
      <c r="E947" s="53">
        <v>0.70503597122302153</v>
      </c>
      <c r="G947" s="2"/>
      <c r="L947" s="5"/>
      <c r="O947" s="2"/>
    </row>
    <row r="948" spans="2:15" x14ac:dyDescent="0.2">
      <c r="B948" s="50">
        <v>1669</v>
      </c>
      <c r="C948" s="51">
        <v>0.15285968690946228</v>
      </c>
      <c r="D948" s="52">
        <v>124</v>
      </c>
      <c r="E948" s="53">
        <v>0.6690647482014388</v>
      </c>
      <c r="G948" s="2"/>
      <c r="L948" s="5"/>
      <c r="O948" s="2"/>
    </row>
    <row r="949" spans="2:15" x14ac:dyDescent="0.2">
      <c r="B949" s="50">
        <v>1670</v>
      </c>
      <c r="C949" s="51">
        <v>0.16379071024058312</v>
      </c>
      <c r="D949" s="52">
        <v>124</v>
      </c>
      <c r="E949" s="53">
        <v>0.6690647482014388</v>
      </c>
      <c r="G949" s="2"/>
      <c r="L949" s="5"/>
      <c r="O949" s="2"/>
    </row>
    <row r="950" spans="2:15" x14ac:dyDescent="0.2">
      <c r="B950" s="50">
        <v>1675</v>
      </c>
      <c r="C950" s="51">
        <v>0.17905228578768351</v>
      </c>
      <c r="D950" s="52">
        <v>124</v>
      </c>
      <c r="E950" s="53">
        <v>0.69064748201438853</v>
      </c>
      <c r="G950" s="2"/>
      <c r="L950" s="5"/>
      <c r="O950" s="2"/>
    </row>
    <row r="951" spans="2:15" x14ac:dyDescent="0.2">
      <c r="B951" s="50">
        <v>1635</v>
      </c>
      <c r="C951" s="51">
        <v>0.18116175541023227</v>
      </c>
      <c r="D951" s="52">
        <v>124</v>
      </c>
      <c r="E951" s="53">
        <v>0.59712230215827333</v>
      </c>
      <c r="G951" s="2"/>
      <c r="L951" s="5"/>
      <c r="O951" s="2"/>
    </row>
    <row r="952" spans="2:15" x14ac:dyDescent="0.2">
      <c r="B952" s="50">
        <v>1494</v>
      </c>
      <c r="C952" s="51">
        <v>0.19318409125767366</v>
      </c>
      <c r="D952" s="52">
        <v>124</v>
      </c>
      <c r="E952" s="53">
        <v>0.51079136690647486</v>
      </c>
      <c r="G952" s="2"/>
      <c r="L952" s="5"/>
      <c r="O952" s="2"/>
    </row>
    <row r="953" spans="2:15" x14ac:dyDescent="0.2">
      <c r="B953" s="50">
        <v>1636</v>
      </c>
      <c r="C953" s="51">
        <v>0.20469127190031366</v>
      </c>
      <c r="D953" s="52">
        <v>124</v>
      </c>
      <c r="E953" s="53">
        <v>0.59712230215827333</v>
      </c>
      <c r="G953" s="2"/>
      <c r="L953" s="5"/>
      <c r="O953" s="2"/>
    </row>
    <row r="954" spans="2:15" x14ac:dyDescent="0.2">
      <c r="B954" s="50">
        <v>1534</v>
      </c>
      <c r="C954" s="51">
        <v>0.25796205949190987</v>
      </c>
      <c r="D954" s="52">
        <v>124</v>
      </c>
      <c r="E954" s="53">
        <v>0.65467625899280579</v>
      </c>
      <c r="G954" s="2"/>
      <c r="L954" s="5"/>
      <c r="O954" s="2"/>
    </row>
    <row r="955" spans="2:15" x14ac:dyDescent="0.2">
      <c r="B955" s="50">
        <v>1641</v>
      </c>
      <c r="C955" s="51">
        <v>0.25950746748609366</v>
      </c>
      <c r="D955" s="52">
        <v>124</v>
      </c>
      <c r="E955" s="53">
        <v>0.51079136690647486</v>
      </c>
      <c r="G955" s="2"/>
      <c r="L955" s="5"/>
      <c r="O955" s="2"/>
    </row>
    <row r="956" spans="2:15" x14ac:dyDescent="0.2">
      <c r="B956" s="50">
        <v>1535</v>
      </c>
      <c r="C956" s="51">
        <v>0.30136134018610705</v>
      </c>
      <c r="D956" s="52">
        <v>124</v>
      </c>
      <c r="E956" s="53">
        <v>0.62589928057553956</v>
      </c>
      <c r="G956" s="2"/>
      <c r="L956" s="5"/>
      <c r="O956" s="2"/>
    </row>
    <row r="957" spans="2:15" x14ac:dyDescent="0.2">
      <c r="B957" s="50">
        <v>1536</v>
      </c>
      <c r="C957" s="51">
        <v>0.31965389554827839</v>
      </c>
      <c r="D957" s="52">
        <v>124</v>
      </c>
      <c r="E957" s="53">
        <v>0.5611510791366906</v>
      </c>
      <c r="G957" s="2"/>
      <c r="L957" s="5"/>
      <c r="O957" s="2"/>
    </row>
    <row r="958" spans="2:15" x14ac:dyDescent="0.2">
      <c r="B958" s="50">
        <v>40</v>
      </c>
      <c r="C958" s="51">
        <v>0.3802747877321685</v>
      </c>
      <c r="D958" s="52">
        <v>124</v>
      </c>
      <c r="E958" s="53">
        <v>0.33333333333333331</v>
      </c>
      <c r="G958" s="2"/>
      <c r="L958" s="5"/>
      <c r="O958" s="2"/>
    </row>
    <row r="959" spans="2:15" x14ac:dyDescent="0.2">
      <c r="B959" s="50">
        <v>1644</v>
      </c>
      <c r="C959" s="51">
        <v>0.48509468047688675</v>
      </c>
      <c r="D959" s="52">
        <v>124</v>
      </c>
      <c r="E959" s="53">
        <v>0.48201438848920863</v>
      </c>
      <c r="G959" s="2"/>
      <c r="L959" s="5"/>
      <c r="O959" s="2"/>
    </row>
    <row r="960" spans="2:15" x14ac:dyDescent="0.2">
      <c r="B960" s="50">
        <v>1562</v>
      </c>
      <c r="C960" s="51">
        <v>0.12317348066813461</v>
      </c>
      <c r="D960" s="52">
        <v>125</v>
      </c>
      <c r="E960" s="53">
        <v>0.82733812949640284</v>
      </c>
      <c r="G960" s="2"/>
      <c r="L960" s="5"/>
      <c r="O960" s="2"/>
    </row>
    <row r="961" spans="2:15" x14ac:dyDescent="0.2">
      <c r="B961" s="50">
        <v>1671</v>
      </c>
      <c r="C961" s="51">
        <v>0.17035385403442282</v>
      </c>
      <c r="D961" s="52">
        <v>125</v>
      </c>
      <c r="E961" s="53">
        <v>0.6690647482014388</v>
      </c>
      <c r="G961" s="2"/>
      <c r="L961" s="5"/>
      <c r="O961" s="2"/>
    </row>
    <row r="962" spans="2:15" x14ac:dyDescent="0.2">
      <c r="B962" s="50">
        <v>1637</v>
      </c>
      <c r="C962" s="51">
        <v>0.21290503491937018</v>
      </c>
      <c r="D962" s="52">
        <v>125</v>
      </c>
      <c r="E962" s="53">
        <v>0.59712230215827333</v>
      </c>
      <c r="G962" s="2"/>
      <c r="L962" s="5"/>
      <c r="O962" s="2"/>
    </row>
    <row r="963" spans="2:15" x14ac:dyDescent="0.2">
      <c r="B963" s="50">
        <v>2135</v>
      </c>
      <c r="C963" s="51">
        <v>0.27835401806770932</v>
      </c>
      <c r="D963" s="52">
        <v>125</v>
      </c>
      <c r="E963" s="53">
        <v>0.5611510791366906</v>
      </c>
      <c r="G963" s="2"/>
      <c r="L963" s="5"/>
      <c r="O963" s="2"/>
    </row>
    <row r="964" spans="2:15" x14ac:dyDescent="0.2">
      <c r="B964" s="50">
        <v>2198</v>
      </c>
      <c r="C964" s="51">
        <v>0.15515250891281829</v>
      </c>
      <c r="D964" s="52">
        <v>126</v>
      </c>
      <c r="E964" s="53">
        <v>0.56834532374100721</v>
      </c>
      <c r="G964" s="2"/>
      <c r="L964" s="5"/>
      <c r="O964" s="2"/>
    </row>
    <row r="965" spans="2:15" x14ac:dyDescent="0.2">
      <c r="B965" s="50">
        <v>2199</v>
      </c>
      <c r="C965" s="51">
        <v>0.16234623653734515</v>
      </c>
      <c r="D965" s="52">
        <v>126</v>
      </c>
      <c r="E965" s="53">
        <v>0.56834532374100721</v>
      </c>
      <c r="G965" s="2"/>
      <c r="L965" s="5"/>
      <c r="O965" s="2"/>
    </row>
    <row r="966" spans="2:15" x14ac:dyDescent="0.2">
      <c r="B966" s="50">
        <v>1672</v>
      </c>
      <c r="C966" s="51">
        <v>0.16691110395219666</v>
      </c>
      <c r="D966" s="52">
        <v>126</v>
      </c>
      <c r="E966" s="53">
        <v>0.58992805755395683</v>
      </c>
      <c r="G966" s="2"/>
      <c r="L966" s="5"/>
      <c r="O966" s="2"/>
    </row>
    <row r="967" spans="2:15" x14ac:dyDescent="0.2">
      <c r="B967" s="50">
        <v>1533</v>
      </c>
      <c r="C967" s="51">
        <v>0.16828677371688794</v>
      </c>
      <c r="D967" s="52">
        <v>126</v>
      </c>
      <c r="E967" s="53">
        <v>0.61870503597122306</v>
      </c>
      <c r="G967" s="2"/>
      <c r="L967" s="5"/>
      <c r="O967" s="2"/>
    </row>
    <row r="968" spans="2:15" x14ac:dyDescent="0.2">
      <c r="B968" s="50">
        <v>2193</v>
      </c>
      <c r="C968" s="51">
        <v>0.16841585620514554</v>
      </c>
      <c r="D968" s="52">
        <v>126</v>
      </c>
      <c r="E968" s="53">
        <v>0.56834532374100721</v>
      </c>
      <c r="G968" s="2"/>
      <c r="L968" s="5"/>
      <c r="O968" s="2"/>
    </row>
    <row r="969" spans="2:15" x14ac:dyDescent="0.2">
      <c r="B969" s="50">
        <v>2192</v>
      </c>
      <c r="C969" s="51">
        <v>0.17046359088121443</v>
      </c>
      <c r="D969" s="52">
        <v>126</v>
      </c>
      <c r="E969" s="53">
        <v>0.56834532374100721</v>
      </c>
      <c r="G969" s="2"/>
      <c r="L969" s="5"/>
      <c r="O969" s="2"/>
    </row>
    <row r="970" spans="2:15" x14ac:dyDescent="0.2">
      <c r="B970" s="50">
        <v>1527</v>
      </c>
      <c r="C970" s="51">
        <v>0.2051114274291661</v>
      </c>
      <c r="D970" s="52">
        <v>126</v>
      </c>
      <c r="E970" s="53">
        <v>0.66187050359712229</v>
      </c>
      <c r="G970" s="2"/>
      <c r="L970" s="5"/>
      <c r="O970" s="2"/>
    </row>
    <row r="971" spans="2:15" x14ac:dyDescent="0.2">
      <c r="B971" s="50">
        <v>2185</v>
      </c>
      <c r="C971" s="51">
        <v>0.20511695810054786</v>
      </c>
      <c r="D971" s="52">
        <v>126</v>
      </c>
      <c r="E971" s="53">
        <v>0.57553956834532372</v>
      </c>
      <c r="G971" s="2"/>
      <c r="L971" s="5"/>
      <c r="O971" s="2"/>
    </row>
    <row r="972" spans="2:15" x14ac:dyDescent="0.2">
      <c r="B972" s="50">
        <v>1490</v>
      </c>
      <c r="C972" s="51">
        <v>0.20683071086990179</v>
      </c>
      <c r="D972" s="52">
        <v>126</v>
      </c>
      <c r="E972" s="53">
        <v>0.65467625899280579</v>
      </c>
      <c r="G972" s="2"/>
      <c r="L972" s="5"/>
      <c r="O972" s="2"/>
    </row>
    <row r="973" spans="2:15" x14ac:dyDescent="0.2">
      <c r="B973" s="50">
        <v>1532</v>
      </c>
      <c r="C973" s="51">
        <v>0.20724932385960559</v>
      </c>
      <c r="D973" s="52">
        <v>126</v>
      </c>
      <c r="E973" s="53">
        <v>0.52517985611510787</v>
      </c>
      <c r="G973" s="2"/>
      <c r="L973" s="5"/>
      <c r="O973" s="2"/>
    </row>
    <row r="974" spans="2:15" x14ac:dyDescent="0.2">
      <c r="B974" s="50">
        <v>1489</v>
      </c>
      <c r="C974" s="51">
        <v>0.22198621788950901</v>
      </c>
      <c r="D974" s="52">
        <v>126</v>
      </c>
      <c r="E974" s="53">
        <v>0.76258992805755399</v>
      </c>
      <c r="G974" s="2"/>
      <c r="L974" s="5"/>
      <c r="O974" s="2"/>
    </row>
    <row r="975" spans="2:15" x14ac:dyDescent="0.2">
      <c r="B975" s="50">
        <v>1456</v>
      </c>
      <c r="C975" s="51">
        <v>0.26206453310161026</v>
      </c>
      <c r="D975" s="52">
        <v>126</v>
      </c>
      <c r="E975" s="53">
        <v>0.53237410071942448</v>
      </c>
      <c r="G975" s="2"/>
      <c r="L975" s="5"/>
      <c r="O975" s="2"/>
    </row>
    <row r="976" spans="2:15" x14ac:dyDescent="0.2">
      <c r="B976" s="50">
        <v>1348</v>
      </c>
      <c r="C976" s="51">
        <v>0.50753303648924775</v>
      </c>
      <c r="D976" s="52">
        <v>126</v>
      </c>
      <c r="E976" s="53">
        <v>0.62589928057553956</v>
      </c>
      <c r="G976" s="2"/>
      <c r="L976" s="5"/>
      <c r="O976" s="2"/>
    </row>
    <row r="977" spans="2:15" x14ac:dyDescent="0.2">
      <c r="B977" s="50">
        <v>141</v>
      </c>
      <c r="C977" s="51">
        <v>8.3252362982752848E-2</v>
      </c>
      <c r="D977" s="52">
        <v>127</v>
      </c>
      <c r="E977" s="53">
        <v>0.62589928057553956</v>
      </c>
      <c r="G977" s="2"/>
      <c r="L977" s="5"/>
      <c r="O977" s="2"/>
    </row>
    <row r="978" spans="2:15" x14ac:dyDescent="0.2">
      <c r="B978" s="50">
        <v>142</v>
      </c>
      <c r="C978" s="51">
        <v>9.6001785514847948E-2</v>
      </c>
      <c r="D978" s="52">
        <v>127</v>
      </c>
      <c r="E978" s="53">
        <v>0.64748201438848918</v>
      </c>
      <c r="G978" s="2"/>
      <c r="L978" s="5"/>
      <c r="O978" s="2"/>
    </row>
    <row r="979" spans="2:15" x14ac:dyDescent="0.2">
      <c r="B979" s="50">
        <v>140</v>
      </c>
      <c r="C979" s="51">
        <v>0.10339944282620561</v>
      </c>
      <c r="D979" s="52">
        <v>127</v>
      </c>
      <c r="E979" s="53">
        <v>0.5539568345323741</v>
      </c>
      <c r="G979" s="2"/>
      <c r="L979" s="5"/>
      <c r="O979" s="2"/>
    </row>
    <row r="980" spans="2:15" x14ac:dyDescent="0.2">
      <c r="B980" s="50">
        <v>139</v>
      </c>
      <c r="C980" s="51">
        <v>0.12522532584161084</v>
      </c>
      <c r="D980" s="52">
        <v>127</v>
      </c>
      <c r="E980" s="53">
        <v>0.64748201438848918</v>
      </c>
      <c r="G980" s="2"/>
      <c r="L980" s="5"/>
      <c r="O980" s="2"/>
    </row>
    <row r="981" spans="2:15" x14ac:dyDescent="0.2">
      <c r="B981" s="50">
        <v>1269</v>
      </c>
      <c r="C981" s="51">
        <v>0.1354303563648811</v>
      </c>
      <c r="D981" s="52">
        <v>127</v>
      </c>
      <c r="E981" s="53">
        <v>0.69064748201438853</v>
      </c>
      <c r="G981" s="2"/>
      <c r="L981" s="5"/>
      <c r="O981" s="2"/>
    </row>
    <row r="982" spans="2:15" x14ac:dyDescent="0.2">
      <c r="B982" s="50">
        <v>1134</v>
      </c>
      <c r="C982" s="51">
        <v>0.14630928674632704</v>
      </c>
      <c r="D982" s="52">
        <v>127</v>
      </c>
      <c r="E982" s="53">
        <v>0.67625899280575541</v>
      </c>
      <c r="G982" s="2"/>
      <c r="L982" s="5"/>
      <c r="O982" s="2"/>
    </row>
    <row r="983" spans="2:15" x14ac:dyDescent="0.2">
      <c r="B983" s="50">
        <v>1087</v>
      </c>
      <c r="C983" s="51">
        <v>0.1472224773990195</v>
      </c>
      <c r="D983" s="52">
        <v>127</v>
      </c>
      <c r="E983" s="53">
        <v>0.59712230215827333</v>
      </c>
      <c r="G983" s="2"/>
      <c r="L983" s="5"/>
      <c r="O983" s="2"/>
    </row>
    <row r="984" spans="2:15" x14ac:dyDescent="0.2">
      <c r="B984" s="50">
        <v>1180</v>
      </c>
      <c r="C984" s="51">
        <v>0.16330154217092963</v>
      </c>
      <c r="D984" s="52">
        <v>127</v>
      </c>
      <c r="E984" s="53">
        <v>0.69064748201438853</v>
      </c>
      <c r="G984" s="2"/>
      <c r="L984" s="5"/>
      <c r="O984" s="2"/>
    </row>
    <row r="985" spans="2:15" x14ac:dyDescent="0.2">
      <c r="B985" s="50">
        <v>137</v>
      </c>
      <c r="C985" s="51">
        <v>0.1659732698260814</v>
      </c>
      <c r="D985" s="52">
        <v>127</v>
      </c>
      <c r="E985" s="53">
        <v>0.64028776978417268</v>
      </c>
      <c r="G985" s="2"/>
      <c r="L985" s="5"/>
      <c r="O985" s="2"/>
    </row>
    <row r="986" spans="2:15" x14ac:dyDescent="0.2">
      <c r="B986" s="50">
        <v>1418</v>
      </c>
      <c r="C986" s="51">
        <v>0.16939784733559993</v>
      </c>
      <c r="D986" s="52">
        <v>127</v>
      </c>
      <c r="E986" s="53">
        <v>0.65467625899280579</v>
      </c>
      <c r="G986" s="2"/>
      <c r="L986" s="5"/>
      <c r="O986" s="2"/>
    </row>
    <row r="987" spans="2:15" x14ac:dyDescent="0.2">
      <c r="B987" s="50">
        <v>942</v>
      </c>
      <c r="C987" s="51">
        <v>0.19772687625299046</v>
      </c>
      <c r="D987" s="52">
        <v>127</v>
      </c>
      <c r="E987" s="53">
        <v>0.76258992805755399</v>
      </c>
      <c r="G987" s="2"/>
      <c r="L987" s="5"/>
      <c r="O987" s="2"/>
    </row>
    <row r="988" spans="2:15" x14ac:dyDescent="0.2">
      <c r="B988" s="50">
        <v>891</v>
      </c>
      <c r="C988" s="51">
        <v>0.20245200054873402</v>
      </c>
      <c r="D988" s="52">
        <v>127</v>
      </c>
      <c r="E988" s="53">
        <v>0.75539568345323738</v>
      </c>
      <c r="G988" s="2"/>
      <c r="L988" s="5"/>
      <c r="O988" s="2"/>
    </row>
    <row r="989" spans="2:15" x14ac:dyDescent="0.2">
      <c r="B989" s="50">
        <v>1459</v>
      </c>
      <c r="C989" s="51">
        <v>0.21033063867615875</v>
      </c>
      <c r="D989" s="52">
        <v>127</v>
      </c>
      <c r="E989" s="53">
        <v>0.67625899280575541</v>
      </c>
      <c r="G989" s="2"/>
      <c r="L989" s="5"/>
      <c r="O989" s="2"/>
    </row>
    <row r="990" spans="2:15" x14ac:dyDescent="0.2">
      <c r="B990" s="50">
        <v>1428</v>
      </c>
      <c r="C990" s="51">
        <v>0.35616696979957008</v>
      </c>
      <c r="D990" s="52">
        <v>127</v>
      </c>
      <c r="E990" s="53">
        <v>0.5611510791366906</v>
      </c>
      <c r="G990" s="2"/>
      <c r="L990" s="5"/>
      <c r="O990" s="2"/>
    </row>
    <row r="991" spans="2:15" x14ac:dyDescent="0.2">
      <c r="B991" s="50">
        <v>71</v>
      </c>
      <c r="C991" s="51">
        <v>0.35650902708400889</v>
      </c>
      <c r="D991" s="52">
        <v>127</v>
      </c>
      <c r="E991" s="53">
        <v>0.73381294964028776</v>
      </c>
      <c r="G991" s="2"/>
      <c r="L991" s="5"/>
      <c r="O991" s="2"/>
    </row>
    <row r="992" spans="2:15" x14ac:dyDescent="0.2">
      <c r="B992" s="50">
        <v>2202</v>
      </c>
      <c r="C992" s="51">
        <v>0.35650902708400889</v>
      </c>
      <c r="D992" s="52">
        <v>127</v>
      </c>
      <c r="E992" s="53">
        <v>0.73381294964028776</v>
      </c>
      <c r="G992" s="2"/>
      <c r="L992" s="5"/>
      <c r="O992" s="2"/>
    </row>
    <row r="993" spans="2:15" x14ac:dyDescent="0.2">
      <c r="B993" s="50">
        <v>1355</v>
      </c>
      <c r="C993" s="51">
        <v>0.405371230843657</v>
      </c>
      <c r="D993" s="52">
        <v>127</v>
      </c>
      <c r="E993" s="53">
        <v>0.65467625899280579</v>
      </c>
      <c r="G993" s="2"/>
      <c r="L993" s="5"/>
      <c r="O993" s="2"/>
    </row>
    <row r="994" spans="2:15" x14ac:dyDescent="0.2">
      <c r="B994" s="50">
        <v>1313</v>
      </c>
      <c r="C994" s="51">
        <v>0.45332309616647826</v>
      </c>
      <c r="D994" s="52">
        <v>127</v>
      </c>
      <c r="E994" s="53">
        <v>0.63309352517985606</v>
      </c>
      <c r="G994" s="2"/>
      <c r="L994" s="5"/>
      <c r="O994" s="2"/>
    </row>
    <row r="995" spans="2:15" x14ac:dyDescent="0.2">
      <c r="B995" s="50">
        <v>1226</v>
      </c>
      <c r="C995" s="51">
        <v>0.47013225541274761</v>
      </c>
      <c r="D995" s="52">
        <v>127</v>
      </c>
      <c r="E995" s="53">
        <v>0.63309352517985606</v>
      </c>
      <c r="G995" s="2"/>
      <c r="L995" s="5"/>
      <c r="O995" s="2"/>
    </row>
    <row r="996" spans="2:15" x14ac:dyDescent="0.2">
      <c r="B996" s="50">
        <v>1181</v>
      </c>
      <c r="C996" s="51">
        <v>0.50660009521466809</v>
      </c>
      <c r="D996" s="52">
        <v>127</v>
      </c>
      <c r="E996" s="53">
        <v>0.63309352517985606</v>
      </c>
      <c r="G996" s="2"/>
      <c r="L996" s="5"/>
      <c r="O996" s="2"/>
    </row>
    <row r="997" spans="2:15" x14ac:dyDescent="0.2">
      <c r="B997" s="50">
        <v>1270</v>
      </c>
      <c r="C997" s="51">
        <v>0.51927220515587069</v>
      </c>
      <c r="D997" s="52">
        <v>127</v>
      </c>
      <c r="E997" s="53">
        <v>0.57553956834532372</v>
      </c>
      <c r="G997" s="2"/>
      <c r="L997" s="5"/>
      <c r="O997" s="2"/>
    </row>
    <row r="998" spans="2:15" x14ac:dyDescent="0.2">
      <c r="B998" s="50">
        <v>838</v>
      </c>
      <c r="C998" s="51">
        <v>0.54223395920760531</v>
      </c>
      <c r="D998" s="52">
        <v>127</v>
      </c>
      <c r="E998" s="53">
        <v>0.53956834532374098</v>
      </c>
      <c r="G998" s="2"/>
      <c r="L998" s="5"/>
      <c r="O998" s="2"/>
    </row>
    <row r="999" spans="2:15" x14ac:dyDescent="0.2">
      <c r="B999" s="50">
        <v>1431</v>
      </c>
      <c r="C999" s="51">
        <v>0.56659089407146424</v>
      </c>
      <c r="D999" s="52">
        <v>127</v>
      </c>
      <c r="E999" s="53">
        <v>0.45323741007194246</v>
      </c>
      <c r="G999" s="2"/>
      <c r="L999" s="5"/>
      <c r="O999" s="2"/>
    </row>
    <row r="1000" spans="2:15" x14ac:dyDescent="0.2">
      <c r="B1000" s="50">
        <v>1135</v>
      </c>
      <c r="C1000" s="51">
        <v>0.58572158014299269</v>
      </c>
      <c r="D1000" s="52">
        <v>127</v>
      </c>
      <c r="E1000" s="53">
        <v>0.5611510791366906</v>
      </c>
      <c r="G1000" s="2"/>
      <c r="L1000" s="5"/>
      <c r="O1000" s="2"/>
    </row>
    <row r="1001" spans="2:15" x14ac:dyDescent="0.2">
      <c r="B1001" s="50">
        <v>1088</v>
      </c>
      <c r="C1001" s="51">
        <v>0.59084398320189258</v>
      </c>
      <c r="D1001" s="52">
        <v>127</v>
      </c>
      <c r="E1001" s="53">
        <v>0.5611510791366906</v>
      </c>
      <c r="G1001" s="2"/>
      <c r="L1001" s="5"/>
      <c r="O1001" s="2"/>
    </row>
    <row r="1002" spans="2:15" x14ac:dyDescent="0.2">
      <c r="B1002" s="50">
        <v>1390</v>
      </c>
      <c r="C1002" s="51">
        <v>0.73688153362675746</v>
      </c>
      <c r="D1002" s="52">
        <v>127</v>
      </c>
      <c r="E1002" s="53">
        <v>0.2805755395683453</v>
      </c>
      <c r="G1002" s="2"/>
      <c r="L1002" s="5"/>
      <c r="O1002" s="2"/>
    </row>
    <row r="1003" spans="2:15" x14ac:dyDescent="0.2">
      <c r="B1003" s="50">
        <v>205</v>
      </c>
      <c r="C1003" s="51">
        <v>8.6615293684397354E-2</v>
      </c>
      <c r="D1003" s="52">
        <v>128</v>
      </c>
      <c r="E1003" s="53">
        <v>0.64028776978417268</v>
      </c>
      <c r="G1003" s="2"/>
      <c r="L1003" s="5"/>
      <c r="O1003" s="2"/>
    </row>
    <row r="1004" spans="2:15" x14ac:dyDescent="0.2">
      <c r="B1004" s="50">
        <v>206</v>
      </c>
      <c r="C1004" s="51">
        <v>9.7856063603583898E-2</v>
      </c>
      <c r="D1004" s="52">
        <v>128</v>
      </c>
      <c r="E1004" s="53">
        <v>0.64028776978417268</v>
      </c>
      <c r="G1004" s="2"/>
      <c r="L1004" s="5"/>
      <c r="O1004" s="2"/>
    </row>
    <row r="1005" spans="2:15" x14ac:dyDescent="0.2">
      <c r="B1005" s="50">
        <v>204</v>
      </c>
      <c r="C1005" s="51">
        <v>0.1052312135753537</v>
      </c>
      <c r="D1005" s="52">
        <v>128</v>
      </c>
      <c r="E1005" s="53">
        <v>0.5611510791366906</v>
      </c>
      <c r="G1005" s="2"/>
      <c r="L1005" s="5"/>
      <c r="O1005" s="2"/>
    </row>
    <row r="1006" spans="2:15" x14ac:dyDescent="0.2">
      <c r="B1006" s="50">
        <v>1457</v>
      </c>
      <c r="C1006" s="51">
        <v>0.17883034280387478</v>
      </c>
      <c r="D1006" s="52">
        <v>128</v>
      </c>
      <c r="E1006" s="53">
        <v>0.67625899280575541</v>
      </c>
      <c r="G1006" s="2"/>
      <c r="L1006" s="5"/>
      <c r="O1006" s="2"/>
    </row>
    <row r="1007" spans="2:15" x14ac:dyDescent="0.2">
      <c r="B1007" s="50">
        <v>1455</v>
      </c>
      <c r="C1007" s="51">
        <v>0.18106182489799272</v>
      </c>
      <c r="D1007" s="52">
        <v>128</v>
      </c>
      <c r="E1007" s="53">
        <v>0.52517985611510787</v>
      </c>
      <c r="G1007" s="2"/>
      <c r="L1007" s="5"/>
      <c r="O1007" s="2"/>
    </row>
    <row r="1008" spans="2:15" x14ac:dyDescent="0.2">
      <c r="B1008" s="50">
        <v>1417</v>
      </c>
      <c r="C1008" s="51">
        <v>0.18206649816745679</v>
      </c>
      <c r="D1008" s="52">
        <v>128</v>
      </c>
      <c r="E1008" s="53">
        <v>0.67625899280575541</v>
      </c>
      <c r="G1008" s="2"/>
      <c r="L1008" s="5"/>
      <c r="O1008" s="2"/>
    </row>
    <row r="1009" spans="2:15" x14ac:dyDescent="0.2">
      <c r="B1009" s="50">
        <v>1419</v>
      </c>
      <c r="C1009" s="51">
        <v>0.18740351563352486</v>
      </c>
      <c r="D1009" s="52">
        <v>128</v>
      </c>
      <c r="E1009" s="53">
        <v>0.6690647482014388</v>
      </c>
      <c r="G1009" s="2"/>
      <c r="L1009" s="5"/>
      <c r="O1009" s="2"/>
    </row>
    <row r="1010" spans="2:15" x14ac:dyDescent="0.2">
      <c r="B1010" s="50">
        <v>1375</v>
      </c>
      <c r="C1010" s="51">
        <v>0.19652431226327471</v>
      </c>
      <c r="D1010" s="52">
        <v>128</v>
      </c>
      <c r="E1010" s="53">
        <v>0.60431654676258995</v>
      </c>
      <c r="G1010" s="2"/>
      <c r="L1010" s="5"/>
      <c r="O1010" s="2"/>
    </row>
    <row r="1011" spans="2:15" x14ac:dyDescent="0.2">
      <c r="B1011" s="50">
        <v>1415</v>
      </c>
      <c r="C1011" s="51">
        <v>0.19933245414756773</v>
      </c>
      <c r="D1011" s="52">
        <v>128</v>
      </c>
      <c r="E1011" s="53">
        <v>0.63309352517985606</v>
      </c>
      <c r="G1011" s="2"/>
      <c r="L1011" s="5"/>
      <c r="O1011" s="2"/>
    </row>
    <row r="1012" spans="2:15" x14ac:dyDescent="0.2">
      <c r="B1012" s="50">
        <v>1333</v>
      </c>
      <c r="C1012" s="51">
        <v>0.21625601409571038</v>
      </c>
      <c r="D1012" s="52">
        <v>128</v>
      </c>
      <c r="E1012" s="53">
        <v>0.58992805755395683</v>
      </c>
      <c r="G1012" s="2"/>
      <c r="L1012" s="5"/>
      <c r="O1012" s="2"/>
    </row>
    <row r="1013" spans="2:15" x14ac:dyDescent="0.2">
      <c r="B1013" s="50">
        <v>1376</v>
      </c>
      <c r="C1013" s="51">
        <v>0.2210024756452148</v>
      </c>
      <c r="D1013" s="52">
        <v>128</v>
      </c>
      <c r="E1013" s="53">
        <v>0.58273381294964033</v>
      </c>
      <c r="G1013" s="2"/>
      <c r="L1013" s="5"/>
      <c r="O1013" s="2"/>
    </row>
    <row r="1014" spans="2:15" x14ac:dyDescent="0.2">
      <c r="B1014" s="50">
        <v>1416</v>
      </c>
      <c r="C1014" s="51">
        <v>0.24831699567972287</v>
      </c>
      <c r="D1014" s="52">
        <v>128</v>
      </c>
      <c r="E1014" s="53">
        <v>0.53237410071942448</v>
      </c>
      <c r="G1014" s="2"/>
      <c r="L1014" s="5"/>
      <c r="O1014" s="2"/>
    </row>
    <row r="1015" spans="2:15" x14ac:dyDescent="0.2">
      <c r="B1015" s="50">
        <v>1336</v>
      </c>
      <c r="C1015" s="51">
        <v>0.25473640579216039</v>
      </c>
      <c r="D1015" s="52">
        <v>128</v>
      </c>
      <c r="E1015" s="53">
        <v>0.56834532374100721</v>
      </c>
      <c r="G1015" s="2"/>
      <c r="L1015" s="5"/>
      <c r="O1015" s="2"/>
    </row>
    <row r="1016" spans="2:15" x14ac:dyDescent="0.2">
      <c r="B1016" s="50">
        <v>1378</v>
      </c>
      <c r="C1016" s="51">
        <v>0.28284478522858458</v>
      </c>
      <c r="D1016" s="52">
        <v>128</v>
      </c>
      <c r="E1016" s="53">
        <v>0.50359712230215825</v>
      </c>
      <c r="G1016" s="2"/>
      <c r="L1016" s="5"/>
      <c r="O1016" s="2"/>
    </row>
    <row r="1017" spans="2:15" x14ac:dyDescent="0.2">
      <c r="B1017" s="50">
        <v>1387</v>
      </c>
      <c r="C1017" s="51">
        <v>0.46794952643649057</v>
      </c>
      <c r="D1017" s="52">
        <v>128</v>
      </c>
      <c r="E1017" s="53">
        <v>0.46762589928057552</v>
      </c>
      <c r="G1017" s="2"/>
      <c r="L1017" s="5"/>
      <c r="O1017" s="2"/>
    </row>
    <row r="1018" spans="2:15" x14ac:dyDescent="0.2">
      <c r="B1018" s="50">
        <v>271</v>
      </c>
      <c r="C1018" s="51">
        <v>0.13624548151247873</v>
      </c>
      <c r="D1018" s="52">
        <v>130</v>
      </c>
      <c r="E1018" s="53">
        <v>0.73381294964028776</v>
      </c>
      <c r="G1018" s="2"/>
      <c r="L1018" s="5"/>
      <c r="O1018" s="2"/>
    </row>
    <row r="1019" spans="2:15" x14ac:dyDescent="0.2">
      <c r="B1019" s="50">
        <v>333</v>
      </c>
      <c r="C1019" s="51">
        <v>0.13697814538916175</v>
      </c>
      <c r="D1019" s="52">
        <v>130</v>
      </c>
      <c r="E1019" s="53">
        <v>0.73381294964028776</v>
      </c>
      <c r="G1019" s="2"/>
      <c r="L1019" s="5"/>
      <c r="O1019" s="2"/>
    </row>
    <row r="1020" spans="2:15" x14ac:dyDescent="0.2">
      <c r="B1020" s="50">
        <v>1374</v>
      </c>
      <c r="C1020" s="51">
        <v>0.16604946694767975</v>
      </c>
      <c r="D1020" s="52">
        <v>130</v>
      </c>
      <c r="E1020" s="53">
        <v>0.45323741007194246</v>
      </c>
      <c r="G1020" s="2"/>
      <c r="L1020" s="5"/>
      <c r="O1020" s="2"/>
    </row>
    <row r="1021" spans="2:15" x14ac:dyDescent="0.2">
      <c r="B1021" s="50">
        <v>201</v>
      </c>
      <c r="C1021" s="51">
        <v>0.16916592554160226</v>
      </c>
      <c r="D1021" s="52">
        <v>130</v>
      </c>
      <c r="E1021" s="53">
        <v>0.65467625899280579</v>
      </c>
      <c r="G1021" s="2"/>
      <c r="L1021" s="5"/>
      <c r="O1021" s="2"/>
    </row>
    <row r="1022" spans="2:15" x14ac:dyDescent="0.2">
      <c r="B1022" s="50">
        <v>1332</v>
      </c>
      <c r="C1022" s="51">
        <v>0.17981897322784424</v>
      </c>
      <c r="D1022" s="52">
        <v>130</v>
      </c>
      <c r="E1022" s="53">
        <v>0.52517985611510787</v>
      </c>
      <c r="G1022" s="2"/>
      <c r="L1022" s="5"/>
      <c r="O1022" s="2"/>
    </row>
    <row r="1023" spans="2:15" x14ac:dyDescent="0.2">
      <c r="B1023" s="50">
        <v>2125</v>
      </c>
      <c r="C1023" s="51">
        <v>0.23780496518914818</v>
      </c>
      <c r="D1023" s="52">
        <v>130</v>
      </c>
      <c r="E1023" s="53">
        <v>0.53237410071942448</v>
      </c>
      <c r="G1023" s="2"/>
      <c r="L1023" s="5"/>
      <c r="O1023" s="2"/>
    </row>
    <row r="1024" spans="2:15" x14ac:dyDescent="0.2">
      <c r="B1024" s="50">
        <v>784</v>
      </c>
      <c r="C1024" s="51">
        <v>0.28133394029633041</v>
      </c>
      <c r="D1024" s="52">
        <v>131</v>
      </c>
      <c r="E1024" s="53">
        <v>0.53237410071942448</v>
      </c>
      <c r="G1024" s="2"/>
      <c r="L1024" s="5"/>
      <c r="O1024" s="2"/>
    </row>
    <row r="1025" spans="2:15" x14ac:dyDescent="0.2">
      <c r="B1025" s="50">
        <v>730</v>
      </c>
      <c r="C1025" s="51">
        <v>0.28613128632114815</v>
      </c>
      <c r="D1025" s="52">
        <v>131</v>
      </c>
      <c r="E1025" s="53">
        <v>0.47482014388489208</v>
      </c>
      <c r="G1025" s="2"/>
      <c r="L1025" s="5"/>
      <c r="O1025" s="2"/>
    </row>
    <row r="1026" spans="2:15" x14ac:dyDescent="0.2">
      <c r="B1026" s="50">
        <v>675</v>
      </c>
      <c r="C1026" s="51">
        <v>0.29676504873513354</v>
      </c>
      <c r="D1026" s="52">
        <v>131</v>
      </c>
      <c r="E1026" s="53">
        <v>0.47482014388489208</v>
      </c>
      <c r="G1026" s="2"/>
      <c r="L1026" s="5"/>
      <c r="O1026" s="2"/>
    </row>
    <row r="1027" spans="2:15" x14ac:dyDescent="0.2">
      <c r="B1027" s="50">
        <v>619</v>
      </c>
      <c r="C1027" s="51">
        <v>0.30199050545179773</v>
      </c>
      <c r="D1027" s="52">
        <v>131</v>
      </c>
      <c r="E1027" s="53">
        <v>0.5539568345323741</v>
      </c>
      <c r="G1027" s="2"/>
      <c r="L1027" s="5"/>
      <c r="O1027" s="2"/>
    </row>
    <row r="1028" spans="2:15" x14ac:dyDescent="0.2">
      <c r="B1028" s="50">
        <v>562</v>
      </c>
      <c r="C1028" s="51">
        <v>0.30457853420297842</v>
      </c>
      <c r="D1028" s="52">
        <v>131</v>
      </c>
      <c r="E1028" s="53">
        <v>0.5539568345323741</v>
      </c>
      <c r="G1028" s="2"/>
      <c r="L1028" s="5"/>
      <c r="O1028" s="2"/>
    </row>
    <row r="1029" spans="2:15" x14ac:dyDescent="0.2">
      <c r="B1029" s="50">
        <v>504</v>
      </c>
      <c r="C1029" s="51">
        <v>0.3068982363029048</v>
      </c>
      <c r="D1029" s="52">
        <v>131</v>
      </c>
      <c r="E1029" s="53">
        <v>0.5467625899280576</v>
      </c>
      <c r="G1029" s="2"/>
      <c r="L1029" s="5"/>
      <c r="O1029" s="2"/>
    </row>
    <row r="1030" spans="2:15" x14ac:dyDescent="0.2">
      <c r="B1030" s="50">
        <v>445</v>
      </c>
      <c r="C1030" s="51">
        <v>0.32557475834740479</v>
      </c>
      <c r="D1030" s="52">
        <v>131</v>
      </c>
      <c r="E1030" s="53">
        <v>0.59712230215827333</v>
      </c>
      <c r="G1030" s="2"/>
      <c r="L1030" s="5"/>
      <c r="O1030" s="2"/>
    </row>
    <row r="1031" spans="2:15" x14ac:dyDescent="0.2">
      <c r="B1031" s="50">
        <v>385</v>
      </c>
      <c r="C1031" s="51">
        <v>0.33251402629189586</v>
      </c>
      <c r="D1031" s="52">
        <v>131</v>
      </c>
      <c r="E1031" s="53">
        <v>0.59712230215827333</v>
      </c>
      <c r="G1031" s="2"/>
      <c r="L1031" s="5"/>
      <c r="O1031" s="2"/>
    </row>
    <row r="1032" spans="2:15" x14ac:dyDescent="0.2">
      <c r="B1032" s="50">
        <v>1038</v>
      </c>
      <c r="C1032" s="51">
        <v>0.43167721388916702</v>
      </c>
      <c r="D1032" s="52">
        <v>131</v>
      </c>
      <c r="E1032" s="53">
        <v>0.26618705035971224</v>
      </c>
      <c r="G1032" s="2"/>
      <c r="L1032" s="5"/>
      <c r="O1032" s="2"/>
    </row>
    <row r="1033" spans="2:15" x14ac:dyDescent="0.2">
      <c r="B1033" s="50">
        <v>676</v>
      </c>
      <c r="C1033" s="51">
        <v>0.5232694850324251</v>
      </c>
      <c r="D1033" s="52">
        <v>131</v>
      </c>
      <c r="E1033" s="53">
        <v>0.53237410071942448</v>
      </c>
      <c r="G1033" s="2"/>
      <c r="L1033" s="5"/>
      <c r="O1033" s="2"/>
    </row>
    <row r="1034" spans="2:15" x14ac:dyDescent="0.2">
      <c r="B1034" s="50">
        <v>620</v>
      </c>
      <c r="C1034" s="51">
        <v>0.52487719057478288</v>
      </c>
      <c r="D1034" s="52">
        <v>131</v>
      </c>
      <c r="E1034" s="53">
        <v>0.53237410071942448</v>
      </c>
      <c r="G1034" s="2"/>
      <c r="L1034" s="5"/>
      <c r="O1034" s="2"/>
    </row>
    <row r="1035" spans="2:15" x14ac:dyDescent="0.2">
      <c r="B1035" s="50">
        <v>386</v>
      </c>
      <c r="C1035" s="51">
        <v>0.52574142853014916</v>
      </c>
      <c r="D1035" s="52">
        <v>131</v>
      </c>
      <c r="E1035" s="53">
        <v>0.51079136690647486</v>
      </c>
      <c r="G1035" s="2"/>
      <c r="L1035" s="5"/>
      <c r="O1035" s="2"/>
    </row>
    <row r="1036" spans="2:15" x14ac:dyDescent="0.2">
      <c r="B1036" s="50">
        <v>563</v>
      </c>
      <c r="C1036" s="51">
        <v>0.52610499343596451</v>
      </c>
      <c r="D1036" s="52">
        <v>131</v>
      </c>
      <c r="E1036" s="53">
        <v>0.53237410071942448</v>
      </c>
      <c r="G1036" s="2"/>
      <c r="L1036" s="5"/>
      <c r="O1036" s="2"/>
    </row>
    <row r="1037" spans="2:15" x14ac:dyDescent="0.2">
      <c r="B1037" s="50">
        <v>446</v>
      </c>
      <c r="C1037" s="51">
        <v>0.53187349331650546</v>
      </c>
      <c r="D1037" s="52">
        <v>131</v>
      </c>
      <c r="E1037" s="53">
        <v>0.51079136690647486</v>
      </c>
      <c r="G1037" s="2"/>
      <c r="L1037" s="5"/>
      <c r="O1037" s="2"/>
    </row>
    <row r="1038" spans="2:15" x14ac:dyDescent="0.2">
      <c r="B1038" s="50">
        <v>731</v>
      </c>
      <c r="C1038" s="51">
        <v>0.53380333676957892</v>
      </c>
      <c r="D1038" s="52">
        <v>131</v>
      </c>
      <c r="E1038" s="53">
        <v>0.53237410071942448</v>
      </c>
      <c r="G1038" s="2"/>
      <c r="L1038" s="5"/>
      <c r="O1038" s="2"/>
    </row>
    <row r="1039" spans="2:15" x14ac:dyDescent="0.2">
      <c r="B1039" s="50">
        <v>785</v>
      </c>
      <c r="C1039" s="51">
        <v>0.53587659012690092</v>
      </c>
      <c r="D1039" s="52">
        <v>131</v>
      </c>
      <c r="E1039" s="53">
        <v>0.53956834532374098</v>
      </c>
      <c r="G1039" s="2"/>
      <c r="L1039" s="5"/>
      <c r="O1039" s="2"/>
    </row>
    <row r="1040" spans="2:15" x14ac:dyDescent="0.2">
      <c r="B1040" s="50">
        <v>505</v>
      </c>
      <c r="C1040" s="51">
        <v>0.54116950815584697</v>
      </c>
      <c r="D1040" s="52">
        <v>131</v>
      </c>
      <c r="E1040" s="53">
        <v>0.51798561151079137</v>
      </c>
      <c r="G1040" s="2"/>
      <c r="L1040" s="5"/>
      <c r="O1040" s="2"/>
    </row>
    <row r="1041" spans="2:15" x14ac:dyDescent="0.2">
      <c r="B1041" s="50">
        <v>1039</v>
      </c>
      <c r="C1041" s="51">
        <v>0.15146406714462535</v>
      </c>
      <c r="D1041" s="52">
        <v>133</v>
      </c>
      <c r="E1041" s="53">
        <v>0.58273381294964033</v>
      </c>
      <c r="G1041" s="2"/>
      <c r="L1041" s="5"/>
      <c r="O1041" s="2"/>
    </row>
    <row r="1042" spans="2:15" x14ac:dyDescent="0.2">
      <c r="B1042" s="50">
        <v>1528</v>
      </c>
      <c r="C1042" s="51">
        <v>0.19114419445083364</v>
      </c>
      <c r="D1042" s="52">
        <v>133</v>
      </c>
      <c r="E1042" s="53">
        <v>0.6690647482014388</v>
      </c>
      <c r="G1042" s="2"/>
      <c r="L1042" s="5"/>
      <c r="O1042" s="2"/>
    </row>
    <row r="1043" spans="2:15" x14ac:dyDescent="0.2">
      <c r="B1043" s="50">
        <v>2204</v>
      </c>
      <c r="C1043" s="51">
        <v>0.2312493922019494</v>
      </c>
      <c r="D1043" s="52">
        <v>133</v>
      </c>
      <c r="E1043" s="53">
        <v>0.79856115107913672</v>
      </c>
      <c r="G1043" s="2"/>
      <c r="L1043" s="5"/>
      <c r="O1043" s="2"/>
    </row>
    <row r="1044" spans="2:15" x14ac:dyDescent="0.2">
      <c r="B1044" s="50">
        <v>2203</v>
      </c>
      <c r="C1044" s="51">
        <v>0.24608071245226726</v>
      </c>
      <c r="D1044" s="52">
        <v>133</v>
      </c>
      <c r="E1044" s="53">
        <v>0.79856115107913672</v>
      </c>
      <c r="G1044" s="2"/>
      <c r="L1044" s="5"/>
      <c r="O1044" s="2"/>
    </row>
    <row r="1045" spans="2:15" x14ac:dyDescent="0.2">
      <c r="B1045" s="50">
        <v>837</v>
      </c>
      <c r="C1045" s="51">
        <v>0.26369006762061065</v>
      </c>
      <c r="D1045" s="52">
        <v>133</v>
      </c>
      <c r="E1045" s="53">
        <v>0.53237410071942448</v>
      </c>
      <c r="G1045" s="2"/>
      <c r="L1045" s="5"/>
      <c r="O1045" s="2"/>
    </row>
    <row r="1046" spans="2:15" x14ac:dyDescent="0.2">
      <c r="B1046" s="50">
        <v>1279</v>
      </c>
      <c r="C1046" s="51">
        <v>0.2800460414171918</v>
      </c>
      <c r="D1046" s="52">
        <v>133</v>
      </c>
      <c r="E1046" s="53">
        <v>0.67625899280575541</v>
      </c>
      <c r="G1046" s="2"/>
      <c r="L1046" s="5"/>
      <c r="O1046" s="2"/>
    </row>
    <row r="1047" spans="2:15" x14ac:dyDescent="0.2">
      <c r="B1047" s="50">
        <v>2045</v>
      </c>
      <c r="C1047" s="51">
        <v>0.37449333505825755</v>
      </c>
      <c r="D1047" s="52">
        <v>133</v>
      </c>
      <c r="E1047" s="53">
        <v>0.33093525179856115</v>
      </c>
      <c r="G1047" s="2"/>
      <c r="L1047" s="5"/>
      <c r="O1047" s="2"/>
    </row>
    <row r="1048" spans="2:15" x14ac:dyDescent="0.2">
      <c r="B1048" s="50">
        <v>1133</v>
      </c>
      <c r="C1048" s="51">
        <v>0.4008122660025063</v>
      </c>
      <c r="D1048" s="52">
        <v>133</v>
      </c>
      <c r="E1048" s="53">
        <v>0.28776978417266186</v>
      </c>
      <c r="G1048" s="2"/>
      <c r="L1048" s="5"/>
      <c r="O1048" s="2"/>
    </row>
    <row r="1049" spans="2:15" x14ac:dyDescent="0.2">
      <c r="B1049" s="50">
        <v>1086</v>
      </c>
      <c r="C1049" s="51">
        <v>0.40931641784238981</v>
      </c>
      <c r="D1049" s="52">
        <v>133</v>
      </c>
      <c r="E1049" s="53">
        <v>0.2805755395683453</v>
      </c>
      <c r="G1049" s="2"/>
      <c r="L1049" s="5"/>
      <c r="O1049" s="2"/>
    </row>
    <row r="1050" spans="2:15" x14ac:dyDescent="0.2">
      <c r="B1050" s="50">
        <v>991</v>
      </c>
      <c r="C1050" s="51">
        <v>0.60621318654031908</v>
      </c>
      <c r="D1050" s="52">
        <v>133</v>
      </c>
      <c r="E1050" s="53">
        <v>0.47482014388489208</v>
      </c>
      <c r="G1050" s="2"/>
      <c r="L1050" s="5"/>
      <c r="O1050" s="2"/>
    </row>
    <row r="1051" spans="2:15" x14ac:dyDescent="0.2">
      <c r="B1051" s="50">
        <v>1040</v>
      </c>
      <c r="C1051" s="51">
        <v>0.62546243631728582</v>
      </c>
      <c r="D1051" s="52">
        <v>133</v>
      </c>
      <c r="E1051" s="53">
        <v>0.46762589928057552</v>
      </c>
      <c r="G1051" s="2"/>
      <c r="L1051" s="5"/>
      <c r="O1051" s="2"/>
    </row>
    <row r="1052" spans="2:15" x14ac:dyDescent="0.2">
      <c r="B1052" s="50">
        <v>1435</v>
      </c>
      <c r="C1052" s="51">
        <v>0.13395453635814891</v>
      </c>
      <c r="D1052" s="52">
        <v>134</v>
      </c>
      <c r="E1052" s="53">
        <v>0.69784172661870503</v>
      </c>
      <c r="G1052" s="2"/>
      <c r="L1052" s="5"/>
      <c r="O1052" s="2"/>
    </row>
    <row r="1053" spans="2:15" x14ac:dyDescent="0.2">
      <c r="B1053" s="50">
        <v>1326</v>
      </c>
      <c r="C1053" s="51">
        <v>0.164374717986148</v>
      </c>
      <c r="D1053" s="52">
        <v>134</v>
      </c>
      <c r="E1053" s="53">
        <v>0.82014388489208634</v>
      </c>
      <c r="G1053" s="2"/>
      <c r="L1053" s="5"/>
      <c r="O1053" s="2"/>
    </row>
    <row r="1054" spans="2:15" x14ac:dyDescent="0.2">
      <c r="B1054" s="50">
        <v>1436</v>
      </c>
      <c r="C1054" s="51">
        <v>0.47035493116283633</v>
      </c>
      <c r="D1054" s="52">
        <v>134</v>
      </c>
      <c r="E1054" s="53">
        <v>0.64028776978417268</v>
      </c>
      <c r="G1054" s="2"/>
      <c r="L1054" s="5"/>
      <c r="O1054" s="2"/>
    </row>
    <row r="1055" spans="2:15" x14ac:dyDescent="0.2">
      <c r="B1055" s="50">
        <v>835</v>
      </c>
      <c r="C1055" s="51">
        <v>0.56205223823589956</v>
      </c>
      <c r="D1055" s="52">
        <v>134</v>
      </c>
      <c r="E1055" s="53">
        <v>0.2446043165467626</v>
      </c>
      <c r="G1055" s="2"/>
      <c r="L1055" s="5"/>
      <c r="O1055" s="2"/>
    </row>
    <row r="1056" spans="2:15" x14ac:dyDescent="0.2">
      <c r="B1056" s="50">
        <v>143</v>
      </c>
      <c r="C1056" s="51">
        <v>0.12998709225844673</v>
      </c>
      <c r="D1056" s="52">
        <v>135</v>
      </c>
      <c r="E1056" s="53">
        <v>0.64028776978417268</v>
      </c>
      <c r="G1056" s="2"/>
      <c r="L1056" s="5"/>
      <c r="O1056" s="2"/>
    </row>
    <row r="1057" spans="2:15" x14ac:dyDescent="0.2">
      <c r="B1057" s="50">
        <v>144</v>
      </c>
      <c r="C1057" s="51">
        <v>0.15028509172340176</v>
      </c>
      <c r="D1057" s="52">
        <v>135</v>
      </c>
      <c r="E1057" s="53">
        <v>0.72661870503597126</v>
      </c>
      <c r="G1057" s="2"/>
      <c r="L1057" s="5"/>
      <c r="O1057" s="2"/>
    </row>
    <row r="1058" spans="2:15" x14ac:dyDescent="0.2">
      <c r="B1058" s="50">
        <v>207</v>
      </c>
      <c r="C1058" s="51">
        <v>0.12910959282558188</v>
      </c>
      <c r="D1058" s="52">
        <v>136</v>
      </c>
      <c r="E1058" s="53">
        <v>0.56834532374100721</v>
      </c>
      <c r="G1058" s="2"/>
      <c r="L1058" s="5"/>
      <c r="O1058" s="2"/>
    </row>
    <row r="1059" spans="2:15" x14ac:dyDescent="0.2">
      <c r="B1059" s="50">
        <v>1512</v>
      </c>
      <c r="C1059" s="51">
        <v>0.16467696553044642</v>
      </c>
      <c r="D1059" s="52">
        <v>136</v>
      </c>
      <c r="E1059" s="53">
        <v>0.75539568345323738</v>
      </c>
      <c r="G1059" s="2"/>
      <c r="L1059" s="5"/>
      <c r="O1059" s="2"/>
    </row>
    <row r="1060" spans="2:15" x14ac:dyDescent="0.2">
      <c r="B1060" s="50">
        <v>1549</v>
      </c>
      <c r="C1060" s="51">
        <v>0.17477001327084196</v>
      </c>
      <c r="D1060" s="52">
        <v>136</v>
      </c>
      <c r="E1060" s="53">
        <v>0.74820143884892087</v>
      </c>
      <c r="G1060" s="2"/>
      <c r="L1060" s="5"/>
      <c r="O1060" s="2"/>
    </row>
    <row r="1061" spans="2:15" x14ac:dyDescent="0.2">
      <c r="B1061" s="50">
        <v>1585</v>
      </c>
      <c r="C1061" s="51">
        <v>0.19178196883392329</v>
      </c>
      <c r="D1061" s="52">
        <v>136</v>
      </c>
      <c r="E1061" s="53">
        <v>0.75539568345323738</v>
      </c>
      <c r="G1061" s="2"/>
      <c r="L1061" s="5"/>
      <c r="O1061" s="2"/>
    </row>
    <row r="1062" spans="2:15" x14ac:dyDescent="0.2">
      <c r="B1062" s="50">
        <v>1586</v>
      </c>
      <c r="C1062" s="51">
        <v>0.25932062090215391</v>
      </c>
      <c r="D1062" s="52">
        <v>136</v>
      </c>
      <c r="E1062" s="53">
        <v>0.76258992805755399</v>
      </c>
      <c r="G1062" s="2"/>
      <c r="L1062" s="5"/>
      <c r="O1062" s="2"/>
    </row>
    <row r="1063" spans="2:15" x14ac:dyDescent="0.2">
      <c r="B1063" s="50">
        <v>940</v>
      </c>
      <c r="C1063" s="51">
        <v>0.26094307247820991</v>
      </c>
      <c r="D1063" s="52">
        <v>136</v>
      </c>
      <c r="E1063" s="53">
        <v>0.63309352517985606</v>
      </c>
      <c r="G1063" s="2"/>
      <c r="L1063" s="5"/>
      <c r="O1063" s="2"/>
    </row>
    <row r="1064" spans="2:15" x14ac:dyDescent="0.2">
      <c r="B1064" s="50">
        <v>889</v>
      </c>
      <c r="C1064" s="51">
        <v>0.26246195025238528</v>
      </c>
      <c r="D1064" s="52">
        <v>136</v>
      </c>
      <c r="E1064" s="53">
        <v>0.5539568345323741</v>
      </c>
      <c r="G1064" s="2"/>
      <c r="L1064" s="5"/>
      <c r="O1064" s="2"/>
    </row>
    <row r="1065" spans="2:15" x14ac:dyDescent="0.2">
      <c r="B1065" s="50">
        <v>1550</v>
      </c>
      <c r="C1065" s="51">
        <v>0.27828205854524424</v>
      </c>
      <c r="D1065" s="52">
        <v>136</v>
      </c>
      <c r="E1065" s="53">
        <v>0.75539568345323738</v>
      </c>
      <c r="G1065" s="2"/>
      <c r="L1065" s="5"/>
      <c r="O1065" s="2"/>
    </row>
    <row r="1066" spans="2:15" x14ac:dyDescent="0.2">
      <c r="B1066" s="50">
        <v>1513</v>
      </c>
      <c r="C1066" s="51">
        <v>0.28794779545503102</v>
      </c>
      <c r="D1066" s="52">
        <v>136</v>
      </c>
      <c r="E1066" s="53">
        <v>0.74820143884892087</v>
      </c>
      <c r="G1066" s="2"/>
      <c r="L1066" s="5"/>
      <c r="O1066" s="2"/>
    </row>
    <row r="1067" spans="2:15" x14ac:dyDescent="0.2">
      <c r="B1067" s="50">
        <v>135</v>
      </c>
      <c r="C1067" s="51">
        <v>0.44630088949636326</v>
      </c>
      <c r="D1067" s="52">
        <v>136</v>
      </c>
      <c r="E1067" s="53">
        <v>0.41007194244604317</v>
      </c>
      <c r="G1067" s="2"/>
      <c r="L1067" s="5"/>
      <c r="O1067" s="2"/>
    </row>
    <row r="1068" spans="2:15" x14ac:dyDescent="0.2">
      <c r="B1068" s="50">
        <v>941</v>
      </c>
      <c r="C1068" s="51">
        <v>0.50522280928379537</v>
      </c>
      <c r="D1068" s="52">
        <v>136</v>
      </c>
      <c r="E1068" s="53">
        <v>0.61870503597122306</v>
      </c>
      <c r="G1068" s="2"/>
      <c r="L1068" s="5"/>
      <c r="O1068" s="2"/>
    </row>
    <row r="1069" spans="2:15" x14ac:dyDescent="0.2">
      <c r="B1069" s="50">
        <v>890</v>
      </c>
      <c r="C1069" s="51">
        <v>0.51486771809709175</v>
      </c>
      <c r="D1069" s="52">
        <v>136</v>
      </c>
      <c r="E1069" s="53">
        <v>0.61870503597122306</v>
      </c>
      <c r="G1069" s="2"/>
      <c r="L1069" s="5"/>
      <c r="O1069" s="2"/>
    </row>
    <row r="1070" spans="2:15" x14ac:dyDescent="0.2">
      <c r="B1070" s="50">
        <v>136</v>
      </c>
      <c r="C1070" s="51">
        <v>0.60895128811507271</v>
      </c>
      <c r="D1070" s="52">
        <v>136</v>
      </c>
      <c r="E1070" s="53">
        <v>0.38129496402877699</v>
      </c>
      <c r="G1070" s="2"/>
      <c r="L1070" s="5"/>
      <c r="O1070" s="2"/>
    </row>
    <row r="1071" spans="2:15" x14ac:dyDescent="0.2">
      <c r="B1071" s="50">
        <v>208</v>
      </c>
      <c r="C1071" s="51">
        <v>0.147797628334006</v>
      </c>
      <c r="D1071" s="52">
        <v>138</v>
      </c>
      <c r="E1071" s="53">
        <v>0.6690647482014388</v>
      </c>
      <c r="G1071" s="2"/>
      <c r="L1071" s="5"/>
      <c r="O1071" s="2"/>
    </row>
    <row r="1072" spans="2:15" x14ac:dyDescent="0.2">
      <c r="B1072" s="50">
        <v>263</v>
      </c>
      <c r="C1072" s="51">
        <v>0.50140438208675375</v>
      </c>
      <c r="D1072" s="52">
        <v>138</v>
      </c>
      <c r="E1072" s="53">
        <v>0.59712230215827333</v>
      </c>
      <c r="G1072" s="2"/>
      <c r="L1072" s="5"/>
      <c r="O1072" s="2"/>
    </row>
    <row r="1073" spans="2:15" x14ac:dyDescent="0.2">
      <c r="B1073" s="50">
        <v>325</v>
      </c>
      <c r="C1073" s="51">
        <v>0.50198291194654932</v>
      </c>
      <c r="D1073" s="52">
        <v>138</v>
      </c>
      <c r="E1073" s="53">
        <v>0.59712230215827333</v>
      </c>
      <c r="G1073" s="2"/>
      <c r="L1073" s="5"/>
      <c r="O1073" s="2"/>
    </row>
    <row r="1074" spans="2:15" x14ac:dyDescent="0.2">
      <c r="B1074" s="50">
        <v>938</v>
      </c>
      <c r="C1074" s="51">
        <v>0.53583568127815384</v>
      </c>
      <c r="D1074" s="52">
        <v>138</v>
      </c>
      <c r="E1074" s="53">
        <v>0.21582733812949639</v>
      </c>
      <c r="G1074" s="2"/>
      <c r="L1074" s="5"/>
      <c r="O1074" s="2"/>
    </row>
    <row r="1075" spans="2:15" x14ac:dyDescent="0.2">
      <c r="B1075" s="50">
        <v>887</v>
      </c>
      <c r="C1075" s="51">
        <v>0.54254819313621683</v>
      </c>
      <c r="D1075" s="52">
        <v>138</v>
      </c>
      <c r="E1075" s="53">
        <v>0.23021582733812951</v>
      </c>
      <c r="G1075" s="2"/>
      <c r="L1075" s="5"/>
      <c r="O1075" s="2"/>
    </row>
    <row r="1076" spans="2:15" x14ac:dyDescent="0.2">
      <c r="B1076" s="50">
        <v>1808</v>
      </c>
      <c r="C1076" s="51">
        <v>0.20849887198336681</v>
      </c>
      <c r="D1076" s="52">
        <v>139</v>
      </c>
      <c r="E1076" s="53">
        <v>0.68345323741007191</v>
      </c>
      <c r="G1076" s="2"/>
      <c r="L1076" s="5"/>
      <c r="O1076" s="2"/>
    </row>
    <row r="1077" spans="2:15" x14ac:dyDescent="0.2">
      <c r="B1077" s="50">
        <v>1742</v>
      </c>
      <c r="C1077" s="51">
        <v>0.24099588466015032</v>
      </c>
      <c r="D1077" s="52">
        <v>139</v>
      </c>
      <c r="E1077" s="53">
        <v>0.74820143884892087</v>
      </c>
      <c r="G1077" s="2"/>
      <c r="L1077" s="5"/>
      <c r="O1077" s="2"/>
    </row>
    <row r="1078" spans="2:15" x14ac:dyDescent="0.2">
      <c r="B1078" s="50">
        <v>199</v>
      </c>
      <c r="C1078" s="51">
        <v>0.39579341886177921</v>
      </c>
      <c r="D1078" s="52">
        <v>139</v>
      </c>
      <c r="E1078" s="53">
        <v>0.49640287769784175</v>
      </c>
      <c r="G1078" s="2"/>
      <c r="L1078" s="5"/>
      <c r="O1078" s="2"/>
    </row>
    <row r="1079" spans="2:15" x14ac:dyDescent="0.2">
      <c r="B1079" s="50">
        <v>200</v>
      </c>
      <c r="C1079" s="51">
        <v>0.56906529373804071</v>
      </c>
      <c r="D1079" s="52">
        <v>139</v>
      </c>
      <c r="E1079" s="53">
        <v>0.46762589928057552</v>
      </c>
      <c r="G1079" s="2"/>
      <c r="L1079" s="5"/>
      <c r="O1079" s="2"/>
    </row>
    <row r="1080" spans="2:15" x14ac:dyDescent="0.2">
      <c r="B1080" s="50">
        <v>324</v>
      </c>
      <c r="C1080" s="51">
        <v>0.3654156098800756</v>
      </c>
      <c r="D1080" s="52">
        <v>140</v>
      </c>
      <c r="E1080" s="53">
        <v>0.60431654676258995</v>
      </c>
      <c r="G1080" s="2"/>
      <c r="L1080" s="5"/>
      <c r="O1080" s="2"/>
    </row>
    <row r="1081" spans="2:15" x14ac:dyDescent="0.2">
      <c r="B1081" s="50">
        <v>262</v>
      </c>
      <c r="C1081" s="51">
        <v>0.36873816448021912</v>
      </c>
      <c r="D1081" s="52">
        <v>140</v>
      </c>
      <c r="E1081" s="53">
        <v>0.60431654676258995</v>
      </c>
      <c r="G1081" s="2"/>
      <c r="L1081" s="5"/>
      <c r="O1081" s="2"/>
    </row>
    <row r="1082" spans="2:15" x14ac:dyDescent="0.2">
      <c r="B1082" s="50">
        <v>1676</v>
      </c>
      <c r="C1082" s="51">
        <v>0.37084376703187982</v>
      </c>
      <c r="D1082" s="52">
        <v>141</v>
      </c>
      <c r="E1082" s="53">
        <v>0.58992805755395683</v>
      </c>
      <c r="G1082" s="2"/>
      <c r="L1082" s="5"/>
      <c r="O1082" s="2"/>
    </row>
    <row r="1083" spans="2:15" x14ac:dyDescent="0.2">
      <c r="B1083" s="50">
        <v>45</v>
      </c>
      <c r="C1083" s="51">
        <v>0.16387219022384991</v>
      </c>
      <c r="D1083" s="52">
        <v>142</v>
      </c>
      <c r="E1083" s="53">
        <v>0.2289156626506024</v>
      </c>
      <c r="G1083" s="2"/>
      <c r="L1083" s="5"/>
      <c r="O1083" s="2"/>
    </row>
    <row r="1084" spans="2:15" x14ac:dyDescent="0.2">
      <c r="B1084" s="50">
        <v>46</v>
      </c>
      <c r="C1084" s="51">
        <v>0.16866108658057166</v>
      </c>
      <c r="D1084" s="52">
        <v>142</v>
      </c>
      <c r="E1084" s="53">
        <v>0.2289156626506024</v>
      </c>
      <c r="G1084" s="2"/>
      <c r="L1084" s="5"/>
      <c r="O1084" s="2"/>
    </row>
    <row r="1085" spans="2:15" x14ac:dyDescent="0.2">
      <c r="B1085" s="50">
        <v>1673</v>
      </c>
      <c r="C1085" s="51">
        <v>0.16942939472505558</v>
      </c>
      <c r="D1085" s="52">
        <v>142</v>
      </c>
      <c r="E1085" s="53">
        <v>0.58992805755395683</v>
      </c>
      <c r="G1085" s="2"/>
      <c r="L1085" s="5"/>
      <c r="O1085" s="2"/>
    </row>
    <row r="1086" spans="2:15" x14ac:dyDescent="0.2">
      <c r="B1086" s="50">
        <v>1205</v>
      </c>
      <c r="C1086" s="51">
        <v>0.18491201626997111</v>
      </c>
      <c r="D1086" s="52">
        <v>142</v>
      </c>
      <c r="E1086" s="53">
        <v>0.6690647482014388</v>
      </c>
      <c r="G1086" s="2"/>
      <c r="L1086" s="5"/>
      <c r="O1086" s="2"/>
    </row>
    <row r="1087" spans="2:15" x14ac:dyDescent="0.2">
      <c r="B1087" s="50">
        <v>1206</v>
      </c>
      <c r="C1087" s="51">
        <v>0.2016196756511387</v>
      </c>
      <c r="D1087" s="52">
        <v>142</v>
      </c>
      <c r="E1087" s="53">
        <v>0.66187050359712229</v>
      </c>
      <c r="G1087" s="2"/>
      <c r="L1087" s="5"/>
      <c r="O1087" s="2"/>
    </row>
    <row r="1088" spans="2:15" x14ac:dyDescent="0.2">
      <c r="B1088" s="50">
        <v>1208</v>
      </c>
      <c r="C1088" s="51">
        <v>0.20668059849517828</v>
      </c>
      <c r="D1088" s="52">
        <v>142</v>
      </c>
      <c r="E1088" s="53">
        <v>0.62589928057553956</v>
      </c>
      <c r="G1088" s="2"/>
      <c r="L1088" s="5"/>
      <c r="O1088" s="2"/>
    </row>
    <row r="1089" spans="2:15" x14ac:dyDescent="0.2">
      <c r="B1089" s="50">
        <v>1207</v>
      </c>
      <c r="C1089" s="51">
        <v>0.20873932318023214</v>
      </c>
      <c r="D1089" s="52">
        <v>142</v>
      </c>
      <c r="E1089" s="53">
        <v>0.66187050359712229</v>
      </c>
      <c r="G1089" s="2"/>
      <c r="L1089" s="5"/>
      <c r="O1089" s="2"/>
    </row>
    <row r="1090" spans="2:15" x14ac:dyDescent="0.2">
      <c r="B1090" s="50">
        <v>1250</v>
      </c>
      <c r="C1090" s="51">
        <v>0.20969931035906286</v>
      </c>
      <c r="D1090" s="52">
        <v>142</v>
      </c>
      <c r="E1090" s="53">
        <v>0.71223021582733814</v>
      </c>
      <c r="G1090" s="2"/>
      <c r="L1090" s="5"/>
      <c r="O1090" s="2"/>
    </row>
    <row r="1091" spans="2:15" x14ac:dyDescent="0.2">
      <c r="B1091" s="50">
        <v>1639</v>
      </c>
      <c r="C1091" s="51">
        <v>0.21214050808884821</v>
      </c>
      <c r="D1091" s="52">
        <v>142</v>
      </c>
      <c r="E1091" s="53">
        <v>0.51798561151079137</v>
      </c>
      <c r="G1091" s="2"/>
      <c r="L1091" s="5"/>
      <c r="O1091" s="2"/>
    </row>
    <row r="1092" spans="2:15" x14ac:dyDescent="0.2">
      <c r="B1092" s="50">
        <v>1251</v>
      </c>
      <c r="C1092" s="51">
        <v>0.22587331418918444</v>
      </c>
      <c r="D1092" s="52">
        <v>142</v>
      </c>
      <c r="E1092" s="53">
        <v>0.70503597122302153</v>
      </c>
      <c r="G1092" s="2"/>
      <c r="L1092" s="5"/>
      <c r="O1092" s="2"/>
    </row>
    <row r="1093" spans="2:15" x14ac:dyDescent="0.2">
      <c r="B1093" s="50">
        <v>1252</v>
      </c>
      <c r="C1093" s="51">
        <v>0.2325857945235561</v>
      </c>
      <c r="D1093" s="52">
        <v>142</v>
      </c>
      <c r="E1093" s="53">
        <v>0.71223021582733814</v>
      </c>
      <c r="G1093" s="2"/>
      <c r="L1093" s="5"/>
      <c r="O1093" s="2"/>
    </row>
    <row r="1094" spans="2:15" x14ac:dyDescent="0.2">
      <c r="B1094" s="50">
        <v>1209</v>
      </c>
      <c r="C1094" s="51">
        <v>0.23649227335800316</v>
      </c>
      <c r="D1094" s="52">
        <v>142</v>
      </c>
      <c r="E1094" s="53">
        <v>0.61151079136690645</v>
      </c>
      <c r="G1094" s="2"/>
      <c r="L1094" s="5"/>
      <c r="O1094" s="2"/>
    </row>
    <row r="1095" spans="2:15" x14ac:dyDescent="0.2">
      <c r="B1095" s="50">
        <v>1294</v>
      </c>
      <c r="C1095" s="51">
        <v>0.23693145706411067</v>
      </c>
      <c r="D1095" s="52">
        <v>142</v>
      </c>
      <c r="E1095" s="53">
        <v>0.71942446043165464</v>
      </c>
      <c r="G1095" s="2"/>
      <c r="L1095" s="5"/>
      <c r="O1095" s="2"/>
    </row>
    <row r="1096" spans="2:15" x14ac:dyDescent="0.2">
      <c r="B1096" s="50">
        <v>1298</v>
      </c>
      <c r="C1096" s="51">
        <v>0.24969617402014344</v>
      </c>
      <c r="D1096" s="52">
        <v>142</v>
      </c>
      <c r="E1096" s="53">
        <v>0.65467625899280579</v>
      </c>
      <c r="G1096" s="2"/>
      <c r="L1096" s="5"/>
      <c r="O1096" s="2"/>
    </row>
    <row r="1097" spans="2:15" x14ac:dyDescent="0.2">
      <c r="B1097" s="50">
        <v>1254</v>
      </c>
      <c r="C1097" s="51">
        <v>0.26314374109021976</v>
      </c>
      <c r="D1097" s="52">
        <v>142</v>
      </c>
      <c r="E1097" s="53">
        <v>0.65467625899280579</v>
      </c>
      <c r="G1097" s="2"/>
      <c r="L1097" s="5"/>
      <c r="O1097" s="2"/>
    </row>
    <row r="1098" spans="2:15" x14ac:dyDescent="0.2">
      <c r="B1098" s="50">
        <v>1605</v>
      </c>
      <c r="C1098" s="51">
        <v>0.28076175383627</v>
      </c>
      <c r="D1098" s="52">
        <v>142</v>
      </c>
      <c r="E1098" s="53">
        <v>0.51798561151079137</v>
      </c>
      <c r="G1098" s="2"/>
      <c r="L1098" s="5"/>
      <c r="O1098" s="2"/>
    </row>
    <row r="1099" spans="2:15" x14ac:dyDescent="0.2">
      <c r="B1099" s="50">
        <v>1803</v>
      </c>
      <c r="C1099" s="51">
        <v>0.4883513303478253</v>
      </c>
      <c r="D1099" s="52">
        <v>142</v>
      </c>
      <c r="E1099" s="53">
        <v>0.43884892086330934</v>
      </c>
      <c r="G1099" s="2"/>
      <c r="L1099" s="5"/>
      <c r="O1099" s="2"/>
    </row>
    <row r="1100" spans="2:15" x14ac:dyDescent="0.2">
      <c r="B1100" s="50">
        <v>1458</v>
      </c>
      <c r="C1100" s="51">
        <v>0.18485253142190905</v>
      </c>
      <c r="D1100" s="52">
        <v>143</v>
      </c>
      <c r="E1100" s="53">
        <v>0.66187050359712229</v>
      </c>
      <c r="G1100" s="2"/>
      <c r="L1100" s="5"/>
      <c r="O1100" s="2"/>
    </row>
    <row r="1101" spans="2:15" x14ac:dyDescent="0.2">
      <c r="B1101" s="50">
        <v>1238</v>
      </c>
      <c r="C1101" s="51">
        <v>0.18810265939190918</v>
      </c>
      <c r="D1101" s="52">
        <v>143</v>
      </c>
      <c r="E1101" s="53">
        <v>0.79136690647482011</v>
      </c>
      <c r="G1101" s="2"/>
      <c r="L1101" s="5"/>
      <c r="O1101" s="2"/>
    </row>
    <row r="1102" spans="2:15" x14ac:dyDescent="0.2">
      <c r="B1102" s="50">
        <v>1282</v>
      </c>
      <c r="C1102" s="51">
        <v>0.1916328838307364</v>
      </c>
      <c r="D1102" s="52">
        <v>143</v>
      </c>
      <c r="E1102" s="53">
        <v>0.79136690647482011</v>
      </c>
      <c r="G1102" s="2"/>
      <c r="L1102" s="5"/>
      <c r="O1102" s="2"/>
    </row>
    <row r="1103" spans="2:15" x14ac:dyDescent="0.2">
      <c r="B1103" s="50">
        <v>1237</v>
      </c>
      <c r="C1103" s="51">
        <v>0.20243163554351429</v>
      </c>
      <c r="D1103" s="52">
        <v>143</v>
      </c>
      <c r="E1103" s="53">
        <v>0.79136690647482011</v>
      </c>
      <c r="G1103" s="2"/>
      <c r="L1103" s="5"/>
      <c r="O1103" s="2"/>
    </row>
    <row r="1104" spans="2:15" x14ac:dyDescent="0.2">
      <c r="B1104" s="50">
        <v>1638</v>
      </c>
      <c r="C1104" s="51">
        <v>0.20862623981263706</v>
      </c>
      <c r="D1104" s="52">
        <v>143</v>
      </c>
      <c r="E1104" s="53">
        <v>0.51798561151079137</v>
      </c>
      <c r="G1104" s="2"/>
      <c r="L1104" s="5"/>
      <c r="O1104" s="2"/>
    </row>
    <row r="1105" spans="2:15" x14ac:dyDescent="0.2">
      <c r="B1105" s="50">
        <v>1281</v>
      </c>
      <c r="C1105" s="51">
        <v>0.21082529985668919</v>
      </c>
      <c r="D1105" s="52">
        <v>143</v>
      </c>
      <c r="E1105" s="53">
        <v>0.74820143884892087</v>
      </c>
      <c r="G1105" s="2"/>
      <c r="L1105" s="5"/>
      <c r="O1105" s="2"/>
    </row>
    <row r="1106" spans="2:15" x14ac:dyDescent="0.2">
      <c r="B1106" s="50">
        <v>1192</v>
      </c>
      <c r="C1106" s="51">
        <v>0.21841205590449875</v>
      </c>
      <c r="D1106" s="52">
        <v>143</v>
      </c>
      <c r="E1106" s="53">
        <v>0.74820143884892087</v>
      </c>
      <c r="G1106" s="2"/>
      <c r="L1106" s="5"/>
      <c r="O1106" s="2"/>
    </row>
    <row r="1107" spans="2:15" x14ac:dyDescent="0.2">
      <c r="B1107" s="50">
        <v>1933</v>
      </c>
      <c r="C1107" s="51">
        <v>0.24422657846286666</v>
      </c>
      <c r="D1107" s="52">
        <v>143</v>
      </c>
      <c r="E1107" s="53">
        <v>0.5539568345323741</v>
      </c>
      <c r="G1107" s="2"/>
      <c r="L1107" s="5"/>
      <c r="O1107" s="2"/>
    </row>
    <row r="1108" spans="2:15" x14ac:dyDescent="0.2">
      <c r="B1108" s="50">
        <v>1410</v>
      </c>
      <c r="C1108" s="51">
        <v>0.30076789961153938</v>
      </c>
      <c r="D1108" s="52">
        <v>143</v>
      </c>
      <c r="E1108" s="53">
        <v>0.60431654676258995</v>
      </c>
      <c r="G1108" s="2"/>
      <c r="L1108" s="5"/>
      <c r="O1108" s="2"/>
    </row>
    <row r="1109" spans="2:15" x14ac:dyDescent="0.2">
      <c r="B1109" s="50">
        <v>1909</v>
      </c>
      <c r="C1109" s="51">
        <v>0.40836406674222636</v>
      </c>
      <c r="D1109" s="52">
        <v>143</v>
      </c>
      <c r="E1109" s="53">
        <v>0.47482014388489208</v>
      </c>
      <c r="G1109" s="2"/>
      <c r="L1109" s="5"/>
      <c r="O1109" s="2"/>
    </row>
    <row r="1110" spans="2:15" x14ac:dyDescent="0.2">
      <c r="B1110" s="50">
        <v>1908</v>
      </c>
      <c r="C1110" s="51">
        <v>0.41056764093614373</v>
      </c>
      <c r="D1110" s="52">
        <v>143</v>
      </c>
      <c r="E1110" s="53">
        <v>0.49640287769784175</v>
      </c>
      <c r="G1110" s="2"/>
      <c r="L1110" s="5"/>
      <c r="O1110" s="2"/>
    </row>
    <row r="1111" spans="2:15" x14ac:dyDescent="0.2">
      <c r="B1111" s="50">
        <v>1642</v>
      </c>
      <c r="C1111" s="51">
        <v>0.42351026597186503</v>
      </c>
      <c r="D1111" s="52">
        <v>143</v>
      </c>
      <c r="E1111" s="53">
        <v>0.50359712230215825</v>
      </c>
      <c r="G1111" s="2"/>
      <c r="L1111" s="5"/>
      <c r="O1111" s="2"/>
    </row>
    <row r="1112" spans="2:15" x14ac:dyDescent="0.2">
      <c r="B1112" s="50">
        <v>1491</v>
      </c>
      <c r="C1112" s="51">
        <v>0.20627387827522858</v>
      </c>
      <c r="D1112" s="52">
        <v>144</v>
      </c>
      <c r="E1112" s="53">
        <v>0.64028776978417268</v>
      </c>
      <c r="G1112" s="2"/>
      <c r="L1112" s="5"/>
      <c r="O1112" s="2"/>
    </row>
    <row r="1113" spans="2:15" x14ac:dyDescent="0.2">
      <c r="B1113" s="50">
        <v>1255</v>
      </c>
      <c r="C1113" s="51">
        <v>0.28876489396408289</v>
      </c>
      <c r="D1113" s="52">
        <v>144</v>
      </c>
      <c r="E1113" s="53">
        <v>0.5539568345323741</v>
      </c>
      <c r="G1113" s="2"/>
      <c r="L1113" s="5"/>
      <c r="O1113" s="2"/>
    </row>
    <row r="1114" spans="2:15" x14ac:dyDescent="0.2">
      <c r="B1114" s="50">
        <v>1256</v>
      </c>
      <c r="C1114" s="51">
        <v>0.32629832595530894</v>
      </c>
      <c r="D1114" s="52">
        <v>144</v>
      </c>
      <c r="E1114" s="53">
        <v>0.5467625899280576</v>
      </c>
      <c r="G1114" s="2"/>
      <c r="L1114" s="5"/>
      <c r="O1114" s="2"/>
    </row>
    <row r="1115" spans="2:15" x14ac:dyDescent="0.2">
      <c r="B1115" s="50">
        <v>1217</v>
      </c>
      <c r="C1115" s="51">
        <v>0.34141366276268137</v>
      </c>
      <c r="D1115" s="52">
        <v>144</v>
      </c>
      <c r="E1115" s="53">
        <v>0.4460431654676259</v>
      </c>
      <c r="G1115" s="2"/>
      <c r="L1115" s="5"/>
      <c r="O1115" s="2"/>
    </row>
    <row r="1116" spans="2:15" x14ac:dyDescent="0.2">
      <c r="B1116" s="50">
        <v>1218</v>
      </c>
      <c r="C1116" s="51">
        <v>0.35315488034112752</v>
      </c>
      <c r="D1116" s="52">
        <v>144</v>
      </c>
      <c r="E1116" s="53">
        <v>0.4460431654676259</v>
      </c>
      <c r="G1116" s="2"/>
      <c r="L1116" s="5"/>
      <c r="O1116" s="2"/>
    </row>
    <row r="1117" spans="2:15" x14ac:dyDescent="0.2">
      <c r="B1117" s="50">
        <v>1306</v>
      </c>
      <c r="C1117" s="51">
        <v>0.38590897773894794</v>
      </c>
      <c r="D1117" s="52">
        <v>144</v>
      </c>
      <c r="E1117" s="53">
        <v>0.46043165467625902</v>
      </c>
      <c r="G1117" s="2"/>
      <c r="L1117" s="5"/>
      <c r="O1117" s="2"/>
    </row>
    <row r="1118" spans="2:15" x14ac:dyDescent="0.2">
      <c r="B1118" s="50">
        <v>1307</v>
      </c>
      <c r="C1118" s="51">
        <v>0.39684732743205409</v>
      </c>
      <c r="D1118" s="52">
        <v>144</v>
      </c>
      <c r="E1118" s="53">
        <v>0.45323741007194246</v>
      </c>
      <c r="G1118" s="2"/>
      <c r="L1118" s="5"/>
      <c r="O1118" s="2"/>
    </row>
    <row r="1119" spans="2:15" x14ac:dyDescent="0.2">
      <c r="B1119" s="50">
        <v>1263</v>
      </c>
      <c r="C1119" s="51">
        <v>0.41093014822393148</v>
      </c>
      <c r="D1119" s="52">
        <v>144</v>
      </c>
      <c r="E1119" s="53">
        <v>0.46043165467625902</v>
      </c>
      <c r="G1119" s="2"/>
      <c r="L1119" s="5"/>
      <c r="O1119" s="2"/>
    </row>
    <row r="1120" spans="2:15" x14ac:dyDescent="0.2">
      <c r="B1120" s="50">
        <v>1221</v>
      </c>
      <c r="C1120" s="51">
        <v>0.58055647387574105</v>
      </c>
      <c r="D1120" s="52">
        <v>144</v>
      </c>
      <c r="E1120" s="53">
        <v>0.43884892086330934</v>
      </c>
      <c r="G1120" s="2"/>
      <c r="L1120" s="5"/>
      <c r="O1120" s="2"/>
    </row>
    <row r="1121" spans="2:15" x14ac:dyDescent="0.2">
      <c r="B1121" s="50">
        <v>1334</v>
      </c>
      <c r="C1121" s="51">
        <v>0.190265040416983</v>
      </c>
      <c r="D1121" s="52">
        <v>145</v>
      </c>
      <c r="E1121" s="53">
        <v>0.64028776978417268</v>
      </c>
      <c r="G1121" s="2"/>
      <c r="L1121" s="5"/>
      <c r="O1121" s="2"/>
    </row>
    <row r="1122" spans="2:15" x14ac:dyDescent="0.2">
      <c r="B1122" s="50">
        <v>1335</v>
      </c>
      <c r="C1122" s="51">
        <v>0.23830083211719466</v>
      </c>
      <c r="D1122" s="52">
        <v>145</v>
      </c>
      <c r="E1122" s="53">
        <v>0.62589928057553956</v>
      </c>
      <c r="G1122" s="2"/>
      <c r="L1122" s="5"/>
      <c r="O1122" s="2"/>
    </row>
    <row r="1123" spans="2:15" x14ac:dyDescent="0.2">
      <c r="B1123" s="50">
        <v>1377</v>
      </c>
      <c r="C1123" s="51">
        <v>0.26747778914952225</v>
      </c>
      <c r="D1123" s="52">
        <v>145</v>
      </c>
      <c r="E1123" s="53">
        <v>0.56834532374100721</v>
      </c>
      <c r="G1123" s="2"/>
      <c r="L1123" s="5"/>
      <c r="O1123" s="2"/>
    </row>
    <row r="1124" spans="2:15" x14ac:dyDescent="0.2">
      <c r="B1124" s="50">
        <v>1468</v>
      </c>
      <c r="C1124" s="51">
        <v>0.31103132475121642</v>
      </c>
      <c r="D1124" s="52">
        <v>145</v>
      </c>
      <c r="E1124" s="53">
        <v>0.51798561151079137</v>
      </c>
      <c r="G1124" s="2"/>
      <c r="L1124" s="5"/>
      <c r="O1124" s="2"/>
    </row>
    <row r="1125" spans="2:15" x14ac:dyDescent="0.2">
      <c r="B1125" s="50">
        <v>1429</v>
      </c>
      <c r="C1125" s="51">
        <v>0.36120237167721103</v>
      </c>
      <c r="D1125" s="52">
        <v>145</v>
      </c>
      <c r="E1125" s="53">
        <v>0.51798561151079137</v>
      </c>
      <c r="G1125" s="2"/>
      <c r="L1125" s="5"/>
      <c r="O1125" s="2"/>
    </row>
    <row r="1126" spans="2:15" x14ac:dyDescent="0.2">
      <c r="B1126" s="50">
        <v>1262</v>
      </c>
      <c r="C1126" s="51">
        <v>0.39357678474067548</v>
      </c>
      <c r="D1126" s="52">
        <v>145</v>
      </c>
      <c r="E1126" s="53">
        <v>0.46762589928057552</v>
      </c>
      <c r="G1126" s="2"/>
      <c r="L1126" s="5"/>
      <c r="O1126" s="2"/>
    </row>
    <row r="1127" spans="2:15" x14ac:dyDescent="0.2">
      <c r="B1127" s="50">
        <v>1219</v>
      </c>
      <c r="C1127" s="51">
        <v>0.42323607241845507</v>
      </c>
      <c r="D1127" s="52">
        <v>145</v>
      </c>
      <c r="E1127" s="53">
        <v>0.51079136690647486</v>
      </c>
      <c r="G1127" s="2"/>
      <c r="L1127" s="5"/>
      <c r="O1127" s="2"/>
    </row>
    <row r="1128" spans="2:15" x14ac:dyDescent="0.2">
      <c r="B1128" s="50">
        <v>1344</v>
      </c>
      <c r="C1128" s="51">
        <v>0.43949971194676996</v>
      </c>
      <c r="D1128" s="52">
        <v>145</v>
      </c>
      <c r="E1128" s="53">
        <v>0.46043165467625902</v>
      </c>
      <c r="G1128" s="2"/>
      <c r="L1128" s="5"/>
      <c r="O1128" s="2"/>
    </row>
    <row r="1129" spans="2:15" x14ac:dyDescent="0.2">
      <c r="B1129" s="50">
        <v>1308</v>
      </c>
      <c r="C1129" s="51">
        <v>0.44427506530203886</v>
      </c>
      <c r="D1129" s="52">
        <v>145</v>
      </c>
      <c r="E1129" s="53">
        <v>0.5539568345323741</v>
      </c>
      <c r="G1129" s="2"/>
      <c r="L1129" s="5"/>
      <c r="O1129" s="2"/>
    </row>
    <row r="1130" spans="2:15" x14ac:dyDescent="0.2">
      <c r="B1130" s="50">
        <v>1264</v>
      </c>
      <c r="C1130" s="51">
        <v>0.4466144016282374</v>
      </c>
      <c r="D1130" s="52">
        <v>145</v>
      </c>
      <c r="E1130" s="53">
        <v>0.5539568345323741</v>
      </c>
      <c r="G1130" s="2"/>
      <c r="L1130" s="5"/>
      <c r="O1130" s="2"/>
    </row>
    <row r="1131" spans="2:15" x14ac:dyDescent="0.2">
      <c r="B1131" s="50">
        <v>1749</v>
      </c>
      <c r="C1131" s="51">
        <v>0.21396511547755759</v>
      </c>
      <c r="D1131" s="52">
        <v>146</v>
      </c>
      <c r="E1131" s="53">
        <v>0.68345323741007191</v>
      </c>
      <c r="G1131" s="2"/>
      <c r="L1131" s="5"/>
      <c r="O1131" s="2"/>
    </row>
    <row r="1132" spans="2:15" x14ac:dyDescent="0.2">
      <c r="B1132" s="50">
        <v>1779</v>
      </c>
      <c r="C1132" s="51">
        <v>0.21889944103057546</v>
      </c>
      <c r="D1132" s="52">
        <v>146</v>
      </c>
      <c r="E1132" s="53">
        <v>0.68345323741007191</v>
      </c>
      <c r="G1132" s="2"/>
      <c r="L1132" s="5"/>
      <c r="O1132" s="2"/>
    </row>
    <row r="1133" spans="2:15" x14ac:dyDescent="0.2">
      <c r="B1133" s="50">
        <v>1253</v>
      </c>
      <c r="C1133" s="51">
        <v>0.23313855199078892</v>
      </c>
      <c r="D1133" s="52">
        <v>146</v>
      </c>
      <c r="E1133" s="53">
        <v>0.66187050359712229</v>
      </c>
      <c r="G1133" s="2"/>
      <c r="L1133" s="5"/>
      <c r="O1133" s="2"/>
    </row>
    <row r="1134" spans="2:15" x14ac:dyDescent="0.2">
      <c r="B1134" s="50">
        <v>1297</v>
      </c>
      <c r="C1134" s="51">
        <v>0.23347254699166742</v>
      </c>
      <c r="D1134" s="52">
        <v>146</v>
      </c>
      <c r="E1134" s="53">
        <v>0.66187050359712229</v>
      </c>
      <c r="G1134" s="2"/>
      <c r="L1134" s="5"/>
      <c r="O1134" s="2"/>
    </row>
    <row r="1135" spans="2:15" x14ac:dyDescent="0.2">
      <c r="B1135" s="50">
        <v>1295</v>
      </c>
      <c r="C1135" s="51">
        <v>0.2580836410405174</v>
      </c>
      <c r="D1135" s="52">
        <v>146</v>
      </c>
      <c r="E1135" s="53">
        <v>0.70503597122302153</v>
      </c>
      <c r="G1135" s="2"/>
      <c r="L1135" s="5"/>
      <c r="O1135" s="2"/>
    </row>
    <row r="1136" spans="2:15" x14ac:dyDescent="0.2">
      <c r="B1136" s="50">
        <v>1296</v>
      </c>
      <c r="C1136" s="51">
        <v>0.27047011074211502</v>
      </c>
      <c r="D1136" s="52">
        <v>146</v>
      </c>
      <c r="E1136" s="53">
        <v>0.68345323741007191</v>
      </c>
      <c r="G1136" s="2"/>
      <c r="L1136" s="5"/>
      <c r="O1136" s="2"/>
    </row>
    <row r="1137" spans="2:15" x14ac:dyDescent="0.2">
      <c r="B1137" s="50">
        <v>1353</v>
      </c>
      <c r="C1137" s="51">
        <v>0.28811300018236052</v>
      </c>
      <c r="D1137" s="52">
        <v>146</v>
      </c>
      <c r="E1137" s="53">
        <v>0.40287769784172661</v>
      </c>
      <c r="G1137" s="2"/>
      <c r="L1137" s="5"/>
      <c r="O1137" s="2"/>
    </row>
    <row r="1138" spans="2:15" x14ac:dyDescent="0.2">
      <c r="B1138" s="50">
        <v>1299</v>
      </c>
      <c r="C1138" s="51">
        <v>0.30579072270924723</v>
      </c>
      <c r="D1138" s="52">
        <v>146</v>
      </c>
      <c r="E1138" s="53">
        <v>0.60431654676258995</v>
      </c>
      <c r="G1138" s="2"/>
      <c r="L1138" s="5"/>
      <c r="O1138" s="2"/>
    </row>
    <row r="1139" spans="2:15" x14ac:dyDescent="0.2">
      <c r="B1139" s="50">
        <v>1215</v>
      </c>
      <c r="C1139" s="51">
        <v>0.35930659900920758</v>
      </c>
      <c r="D1139" s="52">
        <v>146</v>
      </c>
      <c r="E1139" s="53">
        <v>0.45323741007194246</v>
      </c>
      <c r="G1139" s="2"/>
      <c r="L1139" s="5"/>
      <c r="O1139" s="2"/>
    </row>
    <row r="1140" spans="2:15" x14ac:dyDescent="0.2">
      <c r="B1140" s="50">
        <v>1260</v>
      </c>
      <c r="C1140" s="51">
        <v>0.38731539063354503</v>
      </c>
      <c r="D1140" s="52">
        <v>146</v>
      </c>
      <c r="E1140" s="53">
        <v>0.5611510791366906</v>
      </c>
      <c r="G1140" s="2"/>
      <c r="L1140" s="5"/>
      <c r="O1140" s="2"/>
    </row>
    <row r="1141" spans="2:15" x14ac:dyDescent="0.2">
      <c r="B1141" s="50">
        <v>1304</v>
      </c>
      <c r="C1141" s="51">
        <v>0.41773457936599945</v>
      </c>
      <c r="D1141" s="52">
        <v>146</v>
      </c>
      <c r="E1141" s="53">
        <v>0.61151079136690645</v>
      </c>
      <c r="G1141" s="2"/>
      <c r="L1141" s="5"/>
      <c r="O1141" s="2"/>
    </row>
    <row r="1142" spans="2:15" x14ac:dyDescent="0.2">
      <c r="B1142" s="50">
        <v>1388</v>
      </c>
      <c r="C1142" s="51">
        <v>0.47576820298347267</v>
      </c>
      <c r="D1142" s="52">
        <v>146</v>
      </c>
      <c r="E1142" s="53">
        <v>0.46762589928057552</v>
      </c>
      <c r="G1142" s="2"/>
      <c r="L1142" s="5"/>
      <c r="O1142" s="2"/>
    </row>
    <row r="1143" spans="2:15" x14ac:dyDescent="0.2">
      <c r="B1143" s="50">
        <v>1369</v>
      </c>
      <c r="C1143" s="51">
        <v>0.25796327216054504</v>
      </c>
      <c r="D1143" s="52">
        <v>147</v>
      </c>
      <c r="E1143" s="53">
        <v>0.61151079136690645</v>
      </c>
      <c r="G1143" s="2"/>
      <c r="L1143" s="5"/>
      <c r="O1143" s="2"/>
    </row>
    <row r="1144" spans="2:15" x14ac:dyDescent="0.2">
      <c r="B1144" s="50">
        <v>1236</v>
      </c>
      <c r="C1144" s="51">
        <v>0.17783694530684979</v>
      </c>
      <c r="D1144" s="52">
        <v>150</v>
      </c>
      <c r="E1144" s="53">
        <v>0.81294964028776984</v>
      </c>
      <c r="G1144" s="2"/>
      <c r="L1144" s="5"/>
      <c r="O1144" s="2"/>
    </row>
    <row r="1145" spans="2:15" x14ac:dyDescent="0.2">
      <c r="B1145" s="50">
        <v>1280</v>
      </c>
      <c r="C1145" s="51">
        <v>0.18884454267682493</v>
      </c>
      <c r="D1145" s="52">
        <v>150</v>
      </c>
      <c r="E1145" s="53">
        <v>0.75539568345323738</v>
      </c>
      <c r="G1145" s="2"/>
      <c r="L1145" s="5"/>
      <c r="O1145" s="2"/>
    </row>
    <row r="1146" spans="2:15" x14ac:dyDescent="0.2">
      <c r="B1146" s="50">
        <v>1191</v>
      </c>
      <c r="C1146" s="51">
        <v>0.19256352859792536</v>
      </c>
      <c r="D1146" s="52">
        <v>150</v>
      </c>
      <c r="E1146" s="53">
        <v>0.75539568345323738</v>
      </c>
      <c r="G1146" s="2"/>
      <c r="L1146" s="5"/>
      <c r="O1146" s="2"/>
    </row>
    <row r="1147" spans="2:15" x14ac:dyDescent="0.2">
      <c r="B1147" s="50">
        <v>1235</v>
      </c>
      <c r="C1147" s="51">
        <v>0.26691198562992535</v>
      </c>
      <c r="D1147" s="52">
        <v>150</v>
      </c>
      <c r="E1147" s="53">
        <v>0.72661870503597126</v>
      </c>
      <c r="G1147" s="2"/>
      <c r="L1147" s="5"/>
      <c r="O1147" s="2"/>
    </row>
    <row r="1148" spans="2:15" x14ac:dyDescent="0.2">
      <c r="B1148" s="50">
        <v>1190</v>
      </c>
      <c r="C1148" s="51">
        <v>0.28527550062280405</v>
      </c>
      <c r="D1148" s="52">
        <v>150</v>
      </c>
      <c r="E1148" s="53">
        <v>0.67625899280575541</v>
      </c>
      <c r="G1148" s="2"/>
      <c r="L1148" s="5"/>
      <c r="O1148" s="2"/>
    </row>
    <row r="1149" spans="2:15" x14ac:dyDescent="0.2">
      <c r="B1149" s="50">
        <v>44</v>
      </c>
      <c r="C1149" s="51">
        <v>0.31456404420323569</v>
      </c>
      <c r="D1149" s="52">
        <v>150</v>
      </c>
      <c r="E1149" s="53">
        <v>0.25301204819277107</v>
      </c>
      <c r="G1149" s="2"/>
      <c r="L1149" s="5"/>
      <c r="O1149" s="2"/>
    </row>
    <row r="1150" spans="2:15" x14ac:dyDescent="0.2">
      <c r="B1150" s="50">
        <v>1563</v>
      </c>
      <c r="C1150" s="51">
        <v>0.144651544296579</v>
      </c>
      <c r="D1150" s="52">
        <v>151</v>
      </c>
      <c r="E1150" s="53">
        <v>0.82733812949640284</v>
      </c>
      <c r="G1150" s="2"/>
      <c r="L1150" s="5"/>
      <c r="O1150" s="2"/>
    </row>
    <row r="1151" spans="2:15" x14ac:dyDescent="0.2">
      <c r="B1151" s="50">
        <v>1599</v>
      </c>
      <c r="C1151" s="51">
        <v>0.17848408755019951</v>
      </c>
      <c r="D1151" s="52">
        <v>151</v>
      </c>
      <c r="E1151" s="53">
        <v>0.71942446043165464</v>
      </c>
      <c r="G1151" s="2"/>
      <c r="L1151" s="5"/>
      <c r="O1151" s="2"/>
    </row>
    <row r="1152" spans="2:15" x14ac:dyDescent="0.2">
      <c r="B1152" s="50">
        <v>1239</v>
      </c>
      <c r="C1152" s="51">
        <v>0.18772694579696736</v>
      </c>
      <c r="D1152" s="52">
        <v>151</v>
      </c>
      <c r="E1152" s="53">
        <v>0.78417266187050361</v>
      </c>
      <c r="G1152" s="2"/>
      <c r="L1152" s="5"/>
      <c r="O1152" s="2"/>
    </row>
    <row r="1153" spans="2:15" x14ac:dyDescent="0.2">
      <c r="B1153" s="50">
        <v>1394</v>
      </c>
      <c r="C1153" s="51">
        <v>0.23855262537890964</v>
      </c>
      <c r="D1153" s="52">
        <v>151</v>
      </c>
      <c r="E1153" s="53">
        <v>0.28776978417266186</v>
      </c>
      <c r="G1153" s="2"/>
      <c r="L1153" s="5"/>
      <c r="O1153" s="2"/>
    </row>
    <row r="1154" spans="2:15" x14ac:dyDescent="0.2">
      <c r="B1154" s="50">
        <v>1037</v>
      </c>
      <c r="C1154" s="51">
        <v>0.38601291703152518</v>
      </c>
      <c r="D1154" s="52">
        <v>151</v>
      </c>
      <c r="E1154" s="53">
        <v>0.23021582733812951</v>
      </c>
      <c r="G1154" s="2"/>
      <c r="L1154" s="5"/>
      <c r="O1154" s="2"/>
    </row>
    <row r="1155" spans="2:15" x14ac:dyDescent="0.2">
      <c r="B1155" s="50">
        <v>988</v>
      </c>
      <c r="C1155" s="51">
        <v>0.43599941704926426</v>
      </c>
      <c r="D1155" s="52">
        <v>151</v>
      </c>
      <c r="E1155" s="53">
        <v>0.20863309352517986</v>
      </c>
      <c r="G1155" s="2"/>
      <c r="L1155" s="5"/>
      <c r="O1155" s="2"/>
    </row>
    <row r="1156" spans="2:15" x14ac:dyDescent="0.2">
      <c r="B1156" s="50">
        <v>1224</v>
      </c>
      <c r="C1156" s="51">
        <v>0.39284414177822291</v>
      </c>
      <c r="D1156" s="52">
        <v>152</v>
      </c>
      <c r="E1156" s="53">
        <v>0.33812949640287771</v>
      </c>
      <c r="G1156" s="2"/>
      <c r="L1156" s="5"/>
      <c r="O1156" s="2"/>
    </row>
    <row r="1157" spans="2:15" x14ac:dyDescent="0.2">
      <c r="B1157" s="50">
        <v>1179</v>
      </c>
      <c r="C1157" s="51">
        <v>0.39577209427892712</v>
      </c>
      <c r="D1157" s="52">
        <v>152</v>
      </c>
      <c r="E1157" s="53">
        <v>0.32374100719424459</v>
      </c>
      <c r="G1157" s="2"/>
      <c r="L1157" s="5"/>
      <c r="O1157" s="2"/>
    </row>
    <row r="1158" spans="2:15" x14ac:dyDescent="0.2">
      <c r="B1158" s="50">
        <v>1220</v>
      </c>
      <c r="C1158" s="51">
        <v>0.42203173985347198</v>
      </c>
      <c r="D1158" s="52">
        <v>152</v>
      </c>
      <c r="E1158" s="53">
        <v>0.4460431654676259</v>
      </c>
      <c r="G1158" s="2"/>
      <c r="L1158" s="5"/>
      <c r="O1158" s="2"/>
    </row>
    <row r="1159" spans="2:15" x14ac:dyDescent="0.2">
      <c r="B1159" s="50">
        <v>1265</v>
      </c>
      <c r="C1159" s="51">
        <v>0.43999986439725136</v>
      </c>
      <c r="D1159" s="52">
        <v>152</v>
      </c>
      <c r="E1159" s="53">
        <v>0.45323741007194246</v>
      </c>
      <c r="G1159" s="2"/>
      <c r="L1159" s="5"/>
      <c r="O1159" s="2"/>
    </row>
    <row r="1160" spans="2:15" x14ac:dyDescent="0.2">
      <c r="B1160" s="50">
        <v>1085</v>
      </c>
      <c r="C1160" s="51">
        <v>0.36316472691685742</v>
      </c>
      <c r="D1160" s="52">
        <v>153</v>
      </c>
      <c r="E1160" s="53">
        <v>0.2805755395683453</v>
      </c>
      <c r="G1160" s="2"/>
      <c r="L1160" s="5"/>
      <c r="O1160" s="2"/>
    </row>
    <row r="1161" spans="2:15" x14ac:dyDescent="0.2">
      <c r="B1161" s="50">
        <v>1268</v>
      </c>
      <c r="C1161" s="51">
        <v>0.28206389835418599</v>
      </c>
      <c r="D1161" s="52">
        <v>154</v>
      </c>
      <c r="E1161" s="53">
        <v>0.23741007194244604</v>
      </c>
      <c r="G1161" s="2"/>
      <c r="L1161" s="5"/>
      <c r="O1161" s="2"/>
    </row>
    <row r="1162" spans="2:15" x14ac:dyDescent="0.2">
      <c r="B1162" s="50">
        <v>1223</v>
      </c>
      <c r="C1162" s="51">
        <v>0.34234457773241433</v>
      </c>
      <c r="D1162" s="52">
        <v>154</v>
      </c>
      <c r="E1162" s="53">
        <v>0.20863309352517986</v>
      </c>
      <c r="G1162" s="2"/>
      <c r="L1162" s="5"/>
      <c r="O1162" s="2"/>
    </row>
    <row r="1163" spans="2:15" x14ac:dyDescent="0.2">
      <c r="B1163" s="50">
        <v>1178</v>
      </c>
      <c r="C1163" s="51">
        <v>0.34688562114429666</v>
      </c>
      <c r="D1163" s="52">
        <v>154</v>
      </c>
      <c r="E1163" s="53">
        <v>0.20863309352517986</v>
      </c>
      <c r="G1163" s="2"/>
      <c r="L1163" s="5"/>
      <c r="O1163" s="2"/>
    </row>
    <row r="1164" spans="2:15" x14ac:dyDescent="0.2">
      <c r="B1164" s="50">
        <v>1132</v>
      </c>
      <c r="C1164" s="51">
        <v>0.35259302393363134</v>
      </c>
      <c r="D1164" s="52">
        <v>154</v>
      </c>
      <c r="E1164" s="53">
        <v>0.2805755395683453</v>
      </c>
      <c r="G1164" s="2"/>
      <c r="L1164" s="5"/>
      <c r="O1164" s="2"/>
    </row>
    <row r="1165" spans="2:15" x14ac:dyDescent="0.2">
      <c r="B1165" s="50">
        <v>1718</v>
      </c>
      <c r="C1165" s="51">
        <v>0.19384812709315269</v>
      </c>
      <c r="D1165" s="52">
        <v>157</v>
      </c>
      <c r="E1165" s="53">
        <v>0.70503597122302153</v>
      </c>
      <c r="G1165" s="2"/>
      <c r="L1165" s="5"/>
      <c r="O1165" s="2"/>
    </row>
    <row r="1166" spans="2:15" x14ac:dyDescent="0.2">
      <c r="B1166" s="50">
        <v>1686</v>
      </c>
      <c r="C1166" s="51">
        <v>0.2409777846893536</v>
      </c>
      <c r="D1166" s="52">
        <v>157</v>
      </c>
      <c r="E1166" s="53">
        <v>0.71223021582733814</v>
      </c>
      <c r="G1166" s="2"/>
      <c r="L1166" s="5"/>
      <c r="O1166" s="2"/>
    </row>
    <row r="1167" spans="2:15" x14ac:dyDescent="0.2">
      <c r="B1167" s="50">
        <v>1204</v>
      </c>
      <c r="C1167" s="51">
        <v>0.15563141542370917</v>
      </c>
      <c r="D1167" s="52">
        <v>158</v>
      </c>
      <c r="E1167" s="53">
        <v>0.64028776978417268</v>
      </c>
      <c r="G1167" s="2"/>
      <c r="L1167" s="5"/>
      <c r="O1167" s="2"/>
    </row>
    <row r="1168" spans="2:15" x14ac:dyDescent="0.2">
      <c r="B1168" s="50">
        <v>1434</v>
      </c>
      <c r="C1168" s="51">
        <v>0.22020948531311813</v>
      </c>
      <c r="D1168" s="52">
        <v>158</v>
      </c>
      <c r="E1168" s="53">
        <v>0.30215827338129497</v>
      </c>
      <c r="G1168" s="2"/>
      <c r="L1168" s="5"/>
      <c r="O1168" s="2"/>
    </row>
    <row r="1169" spans="2:15" x14ac:dyDescent="0.2">
      <c r="B1169" s="50">
        <v>1245</v>
      </c>
      <c r="C1169" s="51">
        <v>0.24154741530542267</v>
      </c>
      <c r="D1169" s="52">
        <v>158</v>
      </c>
      <c r="E1169" s="53">
        <v>0.63309352517985606</v>
      </c>
      <c r="G1169" s="2"/>
      <c r="L1169" s="5"/>
      <c r="O1169" s="2"/>
    </row>
    <row r="1170" spans="2:15" x14ac:dyDescent="0.2">
      <c r="B1170" s="50">
        <v>1200</v>
      </c>
      <c r="C1170" s="51">
        <v>0.26045651213645116</v>
      </c>
      <c r="D1170" s="52">
        <v>158</v>
      </c>
      <c r="E1170" s="53">
        <v>0.63309352517985606</v>
      </c>
      <c r="G1170" s="2"/>
      <c r="L1170" s="5"/>
      <c r="O1170" s="2"/>
    </row>
    <row r="1171" spans="2:15" x14ac:dyDescent="0.2">
      <c r="B1171" s="50">
        <v>1311</v>
      </c>
      <c r="C1171" s="51">
        <v>0.27957097261679509</v>
      </c>
      <c r="D1171" s="52">
        <v>158</v>
      </c>
      <c r="E1171" s="53">
        <v>0.30935251798561153</v>
      </c>
      <c r="G1171" s="2"/>
      <c r="L1171" s="5"/>
      <c r="O1171" s="2"/>
    </row>
    <row r="1172" spans="2:15" x14ac:dyDescent="0.2">
      <c r="B1172" s="50">
        <v>1832</v>
      </c>
      <c r="C1172" s="51">
        <v>0.39247229948230133</v>
      </c>
      <c r="D1172" s="52">
        <v>159</v>
      </c>
      <c r="E1172" s="53">
        <v>0.57553956834532372</v>
      </c>
      <c r="G1172" s="2"/>
      <c r="L1172" s="5"/>
      <c r="O1172" s="2"/>
    </row>
    <row r="1173" spans="2:15" x14ac:dyDescent="0.2">
      <c r="B1173" s="50">
        <v>1677</v>
      </c>
      <c r="C1173" s="51">
        <v>0.41378958498900131</v>
      </c>
      <c r="D1173" s="52">
        <v>159</v>
      </c>
      <c r="E1173" s="53">
        <v>0.57553956834532372</v>
      </c>
      <c r="G1173" s="2"/>
      <c r="L1173" s="5"/>
      <c r="O1173" s="2"/>
    </row>
    <row r="1174" spans="2:15" x14ac:dyDescent="0.2">
      <c r="B1174" s="50">
        <v>1159</v>
      </c>
      <c r="C1174" s="51">
        <v>0.13795299988517684</v>
      </c>
      <c r="D1174" s="52">
        <v>160</v>
      </c>
      <c r="E1174" s="53">
        <v>0.61870503597122306</v>
      </c>
      <c r="G1174" s="2"/>
      <c r="L1174" s="5"/>
      <c r="O1174" s="2"/>
    </row>
    <row r="1175" spans="2:15" x14ac:dyDescent="0.2">
      <c r="B1175" s="50">
        <v>1267</v>
      </c>
      <c r="C1175" s="51">
        <v>0.19456144423725619</v>
      </c>
      <c r="D1175" s="52">
        <v>160</v>
      </c>
      <c r="E1175" s="53">
        <v>0.23021582733812951</v>
      </c>
      <c r="G1175" s="2"/>
      <c r="L1175" s="5"/>
      <c r="O1175" s="2"/>
    </row>
    <row r="1176" spans="2:15" x14ac:dyDescent="0.2">
      <c r="B1176" s="50">
        <v>1934</v>
      </c>
      <c r="C1176" s="51">
        <v>0.28021442095014526</v>
      </c>
      <c r="D1176" s="52">
        <v>160</v>
      </c>
      <c r="E1176" s="53">
        <v>0.5467625899280576</v>
      </c>
      <c r="G1176" s="2"/>
      <c r="L1176" s="5"/>
      <c r="O1176" s="2"/>
    </row>
    <row r="1177" spans="2:15" x14ac:dyDescent="0.2">
      <c r="B1177" s="50">
        <v>1412</v>
      </c>
      <c r="C1177" s="51">
        <v>0.2821380604689907</v>
      </c>
      <c r="D1177" s="52">
        <v>160</v>
      </c>
      <c r="E1177" s="53">
        <v>0.59712230215827333</v>
      </c>
      <c r="G1177" s="2"/>
      <c r="L1177" s="5"/>
      <c r="O1177" s="2"/>
    </row>
    <row r="1178" spans="2:15" x14ac:dyDescent="0.2">
      <c r="B1178" s="50">
        <v>1643</v>
      </c>
      <c r="C1178" s="51">
        <v>0.46499565409740817</v>
      </c>
      <c r="D1178" s="52">
        <v>160</v>
      </c>
      <c r="E1178" s="53">
        <v>0.48920863309352519</v>
      </c>
      <c r="G1178" s="2"/>
      <c r="L1178" s="5"/>
      <c r="O1178" s="2"/>
    </row>
    <row r="1179" spans="2:15" x14ac:dyDescent="0.2">
      <c r="B1179" s="50">
        <v>1193</v>
      </c>
      <c r="C1179" s="51">
        <v>0.20377938321628386</v>
      </c>
      <c r="D1179" s="52">
        <v>161</v>
      </c>
      <c r="E1179" s="53">
        <v>0.74820143884892087</v>
      </c>
      <c r="G1179" s="2"/>
      <c r="L1179" s="5"/>
      <c r="O1179" s="2"/>
    </row>
    <row r="1180" spans="2:15" x14ac:dyDescent="0.2">
      <c r="B1180" s="50">
        <v>1327</v>
      </c>
      <c r="C1180" s="51">
        <v>0.27967129619958131</v>
      </c>
      <c r="D1180" s="52">
        <v>161</v>
      </c>
      <c r="E1180" s="53">
        <v>0.61151079136690645</v>
      </c>
      <c r="G1180" s="2"/>
      <c r="L1180" s="5"/>
      <c r="O1180" s="2"/>
    </row>
    <row r="1181" spans="2:15" x14ac:dyDescent="0.2">
      <c r="B1181" s="50">
        <v>1411</v>
      </c>
      <c r="C1181" s="51">
        <v>0.28342277165774887</v>
      </c>
      <c r="D1181" s="52">
        <v>161</v>
      </c>
      <c r="E1181" s="53">
        <v>0.61151079136690645</v>
      </c>
      <c r="G1181" s="2"/>
      <c r="L1181" s="5"/>
      <c r="O1181" s="2"/>
    </row>
    <row r="1182" spans="2:15" x14ac:dyDescent="0.2">
      <c r="B1182" s="50">
        <v>1216</v>
      </c>
      <c r="C1182" s="51">
        <v>0.36409062107457779</v>
      </c>
      <c r="D1182" s="52">
        <v>161</v>
      </c>
      <c r="E1182" s="53">
        <v>0.46762589928057552</v>
      </c>
      <c r="G1182" s="2"/>
      <c r="L1182" s="5"/>
      <c r="O1182" s="2"/>
    </row>
    <row r="1183" spans="2:15" x14ac:dyDescent="0.2">
      <c r="B1183" s="50">
        <v>1249</v>
      </c>
      <c r="C1183" s="51">
        <v>0.16948882640459317</v>
      </c>
      <c r="D1183" s="52">
        <v>162</v>
      </c>
      <c r="E1183" s="53">
        <v>0.69064748201438853</v>
      </c>
      <c r="G1183" s="2"/>
      <c r="L1183" s="5"/>
      <c r="O1183" s="2"/>
    </row>
    <row r="1184" spans="2:15" x14ac:dyDescent="0.2">
      <c r="B1184" s="50">
        <v>1247</v>
      </c>
      <c r="C1184" s="51">
        <v>0.20298883853262539</v>
      </c>
      <c r="D1184" s="52">
        <v>162</v>
      </c>
      <c r="E1184" s="53">
        <v>0.70503597122302153</v>
      </c>
      <c r="G1184" s="2"/>
      <c r="L1184" s="5"/>
      <c r="O1184" s="2"/>
    </row>
    <row r="1185" spans="2:15" x14ac:dyDescent="0.2">
      <c r="B1185" s="50">
        <v>1293</v>
      </c>
      <c r="C1185" s="51">
        <v>0.22493317667374924</v>
      </c>
      <c r="D1185" s="52">
        <v>162</v>
      </c>
      <c r="E1185" s="53">
        <v>0.61870503597122306</v>
      </c>
      <c r="G1185" s="2"/>
      <c r="L1185" s="5"/>
      <c r="O1185" s="2"/>
    </row>
    <row r="1186" spans="2:15" x14ac:dyDescent="0.2">
      <c r="B1186" s="50">
        <v>1569</v>
      </c>
      <c r="C1186" s="51">
        <v>0.23371393717175026</v>
      </c>
      <c r="D1186" s="52">
        <v>162</v>
      </c>
      <c r="E1186" s="53">
        <v>0.52517985611510787</v>
      </c>
      <c r="G1186" s="2"/>
      <c r="L1186" s="5"/>
      <c r="O1186" s="2"/>
    </row>
    <row r="1187" spans="2:15" x14ac:dyDescent="0.2">
      <c r="B1187" s="50">
        <v>1290</v>
      </c>
      <c r="C1187" s="51">
        <v>0.24468699198318833</v>
      </c>
      <c r="D1187" s="52">
        <v>162</v>
      </c>
      <c r="E1187" s="53">
        <v>0.61870503597122306</v>
      </c>
      <c r="G1187" s="2"/>
      <c r="L1187" s="5"/>
      <c r="O1187" s="2"/>
    </row>
    <row r="1188" spans="2:15" x14ac:dyDescent="0.2">
      <c r="B1188" s="50">
        <v>1246</v>
      </c>
      <c r="C1188" s="51">
        <v>0.2559041910957448</v>
      </c>
      <c r="D1188" s="52">
        <v>162</v>
      </c>
      <c r="E1188" s="53">
        <v>0.56834532374100721</v>
      </c>
      <c r="G1188" s="2"/>
      <c r="L1188" s="5"/>
      <c r="O1188" s="2"/>
    </row>
    <row r="1189" spans="2:15" x14ac:dyDescent="0.2">
      <c r="B1189" s="50">
        <v>1210</v>
      </c>
      <c r="C1189" s="51">
        <v>0.2654997358431026</v>
      </c>
      <c r="D1189" s="52">
        <v>162</v>
      </c>
      <c r="E1189" s="53">
        <v>0.5611510791366906</v>
      </c>
      <c r="G1189" s="2"/>
      <c r="L1189" s="5"/>
      <c r="O1189" s="2"/>
    </row>
    <row r="1190" spans="2:15" x14ac:dyDescent="0.2">
      <c r="B1190" s="50">
        <v>1211</v>
      </c>
      <c r="C1190" s="51">
        <v>0.30325106063916274</v>
      </c>
      <c r="D1190" s="52">
        <v>162</v>
      </c>
      <c r="E1190" s="53">
        <v>0.5539568345323741</v>
      </c>
      <c r="G1190" s="2"/>
      <c r="L1190" s="5"/>
      <c r="O1190" s="2"/>
    </row>
    <row r="1191" spans="2:15" x14ac:dyDescent="0.2">
      <c r="B1191" s="50">
        <v>1300</v>
      </c>
      <c r="C1191" s="51">
        <v>0.34229647152477471</v>
      </c>
      <c r="D1191" s="52">
        <v>162</v>
      </c>
      <c r="E1191" s="53">
        <v>0.59712230215827333</v>
      </c>
      <c r="G1191" s="2"/>
      <c r="L1191" s="5"/>
      <c r="O1191" s="2"/>
    </row>
    <row r="1192" spans="2:15" x14ac:dyDescent="0.2">
      <c r="B1192" s="50">
        <v>1257</v>
      </c>
      <c r="C1192" s="51">
        <v>0.36808068345030176</v>
      </c>
      <c r="D1192" s="52">
        <v>162</v>
      </c>
      <c r="E1192" s="53">
        <v>0.59712230215827333</v>
      </c>
      <c r="G1192" s="2"/>
      <c r="L1192" s="5"/>
      <c r="O1192" s="2"/>
    </row>
    <row r="1193" spans="2:15" x14ac:dyDescent="0.2">
      <c r="B1193" s="50">
        <v>50</v>
      </c>
      <c r="C1193" s="51">
        <v>0.44873383408221623</v>
      </c>
      <c r="D1193" s="52">
        <v>162</v>
      </c>
      <c r="E1193" s="53">
        <v>0.15841584158415842</v>
      </c>
      <c r="G1193" s="2"/>
      <c r="L1193" s="5"/>
      <c r="O1193" s="2"/>
    </row>
    <row r="1194" spans="2:15" x14ac:dyDescent="0.2">
      <c r="B1194" s="50">
        <v>51</v>
      </c>
      <c r="C1194" s="51">
        <v>0.55929180644902643</v>
      </c>
      <c r="D1194" s="52">
        <v>162</v>
      </c>
      <c r="E1194" s="53">
        <v>0.25742574257425743</v>
      </c>
      <c r="G1194" s="2"/>
      <c r="L1194" s="5"/>
      <c r="O1194" s="2"/>
    </row>
    <row r="1195" spans="2:15" x14ac:dyDescent="0.2">
      <c r="B1195" s="50">
        <v>52</v>
      </c>
      <c r="C1195" s="51">
        <v>0.57675126008762101</v>
      </c>
      <c r="D1195" s="52">
        <v>162</v>
      </c>
      <c r="E1195" s="53">
        <v>0.25742574257425743</v>
      </c>
      <c r="G1195" s="2"/>
      <c r="L1195" s="5"/>
      <c r="O1195" s="2"/>
    </row>
    <row r="1196" spans="2:15" x14ac:dyDescent="0.2">
      <c r="B1196" s="50">
        <v>1492</v>
      </c>
      <c r="C1196" s="51">
        <v>0.22365180644573213</v>
      </c>
      <c r="D1196" s="52">
        <v>163</v>
      </c>
      <c r="E1196" s="53">
        <v>0.56834532374100721</v>
      </c>
      <c r="G1196" s="2"/>
      <c r="L1196" s="5"/>
      <c r="O1196" s="2"/>
    </row>
    <row r="1197" spans="2:15" x14ac:dyDescent="0.2">
      <c r="B1197" s="50">
        <v>1261</v>
      </c>
      <c r="C1197" s="51">
        <v>0.39756467502546022</v>
      </c>
      <c r="D1197" s="52">
        <v>163</v>
      </c>
      <c r="E1197" s="53">
        <v>0.50359712230215825</v>
      </c>
      <c r="G1197" s="2"/>
      <c r="L1197" s="5"/>
      <c r="O1197" s="2"/>
    </row>
    <row r="1198" spans="2:15" x14ac:dyDescent="0.2">
      <c r="B1198" s="50">
        <v>1305</v>
      </c>
      <c r="C1198" s="51">
        <v>0.42144419128860766</v>
      </c>
      <c r="D1198" s="52">
        <v>163</v>
      </c>
      <c r="E1198" s="53">
        <v>0.5539568345323741</v>
      </c>
      <c r="G1198" s="2"/>
      <c r="L1198" s="5"/>
      <c r="O1198" s="2"/>
    </row>
    <row r="1199" spans="2:15" x14ac:dyDescent="0.2">
      <c r="B1199" s="50">
        <v>1717</v>
      </c>
      <c r="C1199" s="51">
        <v>0.15731650944375375</v>
      </c>
      <c r="D1199" s="52">
        <v>164</v>
      </c>
      <c r="E1199" s="53">
        <v>0.5539568345323741</v>
      </c>
      <c r="G1199" s="2"/>
      <c r="L1199" s="5"/>
      <c r="O1199" s="2"/>
    </row>
    <row r="1200" spans="2:15" x14ac:dyDescent="0.2">
      <c r="B1200" s="50">
        <v>1652</v>
      </c>
      <c r="C1200" s="51">
        <v>0.20107286716754968</v>
      </c>
      <c r="D1200" s="52">
        <v>164</v>
      </c>
      <c r="E1200" s="53">
        <v>0.60431654676258995</v>
      </c>
      <c r="G1200" s="2"/>
      <c r="L1200" s="5"/>
      <c r="O1200" s="2"/>
    </row>
    <row r="1201" spans="2:15" x14ac:dyDescent="0.2">
      <c r="B1201" s="50">
        <v>1685</v>
      </c>
      <c r="C1201" s="51">
        <v>0.20420807463843405</v>
      </c>
      <c r="D1201" s="52">
        <v>164</v>
      </c>
      <c r="E1201" s="53">
        <v>0.66187050359712229</v>
      </c>
      <c r="G1201" s="2"/>
      <c r="L1201" s="5"/>
      <c r="O1201" s="2"/>
    </row>
    <row r="1202" spans="2:15" x14ac:dyDescent="0.2">
      <c r="B1202" s="50">
        <v>1289</v>
      </c>
      <c r="C1202" s="51">
        <v>0.20453896089939816</v>
      </c>
      <c r="D1202" s="52">
        <v>164</v>
      </c>
      <c r="E1202" s="53">
        <v>0.51798561151079137</v>
      </c>
      <c r="G1202" s="2"/>
      <c r="L1202" s="5"/>
      <c r="O1202" s="2"/>
    </row>
    <row r="1203" spans="2:15" x14ac:dyDescent="0.2">
      <c r="B1203" s="50">
        <v>1618</v>
      </c>
      <c r="C1203" s="51">
        <v>0.23565447458936739</v>
      </c>
      <c r="D1203" s="52">
        <v>164</v>
      </c>
      <c r="E1203" s="53">
        <v>0.59712230215827333</v>
      </c>
      <c r="G1203" s="2"/>
      <c r="L1203" s="5"/>
      <c r="O1203" s="2"/>
    </row>
    <row r="1204" spans="2:15" x14ac:dyDescent="0.2">
      <c r="B1204" s="50">
        <v>1653</v>
      </c>
      <c r="C1204" s="51">
        <v>0.23941042602447682</v>
      </c>
      <c r="D1204" s="52">
        <v>164</v>
      </c>
      <c r="E1204" s="53">
        <v>0.71223021582733814</v>
      </c>
      <c r="G1204" s="2"/>
      <c r="L1204" s="5"/>
      <c r="O1204" s="2"/>
    </row>
    <row r="1205" spans="2:15" x14ac:dyDescent="0.2">
      <c r="B1205" s="50">
        <v>1473</v>
      </c>
      <c r="C1205" s="51">
        <v>0.26978028916578611</v>
      </c>
      <c r="D1205" s="52">
        <v>164</v>
      </c>
      <c r="E1205" s="53">
        <v>0.58992805755395683</v>
      </c>
      <c r="G1205" s="2"/>
      <c r="L1205" s="5"/>
      <c r="O1205" s="2"/>
    </row>
    <row r="1206" spans="2:15" x14ac:dyDescent="0.2">
      <c r="B1206" s="50">
        <v>1619</v>
      </c>
      <c r="C1206" s="51">
        <v>0.27493874291977949</v>
      </c>
      <c r="D1206" s="52">
        <v>164</v>
      </c>
      <c r="E1206" s="53">
        <v>0.71223021582733814</v>
      </c>
      <c r="G1206" s="2"/>
      <c r="L1206" s="5"/>
      <c r="O1206" s="2"/>
    </row>
    <row r="1207" spans="2:15" x14ac:dyDescent="0.2">
      <c r="B1207" s="50">
        <v>1258</v>
      </c>
      <c r="C1207" s="51">
        <v>0.37490477567546032</v>
      </c>
      <c r="D1207" s="52">
        <v>164</v>
      </c>
      <c r="E1207" s="53">
        <v>0.60431654676258995</v>
      </c>
      <c r="G1207" s="2"/>
      <c r="L1207" s="5"/>
      <c r="O1207" s="2"/>
    </row>
    <row r="1208" spans="2:15" x14ac:dyDescent="0.2">
      <c r="B1208" s="50">
        <v>1345</v>
      </c>
      <c r="C1208" s="51">
        <v>0.45254007647748529</v>
      </c>
      <c r="D1208" s="52">
        <v>164</v>
      </c>
      <c r="E1208" s="53">
        <v>0.46762589928057552</v>
      </c>
      <c r="G1208" s="2"/>
      <c r="L1208" s="5"/>
      <c r="O1208" s="2"/>
    </row>
    <row r="1209" spans="2:15" x14ac:dyDescent="0.2">
      <c r="B1209" s="50">
        <v>884</v>
      </c>
      <c r="C1209" s="51">
        <v>0.79453876435342619</v>
      </c>
      <c r="D1209" s="52">
        <v>164</v>
      </c>
      <c r="E1209" s="53">
        <v>0.41726618705035973</v>
      </c>
      <c r="G1209" s="2"/>
      <c r="L1209" s="5"/>
      <c r="O1209" s="2"/>
    </row>
    <row r="1210" spans="2:15" x14ac:dyDescent="0.2">
      <c r="B1210" s="50">
        <v>936</v>
      </c>
      <c r="C1210" s="51">
        <v>0.79760777343212574</v>
      </c>
      <c r="D1210" s="52">
        <v>164</v>
      </c>
      <c r="E1210" s="53">
        <v>0.41726618705035973</v>
      </c>
      <c r="G1210" s="2"/>
      <c r="L1210" s="5"/>
      <c r="O1210" s="2"/>
    </row>
    <row r="1211" spans="2:15" x14ac:dyDescent="0.2">
      <c r="B1211" s="50">
        <v>1370</v>
      </c>
      <c r="C1211" s="51">
        <v>0.24106884299091513</v>
      </c>
      <c r="D1211" s="52">
        <v>165</v>
      </c>
      <c r="E1211" s="53">
        <v>0.5611510791366906</v>
      </c>
      <c r="G1211" s="2"/>
      <c r="L1211" s="5"/>
      <c r="O1211" s="2"/>
    </row>
    <row r="1212" spans="2:15" x14ac:dyDescent="0.2">
      <c r="B1212" s="50">
        <v>935</v>
      </c>
      <c r="C1212" s="51">
        <v>0.69817187472107067</v>
      </c>
      <c r="D1212" s="52">
        <v>165</v>
      </c>
      <c r="E1212" s="53">
        <v>0.33812949640287771</v>
      </c>
      <c r="G1212" s="2"/>
      <c r="L1212" s="5"/>
      <c r="O1212" s="2"/>
    </row>
    <row r="1213" spans="2:15" x14ac:dyDescent="0.2">
      <c r="B1213" s="50">
        <v>986</v>
      </c>
      <c r="C1213" s="51">
        <v>0.70734929007007163</v>
      </c>
      <c r="D1213" s="52">
        <v>165</v>
      </c>
      <c r="E1213" s="53">
        <v>0.34532374100719426</v>
      </c>
      <c r="G1213" s="2"/>
      <c r="L1213" s="5"/>
      <c r="O1213" s="2"/>
    </row>
    <row r="1214" spans="2:15" x14ac:dyDescent="0.2">
      <c r="B1214" s="50">
        <v>1328</v>
      </c>
      <c r="C1214" s="51">
        <v>0.26212677142084395</v>
      </c>
      <c r="D1214" s="52">
        <v>166</v>
      </c>
      <c r="E1214" s="53">
        <v>0.60431654676258995</v>
      </c>
      <c r="G1214" s="2"/>
      <c r="L1214" s="5"/>
      <c r="O1214" s="2"/>
    </row>
    <row r="1215" spans="2:15" x14ac:dyDescent="0.2">
      <c r="B1215" s="50">
        <v>1144</v>
      </c>
      <c r="C1215" s="51">
        <v>0.31805574141939519</v>
      </c>
      <c r="D1215" s="52">
        <v>168</v>
      </c>
      <c r="E1215" s="53">
        <v>0.66187050359712229</v>
      </c>
      <c r="G1215" s="2"/>
      <c r="L1215" s="5"/>
      <c r="O1215" s="2"/>
    </row>
    <row r="1216" spans="2:15" x14ac:dyDescent="0.2">
      <c r="B1216" s="50">
        <v>1097</v>
      </c>
      <c r="C1216" s="51">
        <v>0.32001179550950398</v>
      </c>
      <c r="D1216" s="52">
        <v>168</v>
      </c>
      <c r="E1216" s="53">
        <v>0.66187050359712229</v>
      </c>
      <c r="G1216" s="2"/>
      <c r="L1216" s="5"/>
      <c r="O1216" s="2"/>
    </row>
    <row r="1217" spans="2:15" x14ac:dyDescent="0.2">
      <c r="B1217" s="50">
        <v>1283</v>
      </c>
      <c r="C1217" s="51">
        <v>0.18401100420360506</v>
      </c>
      <c r="D1217" s="52">
        <v>169</v>
      </c>
      <c r="E1217" s="53">
        <v>0.84172661870503596</v>
      </c>
      <c r="G1217" s="2"/>
      <c r="L1217" s="5"/>
      <c r="O1217" s="2"/>
    </row>
    <row r="1218" spans="2:15" x14ac:dyDescent="0.2">
      <c r="B1218" s="50">
        <v>1194</v>
      </c>
      <c r="C1218" s="51">
        <v>0.20379090434275671</v>
      </c>
      <c r="D1218" s="52">
        <v>169</v>
      </c>
      <c r="E1218" s="53">
        <v>0.79136690647482011</v>
      </c>
      <c r="G1218" s="2"/>
      <c r="L1218" s="5"/>
      <c r="O1218" s="2"/>
    </row>
    <row r="1219" spans="2:15" x14ac:dyDescent="0.2">
      <c r="B1219" s="50">
        <v>883</v>
      </c>
      <c r="C1219" s="51">
        <v>0.66570339720628235</v>
      </c>
      <c r="D1219" s="52">
        <v>173</v>
      </c>
      <c r="E1219" s="53">
        <v>0.22302158273381295</v>
      </c>
      <c r="G1219" s="2"/>
      <c r="L1219" s="5"/>
      <c r="O1219" s="2"/>
    </row>
    <row r="1220" spans="2:15" x14ac:dyDescent="0.2">
      <c r="B1220" s="50">
        <v>1393</v>
      </c>
      <c r="C1220" s="51">
        <v>0.16710631777799667</v>
      </c>
      <c r="D1220" s="52">
        <v>174</v>
      </c>
      <c r="E1220" s="53">
        <v>0.25179856115107913</v>
      </c>
      <c r="G1220" s="2"/>
      <c r="L1220" s="5"/>
      <c r="O1220" s="2"/>
    </row>
    <row r="1221" spans="2:15" x14ac:dyDescent="0.2">
      <c r="B1221" s="50">
        <v>1352</v>
      </c>
      <c r="C1221" s="51">
        <v>0.21770988850848982</v>
      </c>
      <c r="D1221" s="52">
        <v>174</v>
      </c>
      <c r="E1221" s="53">
        <v>0.2805755395683453</v>
      </c>
      <c r="G1221" s="2"/>
      <c r="L1221" s="5"/>
      <c r="O1221" s="2"/>
    </row>
    <row r="1222" spans="2:15" x14ac:dyDescent="0.2">
      <c r="B1222" s="50">
        <v>1346</v>
      </c>
      <c r="C1222" s="51">
        <v>0.4502151128496733</v>
      </c>
      <c r="D1222" s="52">
        <v>175</v>
      </c>
      <c r="E1222" s="53">
        <v>0.56834532374100721</v>
      </c>
      <c r="G1222" s="2"/>
      <c r="L1222" s="5"/>
      <c r="O1222" s="2"/>
    </row>
    <row r="1223" spans="2:15" x14ac:dyDescent="0.2">
      <c r="B1223" s="50">
        <v>1433</v>
      </c>
      <c r="C1223" s="51">
        <v>0.14312975723814325</v>
      </c>
      <c r="D1223" s="52">
        <v>176</v>
      </c>
      <c r="E1223" s="53">
        <v>0.25899280575539568</v>
      </c>
      <c r="G1223" s="2"/>
      <c r="L1223" s="5"/>
      <c r="O1223" s="2"/>
    </row>
    <row r="1224" spans="2:15" x14ac:dyDescent="0.2">
      <c r="B1224" s="50">
        <v>1203</v>
      </c>
      <c r="C1224" s="51">
        <v>0.16948759041138683</v>
      </c>
      <c r="D1224" s="52">
        <v>176</v>
      </c>
      <c r="E1224" s="53">
        <v>0.63309352517985606</v>
      </c>
      <c r="G1224" s="2"/>
      <c r="L1224" s="5"/>
      <c r="O1224" s="2"/>
    </row>
    <row r="1225" spans="2:15" x14ac:dyDescent="0.2">
      <c r="B1225" s="50">
        <v>1158</v>
      </c>
      <c r="C1225" s="51">
        <v>0.18003265468508955</v>
      </c>
      <c r="D1225" s="52">
        <v>176</v>
      </c>
      <c r="E1225" s="53">
        <v>0.60431654676258995</v>
      </c>
      <c r="G1225" s="2"/>
      <c r="L1225" s="5"/>
      <c r="O1225" s="2"/>
    </row>
    <row r="1226" spans="2:15" x14ac:dyDescent="0.2">
      <c r="B1226" s="50">
        <v>1310</v>
      </c>
      <c r="C1226" s="51">
        <v>0.20086382529760127</v>
      </c>
      <c r="D1226" s="52">
        <v>176</v>
      </c>
      <c r="E1226" s="53">
        <v>0.23741007194244604</v>
      </c>
      <c r="G1226" s="2"/>
      <c r="L1226" s="5"/>
      <c r="O1226" s="2"/>
    </row>
    <row r="1227" spans="2:15" x14ac:dyDescent="0.2">
      <c r="B1227" s="50">
        <v>1242</v>
      </c>
      <c r="C1227" s="51">
        <v>0.30773680870286158</v>
      </c>
      <c r="D1227" s="52">
        <v>177</v>
      </c>
      <c r="E1227" s="53">
        <v>0.61870503597122306</v>
      </c>
      <c r="G1227" s="2"/>
      <c r="L1227" s="5"/>
      <c r="O1227" s="2"/>
    </row>
    <row r="1228" spans="2:15" x14ac:dyDescent="0.2">
      <c r="B1228" s="50">
        <v>1112</v>
      </c>
      <c r="C1228" s="51">
        <v>0.13599177506388993</v>
      </c>
      <c r="D1228" s="52">
        <v>178</v>
      </c>
      <c r="E1228" s="53">
        <v>0.61870503597122306</v>
      </c>
      <c r="G1228" s="2"/>
      <c r="L1228" s="5"/>
      <c r="O1228" s="2"/>
    </row>
    <row r="1229" spans="2:15" x14ac:dyDescent="0.2">
      <c r="B1229" s="50">
        <v>1065</v>
      </c>
      <c r="C1229" s="51">
        <v>0.14042021705009788</v>
      </c>
      <c r="D1229" s="52">
        <v>178</v>
      </c>
      <c r="E1229" s="53">
        <v>0.60431654676258995</v>
      </c>
      <c r="G1229" s="2"/>
      <c r="L1229" s="5"/>
      <c r="O1229" s="2"/>
    </row>
    <row r="1230" spans="2:15" x14ac:dyDescent="0.2">
      <c r="B1230" s="50">
        <v>1067</v>
      </c>
      <c r="C1230" s="51">
        <v>0.140493639895381</v>
      </c>
      <c r="D1230" s="52">
        <v>178</v>
      </c>
      <c r="E1230" s="53">
        <v>0.53237410071942448</v>
      </c>
      <c r="G1230" s="2"/>
      <c r="L1230" s="5"/>
      <c r="O1230" s="2"/>
    </row>
    <row r="1231" spans="2:15" x14ac:dyDescent="0.2">
      <c r="B1231" s="50">
        <v>1015</v>
      </c>
      <c r="C1231" s="51">
        <v>0.14166343228468181</v>
      </c>
      <c r="D1231" s="52">
        <v>178</v>
      </c>
      <c r="E1231" s="53">
        <v>0.61870503597122306</v>
      </c>
      <c r="G1231" s="2"/>
      <c r="L1231" s="5"/>
      <c r="O1231" s="2"/>
    </row>
    <row r="1232" spans="2:15" x14ac:dyDescent="0.2">
      <c r="B1232" s="50">
        <v>1018</v>
      </c>
      <c r="C1232" s="51">
        <v>0.1429262026189464</v>
      </c>
      <c r="D1232" s="52">
        <v>178</v>
      </c>
      <c r="E1232" s="53">
        <v>0.53956834532374098</v>
      </c>
      <c r="G1232" s="2"/>
      <c r="L1232" s="5"/>
      <c r="O1232" s="2"/>
    </row>
    <row r="1233" spans="2:15" x14ac:dyDescent="0.2">
      <c r="B1233" s="50">
        <v>1066</v>
      </c>
      <c r="C1233" s="51">
        <v>0.14323681885303641</v>
      </c>
      <c r="D1233" s="52">
        <v>178</v>
      </c>
      <c r="E1233" s="53">
        <v>0.61870503597122306</v>
      </c>
      <c r="G1233" s="2"/>
      <c r="L1233" s="5"/>
      <c r="O1233" s="2"/>
    </row>
    <row r="1234" spans="2:15" x14ac:dyDescent="0.2">
      <c r="B1234" s="50">
        <v>1016</v>
      </c>
      <c r="C1234" s="51">
        <v>0.14343104592734479</v>
      </c>
      <c r="D1234" s="52">
        <v>178</v>
      </c>
      <c r="E1234" s="53">
        <v>0.61151079136690645</v>
      </c>
      <c r="G1234" s="2"/>
      <c r="L1234" s="5"/>
      <c r="O1234" s="2"/>
    </row>
    <row r="1235" spans="2:15" x14ac:dyDescent="0.2">
      <c r="B1235" s="50">
        <v>1064</v>
      </c>
      <c r="C1235" s="51">
        <v>0.14384926264748132</v>
      </c>
      <c r="D1235" s="52">
        <v>178</v>
      </c>
      <c r="E1235" s="53">
        <v>0.61151079136690645</v>
      </c>
      <c r="G1235" s="2"/>
      <c r="L1235" s="5"/>
      <c r="O1235" s="2"/>
    </row>
    <row r="1236" spans="2:15" x14ac:dyDescent="0.2">
      <c r="B1236" s="50">
        <v>1017</v>
      </c>
      <c r="C1236" s="51">
        <v>0.15025390382802906</v>
      </c>
      <c r="D1236" s="52">
        <v>178</v>
      </c>
      <c r="E1236" s="53">
        <v>0.61870503597122306</v>
      </c>
      <c r="G1236" s="2"/>
      <c r="L1236" s="5"/>
      <c r="O1236" s="2"/>
    </row>
    <row r="1237" spans="2:15" x14ac:dyDescent="0.2">
      <c r="B1237" s="50">
        <v>1115</v>
      </c>
      <c r="C1237" s="51">
        <v>0.15045508348684111</v>
      </c>
      <c r="D1237" s="52">
        <v>178</v>
      </c>
      <c r="E1237" s="53">
        <v>0.53956834532374098</v>
      </c>
      <c r="G1237" s="2"/>
      <c r="L1237" s="5"/>
      <c r="O1237" s="2"/>
    </row>
    <row r="1238" spans="2:15" x14ac:dyDescent="0.2">
      <c r="B1238" s="50">
        <v>1113</v>
      </c>
      <c r="C1238" s="51">
        <v>0.15144125117062646</v>
      </c>
      <c r="D1238" s="52">
        <v>178</v>
      </c>
      <c r="E1238" s="53">
        <v>0.61151079136690645</v>
      </c>
      <c r="G1238" s="2"/>
      <c r="L1238" s="5"/>
      <c r="O1238" s="2"/>
    </row>
    <row r="1239" spans="2:15" x14ac:dyDescent="0.2">
      <c r="B1239" s="50">
        <v>1162</v>
      </c>
      <c r="C1239" s="51">
        <v>0.15446972091161837</v>
      </c>
      <c r="D1239" s="52">
        <v>178</v>
      </c>
      <c r="E1239" s="53">
        <v>0.53956834532374098</v>
      </c>
      <c r="G1239" s="2"/>
      <c r="L1239" s="5"/>
      <c r="O1239" s="2"/>
    </row>
    <row r="1240" spans="2:15" x14ac:dyDescent="0.2">
      <c r="B1240" s="50">
        <v>1160</v>
      </c>
      <c r="C1240" s="51">
        <v>0.1559547005959846</v>
      </c>
      <c r="D1240" s="52">
        <v>178</v>
      </c>
      <c r="E1240" s="53">
        <v>0.61870503597122306</v>
      </c>
      <c r="G1240" s="2"/>
      <c r="L1240" s="5"/>
      <c r="O1240" s="2"/>
    </row>
    <row r="1241" spans="2:15" x14ac:dyDescent="0.2">
      <c r="B1241" s="50">
        <v>1114</v>
      </c>
      <c r="C1241" s="51">
        <v>0.15953627546432703</v>
      </c>
      <c r="D1241" s="52">
        <v>178</v>
      </c>
      <c r="E1241" s="53">
        <v>0.62589928057553956</v>
      </c>
      <c r="G1241" s="2"/>
      <c r="L1241" s="5"/>
      <c r="O1241" s="2"/>
    </row>
    <row r="1242" spans="2:15" x14ac:dyDescent="0.2">
      <c r="B1242" s="50">
        <v>1068</v>
      </c>
      <c r="C1242" s="51">
        <v>0.159546983011148</v>
      </c>
      <c r="D1242" s="52">
        <v>178</v>
      </c>
      <c r="E1242" s="53">
        <v>0.51079136690647486</v>
      </c>
      <c r="G1242" s="2"/>
      <c r="L1242" s="5"/>
      <c r="O1242" s="2"/>
    </row>
    <row r="1243" spans="2:15" x14ac:dyDescent="0.2">
      <c r="B1243" s="50">
        <v>1161</v>
      </c>
      <c r="C1243" s="51">
        <v>0.16418660352910264</v>
      </c>
      <c r="D1243" s="52">
        <v>178</v>
      </c>
      <c r="E1243" s="53">
        <v>0.62589928057553956</v>
      </c>
      <c r="G1243" s="2"/>
      <c r="L1243" s="5"/>
      <c r="O1243" s="2"/>
    </row>
    <row r="1244" spans="2:15" x14ac:dyDescent="0.2">
      <c r="B1244" s="50">
        <v>914</v>
      </c>
      <c r="C1244" s="51">
        <v>0.1733892751453977</v>
      </c>
      <c r="D1244" s="52">
        <v>178</v>
      </c>
      <c r="E1244" s="53">
        <v>0.62589928057553956</v>
      </c>
      <c r="G1244" s="2"/>
      <c r="L1244" s="5"/>
      <c r="O1244" s="2"/>
    </row>
    <row r="1245" spans="2:15" x14ac:dyDescent="0.2">
      <c r="B1245" s="50">
        <v>1019</v>
      </c>
      <c r="C1245" s="51">
        <v>0.1756534020156616</v>
      </c>
      <c r="D1245" s="52">
        <v>178</v>
      </c>
      <c r="E1245" s="53">
        <v>0.52517985611510787</v>
      </c>
      <c r="G1245" s="2"/>
      <c r="L1245" s="5"/>
      <c r="O1245" s="2"/>
    </row>
    <row r="1246" spans="2:15" x14ac:dyDescent="0.2">
      <c r="B1246" s="50">
        <v>965</v>
      </c>
      <c r="C1246" s="51">
        <v>0.17874911301836749</v>
      </c>
      <c r="D1246" s="52">
        <v>178</v>
      </c>
      <c r="E1246" s="53">
        <v>0.62589928057553956</v>
      </c>
      <c r="G1246" s="2"/>
      <c r="L1246" s="5"/>
      <c r="O1246" s="2"/>
    </row>
    <row r="1247" spans="2:15" x14ac:dyDescent="0.2">
      <c r="B1247" s="50">
        <v>1116</v>
      </c>
      <c r="C1247" s="51">
        <v>0.17987196799405358</v>
      </c>
      <c r="D1247" s="52">
        <v>178</v>
      </c>
      <c r="E1247" s="53">
        <v>0.52517985611510787</v>
      </c>
      <c r="G1247" s="2"/>
      <c r="L1247" s="5"/>
      <c r="O1247" s="2"/>
    </row>
    <row r="1248" spans="2:15" x14ac:dyDescent="0.2">
      <c r="B1248" s="50">
        <v>1163</v>
      </c>
      <c r="C1248" s="51">
        <v>0.18321593492477994</v>
      </c>
      <c r="D1248" s="52">
        <v>178</v>
      </c>
      <c r="E1248" s="53">
        <v>0.52517985611510787</v>
      </c>
      <c r="G1248" s="2"/>
      <c r="L1248" s="5"/>
      <c r="O1248" s="2"/>
    </row>
    <row r="1249" spans="2:15" x14ac:dyDescent="0.2">
      <c r="B1249" s="50">
        <v>966</v>
      </c>
      <c r="C1249" s="51">
        <v>0.19427999742635749</v>
      </c>
      <c r="D1249" s="52">
        <v>178</v>
      </c>
      <c r="E1249" s="53">
        <v>0.66187050359712229</v>
      </c>
      <c r="G1249" s="2"/>
      <c r="L1249" s="5"/>
      <c r="O1249" s="2"/>
    </row>
    <row r="1250" spans="2:15" x14ac:dyDescent="0.2">
      <c r="B1250" s="50">
        <v>1069</v>
      </c>
      <c r="C1250" s="51">
        <v>0.20085888582918088</v>
      </c>
      <c r="D1250" s="52">
        <v>178</v>
      </c>
      <c r="E1250" s="53">
        <v>0.43165467625899279</v>
      </c>
      <c r="G1250" s="2"/>
      <c r="L1250" s="5"/>
      <c r="O1250" s="2"/>
    </row>
    <row r="1251" spans="2:15" x14ac:dyDescent="0.2">
      <c r="B1251" s="50">
        <v>1020</v>
      </c>
      <c r="C1251" s="51">
        <v>0.21204739999172639</v>
      </c>
      <c r="D1251" s="52">
        <v>178</v>
      </c>
      <c r="E1251" s="53">
        <v>0.43165467625899279</v>
      </c>
      <c r="G1251" s="2"/>
      <c r="L1251" s="5"/>
      <c r="O1251" s="2"/>
    </row>
    <row r="1252" spans="2:15" x14ac:dyDescent="0.2">
      <c r="B1252" s="50">
        <v>1117</v>
      </c>
      <c r="C1252" s="51">
        <v>0.21708803321700842</v>
      </c>
      <c r="D1252" s="52">
        <v>178</v>
      </c>
      <c r="E1252" s="53">
        <v>0.51079136690647486</v>
      </c>
      <c r="G1252" s="2"/>
      <c r="L1252" s="5"/>
      <c r="O1252" s="2"/>
    </row>
    <row r="1253" spans="2:15" x14ac:dyDescent="0.2">
      <c r="B1253" s="50">
        <v>1164</v>
      </c>
      <c r="C1253" s="51">
        <v>0.22105549594073615</v>
      </c>
      <c r="D1253" s="52">
        <v>178</v>
      </c>
      <c r="E1253" s="53">
        <v>0.51079136690647486</v>
      </c>
      <c r="G1253" s="2"/>
      <c r="L1253" s="5"/>
      <c r="O1253" s="2"/>
    </row>
    <row r="1254" spans="2:15" x14ac:dyDescent="0.2">
      <c r="B1254" s="50">
        <v>47</v>
      </c>
      <c r="C1254" s="51">
        <v>0.29184122595957052</v>
      </c>
      <c r="D1254" s="52">
        <v>178</v>
      </c>
      <c r="E1254" s="53">
        <v>0.11881188118811881</v>
      </c>
      <c r="G1254" s="2"/>
      <c r="L1254" s="5"/>
      <c r="O1254" s="2"/>
    </row>
    <row r="1255" spans="2:15" x14ac:dyDescent="0.2">
      <c r="B1255" s="50">
        <v>48</v>
      </c>
      <c r="C1255" s="51">
        <v>0.31296297576427268</v>
      </c>
      <c r="D1255" s="52">
        <v>178</v>
      </c>
      <c r="E1255" s="53">
        <v>0.12871287128712872</v>
      </c>
      <c r="G1255" s="2"/>
      <c r="L1255" s="5"/>
      <c r="O1255" s="2"/>
    </row>
    <row r="1256" spans="2:15" x14ac:dyDescent="0.2">
      <c r="B1256" s="50">
        <v>1241</v>
      </c>
      <c r="C1256" s="51">
        <v>0.31464745430598529</v>
      </c>
      <c r="D1256" s="52">
        <v>178</v>
      </c>
      <c r="E1256" s="53">
        <v>0.61870503597122306</v>
      </c>
      <c r="G1256" s="2"/>
      <c r="L1256" s="5"/>
      <c r="O1256" s="2"/>
    </row>
    <row r="1257" spans="2:15" x14ac:dyDescent="0.2">
      <c r="B1257" s="50">
        <v>1243</v>
      </c>
      <c r="C1257" s="51">
        <v>0.32945401689239995</v>
      </c>
      <c r="D1257" s="52">
        <v>178</v>
      </c>
      <c r="E1257" s="53">
        <v>0.62589928057553956</v>
      </c>
      <c r="G1257" s="2"/>
      <c r="L1257" s="5"/>
      <c r="O1257" s="2"/>
    </row>
    <row r="1258" spans="2:15" x14ac:dyDescent="0.2">
      <c r="B1258" s="50">
        <v>1240</v>
      </c>
      <c r="C1258" s="51">
        <v>0.33077698564664781</v>
      </c>
      <c r="D1258" s="52">
        <v>178</v>
      </c>
      <c r="E1258" s="53">
        <v>0.61870503597122306</v>
      </c>
      <c r="G1258" s="2"/>
      <c r="L1258" s="5"/>
      <c r="O1258" s="2"/>
    </row>
    <row r="1259" spans="2:15" x14ac:dyDescent="0.2">
      <c r="B1259" s="50">
        <v>49</v>
      </c>
      <c r="C1259" s="51">
        <v>0.37461162140546223</v>
      </c>
      <c r="D1259" s="52">
        <v>178</v>
      </c>
      <c r="E1259" s="53">
        <v>0.11881188118811881</v>
      </c>
      <c r="G1259" s="2"/>
      <c r="L1259" s="5"/>
      <c r="O1259" s="2"/>
    </row>
    <row r="1260" spans="2:15" x14ac:dyDescent="0.2">
      <c r="B1260" s="50">
        <v>1578</v>
      </c>
      <c r="C1260" s="51">
        <v>0.20966396237091633</v>
      </c>
      <c r="D1260" s="52">
        <v>179</v>
      </c>
      <c r="E1260" s="53">
        <v>0.60431654676258995</v>
      </c>
      <c r="G1260" s="2"/>
      <c r="L1260" s="5"/>
      <c r="O1260" s="2"/>
    </row>
    <row r="1261" spans="2:15" x14ac:dyDescent="0.2">
      <c r="B1261" s="50">
        <v>1147</v>
      </c>
      <c r="C1261" s="51">
        <v>0.23009734882070287</v>
      </c>
      <c r="D1261" s="52">
        <v>179</v>
      </c>
      <c r="E1261" s="53">
        <v>0.74100719424460426</v>
      </c>
      <c r="G1261" s="2"/>
      <c r="L1261" s="5"/>
      <c r="O1261" s="2"/>
    </row>
    <row r="1262" spans="2:15" x14ac:dyDescent="0.2">
      <c r="B1262" s="50">
        <v>1100</v>
      </c>
      <c r="C1262" s="51">
        <v>0.23156499036150535</v>
      </c>
      <c r="D1262" s="52">
        <v>179</v>
      </c>
      <c r="E1262" s="53">
        <v>0.74100719424460426</v>
      </c>
      <c r="G1262" s="2"/>
      <c r="L1262" s="5"/>
      <c r="O1262" s="2"/>
    </row>
    <row r="1263" spans="2:15" x14ac:dyDescent="0.2">
      <c r="B1263" s="50">
        <v>1003</v>
      </c>
      <c r="C1263" s="51">
        <v>0.23581473739910042</v>
      </c>
      <c r="D1263" s="52">
        <v>179</v>
      </c>
      <c r="E1263" s="53">
        <v>0.73381294964028776</v>
      </c>
      <c r="G1263" s="2"/>
      <c r="L1263" s="5"/>
      <c r="O1263" s="2"/>
    </row>
    <row r="1264" spans="2:15" x14ac:dyDescent="0.2">
      <c r="B1264" s="50">
        <v>1052</v>
      </c>
      <c r="C1264" s="51">
        <v>0.2414909834872585</v>
      </c>
      <c r="D1264" s="52">
        <v>179</v>
      </c>
      <c r="E1264" s="53">
        <v>0.73381294964028776</v>
      </c>
      <c r="G1264" s="2"/>
      <c r="L1264" s="5"/>
      <c r="O1264" s="2"/>
    </row>
    <row r="1265" spans="2:15" x14ac:dyDescent="0.2">
      <c r="B1265" s="50">
        <v>1146</v>
      </c>
      <c r="C1265" s="51">
        <v>0.24565811386782888</v>
      </c>
      <c r="D1265" s="52">
        <v>179</v>
      </c>
      <c r="E1265" s="53">
        <v>0.71942446043165464</v>
      </c>
      <c r="G1265" s="2"/>
      <c r="L1265" s="5"/>
      <c r="O1265" s="2"/>
    </row>
    <row r="1266" spans="2:15" x14ac:dyDescent="0.2">
      <c r="B1266" s="50">
        <v>1099</v>
      </c>
      <c r="C1266" s="51">
        <v>0.24710286174518292</v>
      </c>
      <c r="D1266" s="52">
        <v>179</v>
      </c>
      <c r="E1266" s="53">
        <v>0.71942446043165464</v>
      </c>
      <c r="G1266" s="2"/>
      <c r="L1266" s="5"/>
      <c r="O1266" s="2"/>
    </row>
    <row r="1267" spans="2:15" x14ac:dyDescent="0.2">
      <c r="B1267" s="50">
        <v>1002</v>
      </c>
      <c r="C1267" s="51">
        <v>0.25174212689957276</v>
      </c>
      <c r="D1267" s="52">
        <v>179</v>
      </c>
      <c r="E1267" s="53">
        <v>0.72661870503597126</v>
      </c>
      <c r="G1267" s="2"/>
      <c r="L1267" s="5"/>
      <c r="O1267" s="2"/>
    </row>
    <row r="1268" spans="2:15" x14ac:dyDescent="0.2">
      <c r="B1268" s="50">
        <v>1580</v>
      </c>
      <c r="C1268" s="51">
        <v>0.25204257199970392</v>
      </c>
      <c r="D1268" s="52">
        <v>179</v>
      </c>
      <c r="E1268" s="53">
        <v>0.50359712230215825</v>
      </c>
      <c r="G1268" s="2"/>
      <c r="L1268" s="5"/>
      <c r="O1268" s="2"/>
    </row>
    <row r="1269" spans="2:15" x14ac:dyDescent="0.2">
      <c r="B1269" s="50">
        <v>1051</v>
      </c>
      <c r="C1269" s="51">
        <v>0.25779691252540216</v>
      </c>
      <c r="D1269" s="52">
        <v>179</v>
      </c>
      <c r="E1269" s="53">
        <v>0.71942446043165464</v>
      </c>
      <c r="G1269" s="2"/>
      <c r="L1269" s="5"/>
      <c r="O1269" s="2"/>
    </row>
    <row r="1270" spans="2:15" x14ac:dyDescent="0.2">
      <c r="B1270" s="50">
        <v>1581</v>
      </c>
      <c r="C1270" s="51">
        <v>0.28623896294517315</v>
      </c>
      <c r="D1270" s="52">
        <v>179</v>
      </c>
      <c r="E1270" s="53">
        <v>0.50359712230215825</v>
      </c>
      <c r="G1270" s="2"/>
      <c r="L1270" s="5"/>
      <c r="O1270" s="2"/>
    </row>
    <row r="1271" spans="2:15" x14ac:dyDescent="0.2">
      <c r="B1271" s="50">
        <v>1450</v>
      </c>
      <c r="C1271" s="51">
        <v>0.29767246109873768</v>
      </c>
      <c r="D1271" s="52">
        <v>179</v>
      </c>
      <c r="E1271" s="53">
        <v>0.61151079136690645</v>
      </c>
      <c r="G1271" s="2"/>
      <c r="L1271" s="5"/>
      <c r="O1271" s="2"/>
    </row>
    <row r="1272" spans="2:15" x14ac:dyDescent="0.2">
      <c r="B1272" s="50">
        <v>1248</v>
      </c>
      <c r="C1272" s="51">
        <v>0.15895412661123509</v>
      </c>
      <c r="D1272" s="52">
        <v>180</v>
      </c>
      <c r="E1272" s="53">
        <v>0.68345323741007191</v>
      </c>
      <c r="G1272" s="2"/>
      <c r="L1272" s="5"/>
      <c r="O1272" s="2"/>
    </row>
    <row r="1273" spans="2:15" x14ac:dyDescent="0.2">
      <c r="B1273" s="50">
        <v>1291</v>
      </c>
      <c r="C1273" s="51">
        <v>0.18025285222662202</v>
      </c>
      <c r="D1273" s="52">
        <v>180</v>
      </c>
      <c r="E1273" s="53">
        <v>0.67625899280575541</v>
      </c>
      <c r="G1273" s="2"/>
      <c r="L1273" s="5"/>
      <c r="O1273" s="2"/>
    </row>
    <row r="1274" spans="2:15" x14ac:dyDescent="0.2">
      <c r="B1274" s="50">
        <v>1292</v>
      </c>
      <c r="C1274" s="51">
        <v>0.20741918870942944</v>
      </c>
      <c r="D1274" s="52">
        <v>180</v>
      </c>
      <c r="E1274" s="53">
        <v>0.65467625899280579</v>
      </c>
      <c r="G1274" s="2"/>
      <c r="L1274" s="5"/>
      <c r="O1274" s="2"/>
    </row>
    <row r="1275" spans="2:15" x14ac:dyDescent="0.2">
      <c r="B1275" s="50">
        <v>1202</v>
      </c>
      <c r="C1275" s="51">
        <v>0.22046773657638918</v>
      </c>
      <c r="D1275" s="52">
        <v>180</v>
      </c>
      <c r="E1275" s="53">
        <v>0.65467625899280579</v>
      </c>
      <c r="G1275" s="2"/>
      <c r="L1275" s="5"/>
      <c r="O1275" s="2"/>
    </row>
    <row r="1276" spans="2:15" x14ac:dyDescent="0.2">
      <c r="B1276" s="50">
        <v>1493</v>
      </c>
      <c r="C1276" s="51">
        <v>0.22357133778461902</v>
      </c>
      <c r="D1276" s="52">
        <v>180</v>
      </c>
      <c r="E1276" s="53">
        <v>0.64748201438848918</v>
      </c>
      <c r="G1276" s="2"/>
      <c r="L1276" s="5"/>
      <c r="O1276" s="2"/>
    </row>
    <row r="1277" spans="2:15" x14ac:dyDescent="0.2">
      <c r="B1277" s="50">
        <v>1201</v>
      </c>
      <c r="C1277" s="51">
        <v>0.2754851938214754</v>
      </c>
      <c r="D1277" s="52">
        <v>180</v>
      </c>
      <c r="E1277" s="53">
        <v>0.57553956834532372</v>
      </c>
      <c r="G1277" s="2"/>
      <c r="L1277" s="5"/>
      <c r="O1277" s="2"/>
    </row>
    <row r="1278" spans="2:15" x14ac:dyDescent="0.2">
      <c r="B1278" s="50">
        <v>1301</v>
      </c>
      <c r="C1278" s="51">
        <v>0.41945611350325696</v>
      </c>
      <c r="D1278" s="52">
        <v>180</v>
      </c>
      <c r="E1278" s="53">
        <v>0.53237410071942448</v>
      </c>
      <c r="G1278" s="2"/>
      <c r="L1278" s="5"/>
      <c r="O1278" s="2"/>
    </row>
    <row r="1279" spans="2:15" x14ac:dyDescent="0.2">
      <c r="B1279" s="50">
        <v>1175</v>
      </c>
      <c r="C1279" s="51">
        <v>0.57790495214432225</v>
      </c>
      <c r="D1279" s="52">
        <v>180</v>
      </c>
      <c r="E1279" s="53">
        <v>0.43884892086330934</v>
      </c>
      <c r="G1279" s="2"/>
      <c r="L1279" s="5"/>
      <c r="O1279" s="2"/>
    </row>
    <row r="1280" spans="2:15" x14ac:dyDescent="0.2">
      <c r="B1280" s="50">
        <v>1577</v>
      </c>
      <c r="C1280" s="51">
        <v>0.27298766367287586</v>
      </c>
      <c r="D1280" s="52">
        <v>181</v>
      </c>
      <c r="E1280" s="53">
        <v>0.72661870503597126</v>
      </c>
      <c r="G1280" s="2"/>
      <c r="L1280" s="5"/>
      <c r="O1280" s="2"/>
    </row>
    <row r="1281" spans="2:15" x14ac:dyDescent="0.2">
      <c r="B1281" s="50">
        <v>1579</v>
      </c>
      <c r="C1281" s="51">
        <v>0.28262856338138009</v>
      </c>
      <c r="D1281" s="52">
        <v>181</v>
      </c>
      <c r="E1281" s="53">
        <v>0.56834532374100721</v>
      </c>
      <c r="G1281" s="2"/>
      <c r="L1281" s="5"/>
      <c r="O1281" s="2"/>
    </row>
    <row r="1282" spans="2:15" x14ac:dyDescent="0.2">
      <c r="B1282" s="50">
        <v>1469</v>
      </c>
      <c r="C1282" s="51">
        <v>0.30282694083194928</v>
      </c>
      <c r="D1282" s="52">
        <v>181</v>
      </c>
      <c r="E1282" s="53">
        <v>0.50359712230215825</v>
      </c>
      <c r="G1282" s="2"/>
      <c r="L1282" s="5"/>
      <c r="O1282" s="2"/>
    </row>
    <row r="1283" spans="2:15" x14ac:dyDescent="0.2">
      <c r="B1283" s="50">
        <v>1614</v>
      </c>
      <c r="C1283" s="51">
        <v>0.30951542820634592</v>
      </c>
      <c r="D1283" s="52">
        <v>181</v>
      </c>
      <c r="E1283" s="53">
        <v>0.68345323741007191</v>
      </c>
      <c r="G1283" s="2"/>
      <c r="L1283" s="5"/>
      <c r="O1283" s="2"/>
    </row>
    <row r="1284" spans="2:15" x14ac:dyDescent="0.2">
      <c r="B1284" s="50">
        <v>1574</v>
      </c>
      <c r="C1284" s="51">
        <v>0.35346012448827924</v>
      </c>
      <c r="D1284" s="52">
        <v>181</v>
      </c>
      <c r="E1284" s="53">
        <v>0.66187050359712229</v>
      </c>
      <c r="G1284" s="2"/>
      <c r="L1284" s="5"/>
      <c r="O1284" s="2"/>
    </row>
    <row r="1285" spans="2:15" x14ac:dyDescent="0.2">
      <c r="B1285" s="50">
        <v>1616</v>
      </c>
      <c r="C1285" s="51">
        <v>0.35928490199395413</v>
      </c>
      <c r="D1285" s="52">
        <v>181</v>
      </c>
      <c r="E1285" s="53">
        <v>0.58273381294964033</v>
      </c>
      <c r="G1285" s="2"/>
      <c r="L1285" s="5"/>
      <c r="O1285" s="2"/>
    </row>
    <row r="1286" spans="2:15" x14ac:dyDescent="0.2">
      <c r="B1286" s="50">
        <v>1575</v>
      </c>
      <c r="C1286" s="51">
        <v>0.37796276776799054</v>
      </c>
      <c r="D1286" s="52">
        <v>181</v>
      </c>
      <c r="E1286" s="53">
        <v>0.57553956834532372</v>
      </c>
      <c r="G1286" s="2"/>
      <c r="L1286" s="5"/>
      <c r="O1286" s="2"/>
    </row>
    <row r="1287" spans="2:15" x14ac:dyDescent="0.2">
      <c r="B1287" s="50">
        <v>1173</v>
      </c>
      <c r="C1287" s="51">
        <v>0.38326162106030559</v>
      </c>
      <c r="D1287" s="52">
        <v>181</v>
      </c>
      <c r="E1287" s="53">
        <v>0.46043165467625902</v>
      </c>
      <c r="G1287" s="2"/>
      <c r="L1287" s="5"/>
      <c r="O1287" s="2"/>
    </row>
    <row r="1288" spans="2:15" x14ac:dyDescent="0.2">
      <c r="B1288" s="50">
        <v>1576</v>
      </c>
      <c r="C1288" s="51">
        <v>0.39291205298385601</v>
      </c>
      <c r="D1288" s="52">
        <v>181</v>
      </c>
      <c r="E1288" s="53">
        <v>0.58273381294964033</v>
      </c>
      <c r="G1288" s="2"/>
      <c r="L1288" s="5"/>
      <c r="O1288" s="2"/>
    </row>
    <row r="1289" spans="2:15" x14ac:dyDescent="0.2">
      <c r="B1289" s="50">
        <v>1610</v>
      </c>
      <c r="C1289" s="51">
        <v>0.43771715763093111</v>
      </c>
      <c r="D1289" s="52">
        <v>181</v>
      </c>
      <c r="E1289" s="53">
        <v>0.59712230215827333</v>
      </c>
      <c r="G1289" s="2"/>
      <c r="L1289" s="5"/>
      <c r="O1289" s="2"/>
    </row>
    <row r="1290" spans="2:15" x14ac:dyDescent="0.2">
      <c r="B1290" s="50">
        <v>1611</v>
      </c>
      <c r="C1290" s="51">
        <v>0.46476339647685161</v>
      </c>
      <c r="D1290" s="52">
        <v>181</v>
      </c>
      <c r="E1290" s="53">
        <v>0.51079136690647486</v>
      </c>
      <c r="G1290" s="2"/>
      <c r="L1290" s="5"/>
      <c r="O1290" s="2"/>
    </row>
    <row r="1291" spans="2:15" x14ac:dyDescent="0.2">
      <c r="B1291" s="50">
        <v>1130</v>
      </c>
      <c r="C1291" s="51">
        <v>0.57365414635483414</v>
      </c>
      <c r="D1291" s="52">
        <v>181</v>
      </c>
      <c r="E1291" s="53">
        <v>0.31654676258992803</v>
      </c>
      <c r="G1291" s="2"/>
      <c r="L1291" s="5"/>
      <c r="O1291" s="2"/>
    </row>
    <row r="1292" spans="2:15" x14ac:dyDescent="0.2">
      <c r="B1292" s="50">
        <v>1082</v>
      </c>
      <c r="C1292" s="51">
        <v>0.57701052998817581</v>
      </c>
      <c r="D1292" s="52">
        <v>181</v>
      </c>
      <c r="E1292" s="53">
        <v>0.31654676258992803</v>
      </c>
      <c r="G1292" s="2"/>
      <c r="L1292" s="5"/>
      <c r="O1292" s="2"/>
    </row>
    <row r="1293" spans="2:15" x14ac:dyDescent="0.2">
      <c r="B1293" s="50">
        <v>1032</v>
      </c>
      <c r="C1293" s="51">
        <v>0.58321034950086514</v>
      </c>
      <c r="D1293" s="52">
        <v>181</v>
      </c>
      <c r="E1293" s="53">
        <v>0.40287769784172661</v>
      </c>
      <c r="G1293" s="2"/>
      <c r="L1293" s="5"/>
      <c r="O1293" s="2"/>
    </row>
    <row r="1294" spans="2:15" x14ac:dyDescent="0.2">
      <c r="B1294" s="50">
        <v>879</v>
      </c>
      <c r="C1294" s="51">
        <v>0.59052289761011312</v>
      </c>
      <c r="D1294" s="52">
        <v>181</v>
      </c>
      <c r="E1294" s="53">
        <v>0.36690647482014388</v>
      </c>
      <c r="G1294" s="2"/>
      <c r="L1294" s="5"/>
      <c r="O1294" s="2"/>
    </row>
    <row r="1295" spans="2:15" x14ac:dyDescent="0.2">
      <c r="B1295" s="50">
        <v>1083</v>
      </c>
      <c r="C1295" s="51">
        <v>0.59299095327565576</v>
      </c>
      <c r="D1295" s="52">
        <v>181</v>
      </c>
      <c r="E1295" s="53">
        <v>0.32374100719424459</v>
      </c>
      <c r="G1295" s="2"/>
      <c r="L1295" s="5"/>
      <c r="O1295" s="2"/>
    </row>
    <row r="1296" spans="2:15" x14ac:dyDescent="0.2">
      <c r="B1296" s="50">
        <v>1033</v>
      </c>
      <c r="C1296" s="51">
        <v>0.59764553613022708</v>
      </c>
      <c r="D1296" s="52">
        <v>181</v>
      </c>
      <c r="E1296" s="53">
        <v>0.35251798561151076</v>
      </c>
      <c r="G1296" s="2"/>
      <c r="L1296" s="5"/>
      <c r="O1296" s="2"/>
    </row>
    <row r="1297" spans="2:15" x14ac:dyDescent="0.2">
      <c r="B1297" s="50">
        <v>931</v>
      </c>
      <c r="C1297" s="51">
        <v>0.61295989712350496</v>
      </c>
      <c r="D1297" s="52">
        <v>181</v>
      </c>
      <c r="E1297" s="53">
        <v>0.36690647482014388</v>
      </c>
      <c r="G1297" s="2"/>
      <c r="L1297" s="5"/>
      <c r="O1297" s="2"/>
    </row>
    <row r="1298" spans="2:15" x14ac:dyDescent="0.2">
      <c r="B1298" s="50">
        <v>881</v>
      </c>
      <c r="C1298" s="51">
        <v>0.61417985724036039</v>
      </c>
      <c r="D1298" s="52">
        <v>181</v>
      </c>
      <c r="E1298" s="53">
        <v>0.35971223021582732</v>
      </c>
      <c r="G1298" s="2"/>
      <c r="L1298" s="5"/>
      <c r="O1298" s="2"/>
    </row>
    <row r="1299" spans="2:15" x14ac:dyDescent="0.2">
      <c r="B1299" s="50">
        <v>1034</v>
      </c>
      <c r="C1299" s="51">
        <v>0.61487826222975395</v>
      </c>
      <c r="D1299" s="52">
        <v>181</v>
      </c>
      <c r="E1299" s="53">
        <v>0.35971223021582732</v>
      </c>
      <c r="G1299" s="2"/>
      <c r="L1299" s="5"/>
      <c r="O1299" s="2"/>
    </row>
    <row r="1300" spans="2:15" x14ac:dyDescent="0.2">
      <c r="B1300" s="50">
        <v>982</v>
      </c>
      <c r="C1300" s="51">
        <v>0.61642162869246397</v>
      </c>
      <c r="D1300" s="52">
        <v>181</v>
      </c>
      <c r="E1300" s="53">
        <v>0.36690647482014388</v>
      </c>
      <c r="G1300" s="2"/>
      <c r="L1300" s="5"/>
      <c r="O1300" s="2"/>
    </row>
    <row r="1301" spans="2:15" x14ac:dyDescent="0.2">
      <c r="B1301" s="50">
        <v>932</v>
      </c>
      <c r="C1301" s="51">
        <v>0.62875242677733312</v>
      </c>
      <c r="D1301" s="52">
        <v>181</v>
      </c>
      <c r="E1301" s="53">
        <v>0.31654676258992803</v>
      </c>
      <c r="G1301" s="2"/>
      <c r="L1301" s="5"/>
      <c r="O1301" s="2"/>
    </row>
    <row r="1302" spans="2:15" x14ac:dyDescent="0.2">
      <c r="B1302" s="50">
        <v>983</v>
      </c>
      <c r="C1302" s="51">
        <v>0.6309413548288656</v>
      </c>
      <c r="D1302" s="52">
        <v>181</v>
      </c>
      <c r="E1302" s="53">
        <v>0.31654676258992803</v>
      </c>
      <c r="G1302" s="2"/>
      <c r="L1302" s="5"/>
      <c r="O1302" s="2"/>
    </row>
    <row r="1303" spans="2:15" x14ac:dyDescent="0.2">
      <c r="B1303" s="50">
        <v>933</v>
      </c>
      <c r="C1303" s="51">
        <v>0.64444892581104318</v>
      </c>
      <c r="D1303" s="52">
        <v>181</v>
      </c>
      <c r="E1303" s="53">
        <v>0.32374100719424459</v>
      </c>
      <c r="G1303" s="2"/>
      <c r="L1303" s="5"/>
      <c r="O1303" s="2"/>
    </row>
    <row r="1304" spans="2:15" x14ac:dyDescent="0.2">
      <c r="B1304" s="50">
        <v>984</v>
      </c>
      <c r="C1304" s="51">
        <v>0.64798707727804372</v>
      </c>
      <c r="D1304" s="52">
        <v>181</v>
      </c>
      <c r="E1304" s="53">
        <v>0.32374100719424459</v>
      </c>
      <c r="G1304" s="2"/>
      <c r="L1304" s="5"/>
      <c r="O1304" s="2"/>
    </row>
    <row r="1305" spans="2:15" x14ac:dyDescent="0.2">
      <c r="B1305" s="50">
        <v>934</v>
      </c>
      <c r="C1305" s="51">
        <v>0.692339822520329</v>
      </c>
      <c r="D1305" s="52">
        <v>181</v>
      </c>
      <c r="E1305" s="53">
        <v>0.31654676258992803</v>
      </c>
      <c r="G1305" s="2"/>
      <c r="L1305" s="5"/>
      <c r="O1305" s="2"/>
    </row>
    <row r="1306" spans="2:15" x14ac:dyDescent="0.2">
      <c r="B1306" s="50">
        <v>1035</v>
      </c>
      <c r="C1306" s="51">
        <v>0.69619196390580906</v>
      </c>
      <c r="D1306" s="52">
        <v>181</v>
      </c>
      <c r="E1306" s="53">
        <v>0.23741007194244604</v>
      </c>
      <c r="G1306" s="2"/>
      <c r="L1306" s="5"/>
      <c r="O1306" s="2"/>
    </row>
    <row r="1307" spans="2:15" x14ac:dyDescent="0.2">
      <c r="B1307" s="50">
        <v>985</v>
      </c>
      <c r="C1307" s="51">
        <v>0.70801779552043642</v>
      </c>
      <c r="D1307" s="52">
        <v>181</v>
      </c>
      <c r="E1307" s="53">
        <v>0.23741007194244604</v>
      </c>
      <c r="G1307" s="2"/>
      <c r="L1307" s="5"/>
      <c r="O1307" s="2"/>
    </row>
    <row r="1308" spans="2:15" x14ac:dyDescent="0.2">
      <c r="B1308" s="50">
        <v>1472</v>
      </c>
      <c r="C1308" s="51">
        <v>0.22066775080065826</v>
      </c>
      <c r="D1308" s="52">
        <v>182</v>
      </c>
      <c r="E1308" s="53">
        <v>0.52517985611510787</v>
      </c>
      <c r="G1308" s="2"/>
      <c r="L1308" s="5"/>
      <c r="O1308" s="2"/>
    </row>
    <row r="1309" spans="2:15" x14ac:dyDescent="0.2">
      <c r="B1309" s="50">
        <v>1371</v>
      </c>
      <c r="C1309" s="51">
        <v>0.23804561418587478</v>
      </c>
      <c r="D1309" s="52">
        <v>182</v>
      </c>
      <c r="E1309" s="53">
        <v>0.51079136690647486</v>
      </c>
      <c r="G1309" s="2"/>
      <c r="L1309" s="5"/>
      <c r="O1309" s="2"/>
    </row>
    <row r="1310" spans="2:15" x14ac:dyDescent="0.2">
      <c r="B1310" s="50">
        <v>1414</v>
      </c>
      <c r="C1310" s="51">
        <v>0.29944445322072533</v>
      </c>
      <c r="D1310" s="52">
        <v>182</v>
      </c>
      <c r="E1310" s="53">
        <v>0.62589928057553956</v>
      </c>
      <c r="G1310" s="2"/>
      <c r="L1310" s="5"/>
      <c r="O1310" s="2"/>
    </row>
    <row r="1311" spans="2:15" x14ac:dyDescent="0.2">
      <c r="B1311" s="50">
        <v>1027</v>
      </c>
      <c r="C1311" s="51">
        <v>0.30223259625114218</v>
      </c>
      <c r="D1311" s="52">
        <v>182</v>
      </c>
      <c r="E1311" s="53">
        <v>0.37410071942446044</v>
      </c>
      <c r="G1311" s="2"/>
      <c r="L1311" s="5"/>
      <c r="O1311" s="2"/>
    </row>
    <row r="1312" spans="2:15" x14ac:dyDescent="0.2">
      <c r="B1312" s="50">
        <v>1122</v>
      </c>
      <c r="C1312" s="51">
        <v>0.30298352090818548</v>
      </c>
      <c r="D1312" s="52">
        <v>182</v>
      </c>
      <c r="E1312" s="53">
        <v>0.40287769784172661</v>
      </c>
      <c r="G1312" s="2"/>
      <c r="L1312" s="5"/>
      <c r="O1312" s="2"/>
    </row>
    <row r="1313" spans="2:15" x14ac:dyDescent="0.2">
      <c r="B1313" s="50">
        <v>1169</v>
      </c>
      <c r="C1313" s="51">
        <v>0.30639223205839972</v>
      </c>
      <c r="D1313" s="52">
        <v>182</v>
      </c>
      <c r="E1313" s="53">
        <v>0.40287769784172661</v>
      </c>
      <c r="G1313" s="2"/>
      <c r="L1313" s="5"/>
      <c r="O1313" s="2"/>
    </row>
    <row r="1314" spans="2:15" x14ac:dyDescent="0.2">
      <c r="B1314" s="50">
        <v>1028</v>
      </c>
      <c r="C1314" s="51">
        <v>0.34372551710375709</v>
      </c>
      <c r="D1314" s="52">
        <v>182</v>
      </c>
      <c r="E1314" s="53">
        <v>0.37410071942446044</v>
      </c>
      <c r="G1314" s="2"/>
      <c r="L1314" s="5"/>
      <c r="O1314" s="2"/>
    </row>
    <row r="1315" spans="2:15" x14ac:dyDescent="0.2">
      <c r="B1315" s="50">
        <v>1212</v>
      </c>
      <c r="C1315" s="51">
        <v>0.34926993716451127</v>
      </c>
      <c r="D1315" s="52">
        <v>182</v>
      </c>
      <c r="E1315" s="53">
        <v>0.5467625899280576</v>
      </c>
      <c r="G1315" s="2"/>
      <c r="L1315" s="5"/>
      <c r="O1315" s="2"/>
    </row>
    <row r="1316" spans="2:15" x14ac:dyDescent="0.2">
      <c r="B1316" s="50">
        <v>1213</v>
      </c>
      <c r="C1316" s="51">
        <v>0.35540550817394345</v>
      </c>
      <c r="D1316" s="52">
        <v>182</v>
      </c>
      <c r="E1316" s="53">
        <v>0.5539568345323741</v>
      </c>
      <c r="G1316" s="2"/>
      <c r="L1316" s="5"/>
      <c r="O1316" s="2"/>
    </row>
    <row r="1317" spans="2:15" x14ac:dyDescent="0.2">
      <c r="B1317" s="50">
        <v>1259</v>
      </c>
      <c r="C1317" s="51">
        <v>0.37625965184021071</v>
      </c>
      <c r="D1317" s="52">
        <v>182</v>
      </c>
      <c r="E1317" s="53">
        <v>0.60431654676258995</v>
      </c>
      <c r="G1317" s="2"/>
      <c r="L1317" s="5"/>
      <c r="O1317" s="2"/>
    </row>
    <row r="1318" spans="2:15" x14ac:dyDescent="0.2">
      <c r="B1318" s="50">
        <v>1613</v>
      </c>
      <c r="C1318" s="51">
        <v>0.38725928333910842</v>
      </c>
      <c r="D1318" s="52">
        <v>182</v>
      </c>
      <c r="E1318" s="53">
        <v>0.59712230215827333</v>
      </c>
      <c r="G1318" s="2"/>
      <c r="L1318" s="5"/>
      <c r="O1318" s="2"/>
    </row>
    <row r="1319" spans="2:15" x14ac:dyDescent="0.2">
      <c r="B1319" s="50">
        <v>1615</v>
      </c>
      <c r="C1319" s="51">
        <v>0.39667775460077037</v>
      </c>
      <c r="D1319" s="52">
        <v>182</v>
      </c>
      <c r="E1319" s="53">
        <v>0.48201438848920863</v>
      </c>
      <c r="G1319" s="2"/>
      <c r="L1319" s="5"/>
      <c r="O1319" s="2"/>
    </row>
    <row r="1320" spans="2:15" x14ac:dyDescent="0.2">
      <c r="B1320" s="50">
        <v>1612</v>
      </c>
      <c r="C1320" s="51">
        <v>0.48061062662260845</v>
      </c>
      <c r="D1320" s="52">
        <v>182</v>
      </c>
      <c r="E1320" s="53">
        <v>0.51798561151079137</v>
      </c>
      <c r="G1320" s="2"/>
      <c r="L1320" s="5"/>
      <c r="O1320" s="2"/>
    </row>
    <row r="1321" spans="2:15" x14ac:dyDescent="0.2">
      <c r="B1321" s="50">
        <v>1128</v>
      </c>
      <c r="C1321" s="51">
        <v>0.57093929423835521</v>
      </c>
      <c r="D1321" s="52">
        <v>182</v>
      </c>
      <c r="E1321" s="53">
        <v>0.43884892086330934</v>
      </c>
      <c r="G1321" s="2"/>
      <c r="L1321" s="5"/>
      <c r="O1321" s="2"/>
    </row>
    <row r="1322" spans="2:15" x14ac:dyDescent="0.2">
      <c r="B1322" s="50">
        <v>1129</v>
      </c>
      <c r="C1322" s="51">
        <v>0.59407501177086475</v>
      </c>
      <c r="D1322" s="52">
        <v>182</v>
      </c>
      <c r="E1322" s="53">
        <v>0.43884892086330934</v>
      </c>
      <c r="G1322" s="2"/>
      <c r="L1322" s="5"/>
      <c r="O1322" s="2"/>
    </row>
    <row r="1323" spans="2:15" x14ac:dyDescent="0.2">
      <c r="B1323" s="50">
        <v>1176</v>
      </c>
      <c r="C1323" s="51">
        <v>0.60385007170230498</v>
      </c>
      <c r="D1323" s="52">
        <v>182</v>
      </c>
      <c r="E1323" s="53">
        <v>0.43884892086330934</v>
      </c>
      <c r="G1323" s="2"/>
      <c r="L1323" s="5"/>
      <c r="O1323" s="2"/>
    </row>
    <row r="1324" spans="2:15" x14ac:dyDescent="0.2">
      <c r="B1324" s="50">
        <v>885</v>
      </c>
      <c r="C1324" s="51">
        <v>0.81338375054436229</v>
      </c>
      <c r="D1324" s="52">
        <v>182</v>
      </c>
      <c r="E1324" s="53">
        <v>0.41726618705035973</v>
      </c>
      <c r="G1324" s="2"/>
      <c r="L1324" s="5"/>
      <c r="O1324" s="2"/>
    </row>
    <row r="1325" spans="2:15" x14ac:dyDescent="0.2">
      <c r="B1325" s="50">
        <v>1329</v>
      </c>
      <c r="C1325" s="51">
        <v>0.25909015217434772</v>
      </c>
      <c r="D1325" s="52">
        <v>183</v>
      </c>
      <c r="E1325" s="53">
        <v>0.60431654676258995</v>
      </c>
      <c r="G1325" s="2"/>
      <c r="L1325" s="5"/>
      <c r="O1325" s="2"/>
    </row>
    <row r="1326" spans="2:15" x14ac:dyDescent="0.2">
      <c r="B1326" s="50">
        <v>1413</v>
      </c>
      <c r="C1326" s="51">
        <v>0.30159241832840589</v>
      </c>
      <c r="D1326" s="52">
        <v>183</v>
      </c>
      <c r="E1326" s="53">
        <v>0.60431654676258995</v>
      </c>
      <c r="G1326" s="2"/>
      <c r="L1326" s="5"/>
      <c r="O1326" s="2"/>
    </row>
    <row r="1327" spans="2:15" x14ac:dyDescent="0.2">
      <c r="B1327" s="50">
        <v>1078</v>
      </c>
      <c r="C1327" s="51">
        <v>0.3627989650005089</v>
      </c>
      <c r="D1327" s="52">
        <v>183</v>
      </c>
      <c r="E1327" s="53">
        <v>0.38129496402877699</v>
      </c>
      <c r="G1327" s="2"/>
      <c r="L1327" s="5"/>
      <c r="O1327" s="2"/>
    </row>
    <row r="1328" spans="2:15" x14ac:dyDescent="0.2">
      <c r="B1328" s="50">
        <v>1029</v>
      </c>
      <c r="C1328" s="51">
        <v>0.37686003219404174</v>
      </c>
      <c r="D1328" s="52">
        <v>183</v>
      </c>
      <c r="E1328" s="53">
        <v>0.38848920863309355</v>
      </c>
      <c r="G1328" s="2"/>
      <c r="L1328" s="5"/>
      <c r="O1328" s="2"/>
    </row>
    <row r="1329" spans="2:15" x14ac:dyDescent="0.2">
      <c r="B1329" s="50">
        <v>1126</v>
      </c>
      <c r="C1329" s="51">
        <v>0.37944342140001031</v>
      </c>
      <c r="D1329" s="52">
        <v>183</v>
      </c>
      <c r="E1329" s="53">
        <v>0.46043165467625902</v>
      </c>
      <c r="G1329" s="2"/>
      <c r="L1329" s="5"/>
      <c r="O1329" s="2"/>
    </row>
    <row r="1330" spans="2:15" x14ac:dyDescent="0.2">
      <c r="B1330" s="50">
        <v>978</v>
      </c>
      <c r="C1330" s="51">
        <v>0.41179677280888116</v>
      </c>
      <c r="D1330" s="52">
        <v>183</v>
      </c>
      <c r="E1330" s="53">
        <v>0.49640287769784175</v>
      </c>
      <c r="G1330" s="2"/>
      <c r="L1330" s="5"/>
      <c r="O1330" s="2"/>
    </row>
    <row r="1331" spans="2:15" x14ac:dyDescent="0.2">
      <c r="B1331" s="50">
        <v>1080</v>
      </c>
      <c r="C1331" s="51">
        <v>0.55659444860050111</v>
      </c>
      <c r="D1331" s="52">
        <v>183</v>
      </c>
      <c r="E1331" s="53">
        <v>0.36690647482014388</v>
      </c>
      <c r="G1331" s="2"/>
      <c r="L1331" s="5"/>
      <c r="O1331" s="2"/>
    </row>
    <row r="1332" spans="2:15" x14ac:dyDescent="0.2">
      <c r="B1332" s="50">
        <v>1031</v>
      </c>
      <c r="C1332" s="51">
        <v>0.56531807643147425</v>
      </c>
      <c r="D1332" s="52">
        <v>183</v>
      </c>
      <c r="E1332" s="53">
        <v>0.40287769784172661</v>
      </c>
      <c r="G1332" s="2"/>
      <c r="L1332" s="5"/>
      <c r="O1332" s="2"/>
    </row>
    <row r="1333" spans="2:15" x14ac:dyDescent="0.2">
      <c r="B1333" s="50">
        <v>878</v>
      </c>
      <c r="C1333" s="51">
        <v>0.57470903080830571</v>
      </c>
      <c r="D1333" s="52">
        <v>183</v>
      </c>
      <c r="E1333" s="53">
        <v>0.36690647482014388</v>
      </c>
      <c r="G1333" s="2"/>
      <c r="L1333" s="5"/>
      <c r="O1333" s="2"/>
    </row>
    <row r="1334" spans="2:15" x14ac:dyDescent="0.2">
      <c r="B1334" s="50">
        <v>1081</v>
      </c>
      <c r="C1334" s="51">
        <v>0.57475458779802346</v>
      </c>
      <c r="D1334" s="52">
        <v>183</v>
      </c>
      <c r="E1334" s="53">
        <v>0.36690647482014388</v>
      </c>
      <c r="G1334" s="2"/>
      <c r="L1334" s="5"/>
      <c r="O1334" s="2"/>
    </row>
    <row r="1335" spans="2:15" x14ac:dyDescent="0.2">
      <c r="B1335" s="50">
        <v>930</v>
      </c>
      <c r="C1335" s="51">
        <v>0.59648216885080441</v>
      </c>
      <c r="D1335" s="52">
        <v>183</v>
      </c>
      <c r="E1335" s="53">
        <v>0.36690647482014388</v>
      </c>
      <c r="G1335" s="2"/>
      <c r="L1335" s="5"/>
      <c r="O1335" s="2"/>
    </row>
    <row r="1336" spans="2:15" x14ac:dyDescent="0.2">
      <c r="B1336" s="50">
        <v>981</v>
      </c>
      <c r="C1336" s="51">
        <v>0.59996971229261686</v>
      </c>
      <c r="D1336" s="52">
        <v>183</v>
      </c>
      <c r="E1336" s="53">
        <v>0.36690647482014388</v>
      </c>
      <c r="G1336" s="2"/>
      <c r="L1336" s="5"/>
      <c r="O1336" s="2"/>
    </row>
    <row r="1337" spans="2:15" x14ac:dyDescent="0.2">
      <c r="B1337" s="50">
        <v>1510</v>
      </c>
      <c r="C1337" s="51">
        <v>0.23260303872714294</v>
      </c>
      <c r="D1337" s="52">
        <v>184</v>
      </c>
      <c r="E1337" s="53">
        <v>0.58992805755395683</v>
      </c>
      <c r="G1337" s="2"/>
      <c r="L1337" s="5"/>
      <c r="O1337" s="2"/>
    </row>
    <row r="1338" spans="2:15" x14ac:dyDescent="0.2">
      <c r="B1338" s="50">
        <v>1547</v>
      </c>
      <c r="C1338" s="51">
        <v>0.23806887002363941</v>
      </c>
      <c r="D1338" s="52">
        <v>184</v>
      </c>
      <c r="E1338" s="53">
        <v>0.60431654676258995</v>
      </c>
      <c r="G1338" s="2"/>
      <c r="L1338" s="5"/>
      <c r="O1338" s="2"/>
    </row>
    <row r="1339" spans="2:15" x14ac:dyDescent="0.2">
      <c r="B1339" s="50">
        <v>1583</v>
      </c>
      <c r="C1339" s="51">
        <v>0.24829399356822113</v>
      </c>
      <c r="D1339" s="52">
        <v>184</v>
      </c>
      <c r="E1339" s="53">
        <v>0.60431654676258995</v>
      </c>
      <c r="G1339" s="2"/>
      <c r="L1339" s="5"/>
      <c r="O1339" s="2"/>
    </row>
    <row r="1340" spans="2:15" x14ac:dyDescent="0.2">
      <c r="B1340" s="50">
        <v>1373</v>
      </c>
      <c r="C1340" s="51">
        <v>0.25289724258024304</v>
      </c>
      <c r="D1340" s="52">
        <v>184</v>
      </c>
      <c r="E1340" s="53">
        <v>0.51798561151079137</v>
      </c>
      <c r="G1340" s="2"/>
      <c r="L1340" s="5"/>
      <c r="O1340" s="2"/>
    </row>
    <row r="1341" spans="2:15" x14ac:dyDescent="0.2">
      <c r="B1341" s="50">
        <v>1372</v>
      </c>
      <c r="C1341" s="51">
        <v>0.2562449395092613</v>
      </c>
      <c r="D1341" s="52">
        <v>184</v>
      </c>
      <c r="E1341" s="53">
        <v>0.51798561151079137</v>
      </c>
      <c r="G1341" s="2"/>
      <c r="L1341" s="5"/>
      <c r="O1341" s="2"/>
    </row>
    <row r="1342" spans="2:15" x14ac:dyDescent="0.2">
      <c r="B1342" s="50">
        <v>1331</v>
      </c>
      <c r="C1342" s="51">
        <v>0.27397778584080945</v>
      </c>
      <c r="D1342" s="52">
        <v>184</v>
      </c>
      <c r="E1342" s="53">
        <v>0.60431654676258995</v>
      </c>
      <c r="G1342" s="2"/>
      <c r="L1342" s="5"/>
      <c r="O1342" s="2"/>
    </row>
    <row r="1343" spans="2:15" x14ac:dyDescent="0.2">
      <c r="B1343" s="50">
        <v>1511</v>
      </c>
      <c r="C1343" s="51">
        <v>0.27519257899288807</v>
      </c>
      <c r="D1343" s="52">
        <v>184</v>
      </c>
      <c r="E1343" s="53">
        <v>0.60431654676258995</v>
      </c>
      <c r="G1343" s="2"/>
      <c r="L1343" s="5"/>
      <c r="O1343" s="2"/>
    </row>
    <row r="1344" spans="2:15" x14ac:dyDescent="0.2">
      <c r="B1344" s="50">
        <v>1548</v>
      </c>
      <c r="C1344" s="51">
        <v>0.27913175807592994</v>
      </c>
      <c r="D1344" s="52">
        <v>184</v>
      </c>
      <c r="E1344" s="53">
        <v>0.60431654676258995</v>
      </c>
      <c r="G1344" s="2"/>
      <c r="L1344" s="5"/>
      <c r="O1344" s="2"/>
    </row>
    <row r="1345" spans="2:15" x14ac:dyDescent="0.2">
      <c r="B1345" s="50">
        <v>1074</v>
      </c>
      <c r="C1345" s="51">
        <v>0.28592107593210314</v>
      </c>
      <c r="D1345" s="52">
        <v>184</v>
      </c>
      <c r="E1345" s="53">
        <v>0.39568345323741005</v>
      </c>
      <c r="G1345" s="2"/>
      <c r="L1345" s="5"/>
      <c r="O1345" s="2"/>
    </row>
    <row r="1346" spans="2:15" x14ac:dyDescent="0.2">
      <c r="B1346" s="50">
        <v>1584</v>
      </c>
      <c r="C1346" s="51">
        <v>0.28872131872282691</v>
      </c>
      <c r="D1346" s="52">
        <v>184</v>
      </c>
      <c r="E1346" s="53">
        <v>0.66187050359712229</v>
      </c>
      <c r="G1346" s="2"/>
      <c r="L1346" s="5"/>
      <c r="O1346" s="2"/>
    </row>
    <row r="1347" spans="2:15" x14ac:dyDescent="0.2">
      <c r="B1347" s="50">
        <v>1025</v>
      </c>
      <c r="C1347" s="51">
        <v>0.30670818683950707</v>
      </c>
      <c r="D1347" s="52">
        <v>184</v>
      </c>
      <c r="E1347" s="53">
        <v>0.41007194244604317</v>
      </c>
      <c r="G1347" s="2"/>
      <c r="L1347" s="5"/>
      <c r="O1347" s="2"/>
    </row>
    <row r="1348" spans="2:15" x14ac:dyDescent="0.2">
      <c r="B1348" s="50">
        <v>874</v>
      </c>
      <c r="C1348" s="51">
        <v>0.33596972605138198</v>
      </c>
      <c r="D1348" s="52">
        <v>184</v>
      </c>
      <c r="E1348" s="53">
        <v>0.38848920863309355</v>
      </c>
      <c r="G1348" s="2"/>
      <c r="L1348" s="5"/>
      <c r="O1348" s="2"/>
    </row>
    <row r="1349" spans="2:15" x14ac:dyDescent="0.2">
      <c r="B1349" s="50">
        <v>872</v>
      </c>
      <c r="C1349" s="51">
        <v>0.33877586600989673</v>
      </c>
      <c r="D1349" s="52">
        <v>184</v>
      </c>
      <c r="E1349" s="53">
        <v>0.45323741007194246</v>
      </c>
      <c r="G1349" s="2"/>
      <c r="L1349" s="5"/>
      <c r="O1349" s="2"/>
    </row>
    <row r="1350" spans="2:15" x14ac:dyDescent="0.2">
      <c r="B1350" s="50">
        <v>924</v>
      </c>
      <c r="C1350" s="51">
        <v>0.36219610311589545</v>
      </c>
      <c r="D1350" s="52">
        <v>184</v>
      </c>
      <c r="E1350" s="53">
        <v>0.48201438848920863</v>
      </c>
      <c r="G1350" s="2"/>
      <c r="L1350" s="5"/>
      <c r="O1350" s="2"/>
    </row>
    <row r="1351" spans="2:15" x14ac:dyDescent="0.2">
      <c r="B1351" s="50">
        <v>926</v>
      </c>
      <c r="C1351" s="51">
        <v>0.3634398081967084</v>
      </c>
      <c r="D1351" s="52">
        <v>184</v>
      </c>
      <c r="E1351" s="53">
        <v>0.42446043165467628</v>
      </c>
      <c r="G1351" s="2"/>
      <c r="L1351" s="5"/>
      <c r="O1351" s="2"/>
    </row>
    <row r="1352" spans="2:15" x14ac:dyDescent="0.2">
      <c r="B1352" s="50">
        <v>975</v>
      </c>
      <c r="C1352" s="51">
        <v>0.36766644501302237</v>
      </c>
      <c r="D1352" s="52">
        <v>184</v>
      </c>
      <c r="E1352" s="53">
        <v>0.48201438848920863</v>
      </c>
      <c r="G1352" s="2"/>
      <c r="L1352" s="5"/>
      <c r="O1352" s="2"/>
    </row>
    <row r="1353" spans="2:15" x14ac:dyDescent="0.2">
      <c r="B1353" s="50">
        <v>977</v>
      </c>
      <c r="C1353" s="51">
        <v>0.37128776500185046</v>
      </c>
      <c r="D1353" s="52">
        <v>184</v>
      </c>
      <c r="E1353" s="53">
        <v>0.42446043165467628</v>
      </c>
      <c r="G1353" s="2"/>
      <c r="L1353" s="5"/>
      <c r="O1353" s="2"/>
    </row>
    <row r="1354" spans="2:15" x14ac:dyDescent="0.2">
      <c r="B1354" s="50">
        <v>875</v>
      </c>
      <c r="C1354" s="51">
        <v>0.37822213349593414</v>
      </c>
      <c r="D1354" s="52">
        <v>184</v>
      </c>
      <c r="E1354" s="53">
        <v>0.43165467625899279</v>
      </c>
      <c r="G1354" s="2"/>
      <c r="L1354" s="5"/>
      <c r="O1354" s="2"/>
    </row>
    <row r="1355" spans="2:15" x14ac:dyDescent="0.2">
      <c r="B1355" s="50">
        <v>876</v>
      </c>
      <c r="C1355" s="51">
        <v>0.38978752351952572</v>
      </c>
      <c r="D1355" s="52">
        <v>184</v>
      </c>
      <c r="E1355" s="53">
        <v>0.42446043165467628</v>
      </c>
      <c r="G1355" s="2"/>
      <c r="L1355" s="5"/>
      <c r="O1355" s="2"/>
    </row>
    <row r="1356" spans="2:15" x14ac:dyDescent="0.2">
      <c r="B1356" s="50">
        <v>927</v>
      </c>
      <c r="C1356" s="51">
        <v>0.4046701741934523</v>
      </c>
      <c r="D1356" s="52">
        <v>184</v>
      </c>
      <c r="E1356" s="53">
        <v>0.42446043165467628</v>
      </c>
      <c r="G1356" s="2"/>
      <c r="L1356" s="5"/>
      <c r="O1356" s="2"/>
    </row>
    <row r="1357" spans="2:15" x14ac:dyDescent="0.2">
      <c r="B1357" s="50">
        <v>928</v>
      </c>
      <c r="C1357" s="51">
        <v>0.41545395828761056</v>
      </c>
      <c r="D1357" s="52">
        <v>184</v>
      </c>
      <c r="E1357" s="53">
        <v>0.38848920863309355</v>
      </c>
      <c r="G1357" s="2"/>
      <c r="L1357" s="5"/>
      <c r="O1357" s="2"/>
    </row>
    <row r="1358" spans="2:15" x14ac:dyDescent="0.2">
      <c r="B1358" s="50">
        <v>979</v>
      </c>
      <c r="C1358" s="51">
        <v>0.42120099507114594</v>
      </c>
      <c r="D1358" s="52">
        <v>184</v>
      </c>
      <c r="E1358" s="53">
        <v>0.38848920863309355</v>
      </c>
      <c r="G1358" s="2"/>
      <c r="L1358" s="5"/>
      <c r="O1358" s="2"/>
    </row>
    <row r="1359" spans="2:15" x14ac:dyDescent="0.2">
      <c r="B1359" s="50">
        <v>1330</v>
      </c>
      <c r="C1359" s="51">
        <v>0.27763869894796422</v>
      </c>
      <c r="D1359" s="52">
        <v>185</v>
      </c>
      <c r="E1359" s="53">
        <v>0.60431654676258995</v>
      </c>
      <c r="G1359" s="2"/>
      <c r="L1359" s="5"/>
      <c r="O1359" s="2"/>
    </row>
    <row r="1360" spans="2:15" x14ac:dyDescent="0.2">
      <c r="B1360" s="50">
        <v>1145</v>
      </c>
      <c r="C1360" s="51">
        <v>0.2172397718726119</v>
      </c>
      <c r="D1360" s="52">
        <v>186</v>
      </c>
      <c r="E1360" s="53">
        <v>0.74100719424460426</v>
      </c>
      <c r="G1360" s="2"/>
      <c r="L1360" s="5"/>
      <c r="O1360" s="2"/>
    </row>
    <row r="1361" spans="2:15" x14ac:dyDescent="0.2">
      <c r="B1361" s="50">
        <v>1098</v>
      </c>
      <c r="C1361" s="51">
        <v>0.21819908370539332</v>
      </c>
      <c r="D1361" s="52">
        <v>186</v>
      </c>
      <c r="E1361" s="53">
        <v>0.74100719424460426</v>
      </c>
      <c r="G1361" s="2"/>
      <c r="L1361" s="5"/>
      <c r="O1361" s="2"/>
    </row>
    <row r="1362" spans="2:15" x14ac:dyDescent="0.2">
      <c r="B1362" s="50">
        <v>1001</v>
      </c>
      <c r="C1362" s="51">
        <v>0.22019099687827548</v>
      </c>
      <c r="D1362" s="52">
        <v>186</v>
      </c>
      <c r="E1362" s="53">
        <v>0.74100719424460426</v>
      </c>
      <c r="G1362" s="2"/>
      <c r="L1362" s="5"/>
      <c r="O1362" s="2"/>
    </row>
    <row r="1363" spans="2:15" x14ac:dyDescent="0.2">
      <c r="B1363" s="50">
        <v>1050</v>
      </c>
      <c r="C1363" s="51">
        <v>0.22700872942381245</v>
      </c>
      <c r="D1363" s="52">
        <v>186</v>
      </c>
      <c r="E1363" s="53">
        <v>0.73381294964028776</v>
      </c>
      <c r="G1363" s="2"/>
      <c r="L1363" s="5"/>
      <c r="O1363" s="2"/>
    </row>
    <row r="1364" spans="2:15" x14ac:dyDescent="0.2">
      <c r="B1364" s="50">
        <v>950</v>
      </c>
      <c r="C1364" s="51">
        <v>0.29892098678664247</v>
      </c>
      <c r="D1364" s="52">
        <v>186</v>
      </c>
      <c r="E1364" s="53">
        <v>0.68345323741007191</v>
      </c>
      <c r="G1364" s="2"/>
      <c r="L1364" s="5"/>
      <c r="O1364" s="2"/>
    </row>
    <row r="1365" spans="2:15" x14ac:dyDescent="0.2">
      <c r="B1365" s="50">
        <v>899</v>
      </c>
      <c r="C1365" s="51">
        <v>0.30347769589067763</v>
      </c>
      <c r="D1365" s="52">
        <v>186</v>
      </c>
      <c r="E1365" s="53">
        <v>0.67625899280575541</v>
      </c>
      <c r="G1365" s="2"/>
      <c r="L1365" s="5"/>
      <c r="O1365" s="2"/>
    </row>
    <row r="1366" spans="2:15" x14ac:dyDescent="0.2">
      <c r="B1366" s="50">
        <v>1000</v>
      </c>
      <c r="C1366" s="51">
        <v>0.32913827321878797</v>
      </c>
      <c r="D1366" s="52">
        <v>186</v>
      </c>
      <c r="E1366" s="53">
        <v>0.66187050359712229</v>
      </c>
      <c r="G1366" s="2"/>
      <c r="L1366" s="5"/>
      <c r="O1366" s="2"/>
    </row>
    <row r="1367" spans="2:15" x14ac:dyDescent="0.2">
      <c r="B1367" s="50">
        <v>1049</v>
      </c>
      <c r="C1367" s="51">
        <v>0.33492368308757758</v>
      </c>
      <c r="D1367" s="52">
        <v>186</v>
      </c>
      <c r="E1367" s="53">
        <v>0.66187050359712229</v>
      </c>
      <c r="G1367" s="2"/>
      <c r="L1367" s="5"/>
      <c r="O1367" s="2"/>
    </row>
    <row r="1368" spans="2:15" x14ac:dyDescent="0.2">
      <c r="B1368" s="50">
        <v>1101</v>
      </c>
      <c r="C1368" s="51">
        <v>0.23235679247817742</v>
      </c>
      <c r="D1368" s="52">
        <v>187</v>
      </c>
      <c r="E1368" s="53">
        <v>0.73381294964028776</v>
      </c>
      <c r="G1368" s="2"/>
      <c r="L1368" s="5"/>
      <c r="O1368" s="2"/>
    </row>
    <row r="1369" spans="2:15" x14ac:dyDescent="0.2">
      <c r="B1369" s="50">
        <v>1807</v>
      </c>
      <c r="C1369" s="51">
        <v>0.16794845275056969</v>
      </c>
      <c r="D1369" s="52">
        <v>190</v>
      </c>
      <c r="E1369" s="53">
        <v>0.79856115107913672</v>
      </c>
      <c r="G1369" s="2"/>
      <c r="L1369" s="5"/>
      <c r="O1369" s="2"/>
    </row>
    <row r="1370" spans="2:15" x14ac:dyDescent="0.2">
      <c r="B1370" s="50">
        <v>1778</v>
      </c>
      <c r="C1370" s="51">
        <v>0.17611362520378304</v>
      </c>
      <c r="D1370" s="52">
        <v>190</v>
      </c>
      <c r="E1370" s="53">
        <v>0.79856115107913672</v>
      </c>
      <c r="G1370" s="2"/>
      <c r="L1370" s="5"/>
      <c r="O1370" s="2"/>
    </row>
    <row r="1371" spans="2:15" x14ac:dyDescent="0.2">
      <c r="B1371" s="50">
        <v>1836</v>
      </c>
      <c r="C1371" s="51">
        <v>0.20988796546351773</v>
      </c>
      <c r="D1371" s="52">
        <v>190</v>
      </c>
      <c r="E1371" s="53">
        <v>0.7769784172661871</v>
      </c>
      <c r="G1371" s="2"/>
      <c r="L1371" s="5"/>
      <c r="O1371" s="2"/>
    </row>
    <row r="1372" spans="2:15" x14ac:dyDescent="0.2">
      <c r="B1372" s="50">
        <v>1174</v>
      </c>
      <c r="C1372" s="51">
        <v>0.40150366432702678</v>
      </c>
      <c r="D1372" s="52">
        <v>190</v>
      </c>
      <c r="E1372" s="53">
        <v>0.43884892086330934</v>
      </c>
      <c r="G1372" s="2"/>
      <c r="L1372" s="5"/>
      <c r="O1372" s="2"/>
    </row>
    <row r="1373" spans="2:15" x14ac:dyDescent="0.2">
      <c r="B1373" s="50">
        <v>1127</v>
      </c>
      <c r="C1373" s="51">
        <v>0.40369853670263445</v>
      </c>
      <c r="D1373" s="52">
        <v>190</v>
      </c>
      <c r="E1373" s="53">
        <v>0.36690647482014388</v>
      </c>
      <c r="G1373" s="2"/>
      <c r="L1373" s="5"/>
      <c r="O1373" s="2"/>
    </row>
    <row r="1374" spans="2:15" x14ac:dyDescent="0.2">
      <c r="B1374" s="50">
        <v>58</v>
      </c>
      <c r="C1374" s="51">
        <v>0.75840752462257732</v>
      </c>
      <c r="D1374" s="52">
        <v>190</v>
      </c>
      <c r="E1374" s="53">
        <v>0.16806722689075632</v>
      </c>
      <c r="G1374" s="2"/>
      <c r="L1374" s="5"/>
      <c r="O1374" s="2"/>
    </row>
    <row r="1375" spans="2:15" x14ac:dyDescent="0.2">
      <c r="B1375" s="50">
        <v>59</v>
      </c>
      <c r="C1375" s="51">
        <v>0.7766595362202976</v>
      </c>
      <c r="D1375" s="52">
        <v>190</v>
      </c>
      <c r="E1375" s="53">
        <v>0.16806722689075632</v>
      </c>
      <c r="G1375" s="2"/>
      <c r="L1375" s="5"/>
      <c r="O1375" s="2"/>
    </row>
    <row r="1376" spans="2:15" x14ac:dyDescent="0.2">
      <c r="B1376" s="50">
        <v>60</v>
      </c>
      <c r="C1376" s="51">
        <v>0.81868326505665745</v>
      </c>
      <c r="D1376" s="52">
        <v>190</v>
      </c>
      <c r="E1376" s="53">
        <v>0.24369747899159663</v>
      </c>
      <c r="G1376" s="2"/>
      <c r="L1376" s="5"/>
      <c r="O1376" s="2"/>
    </row>
    <row r="1377" spans="2:15" x14ac:dyDescent="0.2">
      <c r="B1377" s="50">
        <v>61</v>
      </c>
      <c r="C1377" s="51">
        <v>0.83003677867969872</v>
      </c>
      <c r="D1377" s="52">
        <v>190</v>
      </c>
      <c r="E1377" s="53">
        <v>0.23529411764705882</v>
      </c>
      <c r="G1377" s="2"/>
      <c r="L1377" s="5"/>
      <c r="O1377" s="2"/>
    </row>
    <row r="1378" spans="2:15" x14ac:dyDescent="0.2">
      <c r="B1378" s="50">
        <v>62</v>
      </c>
      <c r="C1378" s="51">
        <v>0.88908646410537695</v>
      </c>
      <c r="D1378" s="52">
        <v>190</v>
      </c>
      <c r="E1378" s="53">
        <v>0.15966386554621848</v>
      </c>
      <c r="G1378" s="2"/>
      <c r="L1378" s="5"/>
      <c r="O1378" s="2"/>
    </row>
    <row r="1379" spans="2:15" x14ac:dyDescent="0.2">
      <c r="B1379" s="50">
        <v>63</v>
      </c>
      <c r="C1379" s="51">
        <v>0.89760398028752664</v>
      </c>
      <c r="D1379" s="52">
        <v>190</v>
      </c>
      <c r="E1379" s="53">
        <v>0.15966386554621848</v>
      </c>
      <c r="G1379" s="2"/>
      <c r="L1379" s="5"/>
      <c r="O1379" s="2"/>
    </row>
    <row r="1380" spans="2:15" x14ac:dyDescent="0.2">
      <c r="B1380" s="50">
        <v>1076</v>
      </c>
      <c r="C1380" s="51">
        <v>0.25619345444730413</v>
      </c>
      <c r="D1380" s="52">
        <v>191</v>
      </c>
      <c r="E1380" s="53">
        <v>0.26618705035971224</v>
      </c>
      <c r="G1380" s="2"/>
      <c r="L1380" s="5"/>
      <c r="O1380" s="2"/>
    </row>
    <row r="1381" spans="2:15" x14ac:dyDescent="0.2">
      <c r="B1381" s="50">
        <v>1124</v>
      </c>
      <c r="C1381" s="51">
        <v>0.27100795115022358</v>
      </c>
      <c r="D1381" s="52">
        <v>191</v>
      </c>
      <c r="E1381" s="53">
        <v>0.26618705035971224</v>
      </c>
      <c r="G1381" s="2"/>
      <c r="L1381" s="5"/>
      <c r="O1381" s="2"/>
    </row>
    <row r="1382" spans="2:15" x14ac:dyDescent="0.2">
      <c r="B1382" s="50">
        <v>1077</v>
      </c>
      <c r="C1382" s="51">
        <v>0.29327355745862893</v>
      </c>
      <c r="D1382" s="52">
        <v>191</v>
      </c>
      <c r="E1382" s="53">
        <v>0.26618705035971224</v>
      </c>
      <c r="G1382" s="2"/>
      <c r="L1382" s="5"/>
      <c r="O1382" s="2"/>
    </row>
    <row r="1383" spans="2:15" x14ac:dyDescent="0.2">
      <c r="B1383" s="50">
        <v>1125</v>
      </c>
      <c r="C1383" s="51">
        <v>0.29766237575284749</v>
      </c>
      <c r="D1383" s="52">
        <v>191</v>
      </c>
      <c r="E1383" s="53">
        <v>0.26618705035971224</v>
      </c>
      <c r="G1383" s="2"/>
      <c r="L1383" s="5"/>
      <c r="O1383" s="2"/>
    </row>
    <row r="1384" spans="2:15" x14ac:dyDescent="0.2">
      <c r="B1384" s="50">
        <v>1079</v>
      </c>
      <c r="C1384" s="51">
        <v>0.38248276601690556</v>
      </c>
      <c r="D1384" s="52">
        <v>191</v>
      </c>
      <c r="E1384" s="53">
        <v>0.36690647482014388</v>
      </c>
      <c r="G1384" s="2"/>
      <c r="L1384" s="5"/>
      <c r="O1384" s="2"/>
    </row>
    <row r="1385" spans="2:15" x14ac:dyDescent="0.2">
      <c r="B1385" s="50">
        <v>1030</v>
      </c>
      <c r="C1385" s="51">
        <v>0.39813006395578654</v>
      </c>
      <c r="D1385" s="52">
        <v>191</v>
      </c>
      <c r="E1385" s="53">
        <v>0.38129496402877699</v>
      </c>
      <c r="G1385" s="2"/>
      <c r="L1385" s="5"/>
      <c r="O1385" s="2"/>
    </row>
    <row r="1386" spans="2:15" x14ac:dyDescent="0.2">
      <c r="B1386" s="50">
        <v>877</v>
      </c>
      <c r="C1386" s="51">
        <v>0.40738836132305811</v>
      </c>
      <c r="D1386" s="52">
        <v>191</v>
      </c>
      <c r="E1386" s="53">
        <v>0.41726618705035973</v>
      </c>
      <c r="G1386" s="2"/>
      <c r="L1386" s="5"/>
      <c r="O1386" s="2"/>
    </row>
    <row r="1387" spans="2:15" x14ac:dyDescent="0.2">
      <c r="B1387" s="50">
        <v>1302</v>
      </c>
      <c r="C1387" s="51">
        <v>0.43046266971748015</v>
      </c>
      <c r="D1387" s="52">
        <v>191</v>
      </c>
      <c r="E1387" s="53">
        <v>0.53956834532374098</v>
      </c>
      <c r="G1387" s="2"/>
      <c r="L1387" s="5"/>
      <c r="O1387" s="2"/>
    </row>
    <row r="1388" spans="2:15" x14ac:dyDescent="0.2">
      <c r="B1388" s="50">
        <v>929</v>
      </c>
      <c r="C1388" s="51">
        <v>0.43334474287352365</v>
      </c>
      <c r="D1388" s="52">
        <v>191</v>
      </c>
      <c r="E1388" s="53">
        <v>0.38129496402877699</v>
      </c>
      <c r="G1388" s="2"/>
      <c r="L1388" s="5"/>
      <c r="O1388" s="2"/>
    </row>
    <row r="1389" spans="2:15" x14ac:dyDescent="0.2">
      <c r="B1389" s="50">
        <v>980</v>
      </c>
      <c r="C1389" s="51">
        <v>0.43986172417964509</v>
      </c>
      <c r="D1389" s="52">
        <v>191</v>
      </c>
      <c r="E1389" s="53">
        <v>0.38129496402877699</v>
      </c>
      <c r="G1389" s="2"/>
      <c r="L1389" s="5"/>
      <c r="O1389" s="2"/>
    </row>
    <row r="1390" spans="2:15" x14ac:dyDescent="0.2">
      <c r="B1390" s="50">
        <v>1171</v>
      </c>
      <c r="C1390" s="51">
        <v>0.26079970696749122</v>
      </c>
      <c r="D1390" s="52">
        <v>192</v>
      </c>
      <c r="E1390" s="53">
        <v>0.23741007194244604</v>
      </c>
      <c r="G1390" s="2"/>
      <c r="L1390" s="5"/>
      <c r="O1390" s="2"/>
    </row>
    <row r="1391" spans="2:15" x14ac:dyDescent="0.2">
      <c r="B1391" s="50">
        <v>1172</v>
      </c>
      <c r="C1391" s="51">
        <v>0.27920845859136567</v>
      </c>
      <c r="D1391" s="52">
        <v>192</v>
      </c>
      <c r="E1391" s="53">
        <v>0.23741007194244604</v>
      </c>
      <c r="G1391" s="2"/>
      <c r="L1391" s="5"/>
      <c r="O1391" s="2"/>
    </row>
    <row r="1392" spans="2:15" x14ac:dyDescent="0.2">
      <c r="B1392" s="50">
        <v>380</v>
      </c>
      <c r="C1392" s="51">
        <v>0.91222087384363504</v>
      </c>
      <c r="D1392" s="52">
        <v>192</v>
      </c>
      <c r="E1392" s="53">
        <v>0.30215827338129497</v>
      </c>
      <c r="G1392" s="2"/>
      <c r="L1392" s="5"/>
      <c r="O1392" s="2"/>
    </row>
    <row r="1393" spans="2:15" x14ac:dyDescent="0.2">
      <c r="B1393" s="50">
        <v>1214</v>
      </c>
      <c r="C1393" s="51">
        <v>0.35261030978563601</v>
      </c>
      <c r="D1393" s="52">
        <v>193</v>
      </c>
      <c r="E1393" s="53">
        <v>0.5611510791366906</v>
      </c>
      <c r="G1393" s="2"/>
      <c r="L1393" s="5"/>
      <c r="O1393" s="2"/>
    </row>
    <row r="1394" spans="2:15" x14ac:dyDescent="0.2">
      <c r="B1394" s="50">
        <v>1303</v>
      </c>
      <c r="C1394" s="51">
        <v>0.41808052664726703</v>
      </c>
      <c r="D1394" s="52">
        <v>193</v>
      </c>
      <c r="E1394" s="53">
        <v>0.60431654676258995</v>
      </c>
      <c r="G1394" s="2"/>
      <c r="L1394" s="5"/>
      <c r="O1394" s="2"/>
    </row>
    <row r="1395" spans="2:15" x14ac:dyDescent="0.2">
      <c r="B1395" s="50">
        <v>499</v>
      </c>
      <c r="C1395" s="51">
        <v>0.86776479968567177</v>
      </c>
      <c r="D1395" s="52">
        <v>193</v>
      </c>
      <c r="E1395" s="53">
        <v>0.28776978417266186</v>
      </c>
      <c r="G1395" s="2"/>
      <c r="L1395" s="5"/>
      <c r="O1395" s="2"/>
    </row>
    <row r="1396" spans="2:15" x14ac:dyDescent="0.2">
      <c r="B1396" s="50">
        <v>439</v>
      </c>
      <c r="C1396" s="51">
        <v>0.87253503624697204</v>
      </c>
      <c r="D1396" s="52">
        <v>193</v>
      </c>
      <c r="E1396" s="53">
        <v>0.2805755395683453</v>
      </c>
      <c r="G1396" s="2"/>
      <c r="L1396" s="5"/>
      <c r="O1396" s="2"/>
    </row>
    <row r="1397" spans="2:15" x14ac:dyDescent="0.2">
      <c r="B1397" s="50">
        <v>316</v>
      </c>
      <c r="C1397" s="51">
        <v>0.87309739305580458</v>
      </c>
      <c r="D1397" s="52">
        <v>193</v>
      </c>
      <c r="E1397" s="53">
        <v>0.2805755395683453</v>
      </c>
      <c r="G1397" s="2"/>
      <c r="L1397" s="5"/>
      <c r="O1397" s="2"/>
    </row>
    <row r="1398" spans="2:15" x14ac:dyDescent="0.2">
      <c r="B1398" s="50">
        <v>378</v>
      </c>
      <c r="C1398" s="51">
        <v>0.875697466328758</v>
      </c>
      <c r="D1398" s="52">
        <v>193</v>
      </c>
      <c r="E1398" s="53">
        <v>0.2805755395683453</v>
      </c>
      <c r="G1398" s="2"/>
      <c r="L1398" s="5"/>
      <c r="O1398" s="2"/>
    </row>
    <row r="1399" spans="2:15" x14ac:dyDescent="0.2">
      <c r="B1399" s="50">
        <v>500</v>
      </c>
      <c r="C1399" s="51">
        <v>0.88408199746876714</v>
      </c>
      <c r="D1399" s="52">
        <v>193</v>
      </c>
      <c r="E1399" s="53">
        <v>0.28776978417266186</v>
      </c>
      <c r="G1399" s="2"/>
      <c r="L1399" s="5"/>
      <c r="O1399" s="2"/>
    </row>
    <row r="1400" spans="2:15" x14ac:dyDescent="0.2">
      <c r="B1400" s="50">
        <v>317</v>
      </c>
      <c r="C1400" s="51">
        <v>0.8874781195958793</v>
      </c>
      <c r="D1400" s="52">
        <v>193</v>
      </c>
      <c r="E1400" s="53">
        <v>0.28776978417266186</v>
      </c>
      <c r="G1400" s="2"/>
      <c r="L1400" s="5"/>
      <c r="O1400" s="2"/>
    </row>
    <row r="1401" spans="2:15" x14ac:dyDescent="0.2">
      <c r="B1401" s="50">
        <v>440</v>
      </c>
      <c r="C1401" s="51">
        <v>0.88979186288405754</v>
      </c>
      <c r="D1401" s="52">
        <v>193</v>
      </c>
      <c r="E1401" s="53">
        <v>0.2805755395683453</v>
      </c>
      <c r="G1401" s="2"/>
      <c r="L1401" s="5"/>
      <c r="O1401" s="2"/>
    </row>
    <row r="1402" spans="2:15" x14ac:dyDescent="0.2">
      <c r="B1402" s="50">
        <v>379</v>
      </c>
      <c r="C1402" s="51">
        <v>0.88993105563052233</v>
      </c>
      <c r="D1402" s="52">
        <v>193</v>
      </c>
      <c r="E1402" s="53">
        <v>0.2805755395683453</v>
      </c>
      <c r="G1402" s="2"/>
      <c r="L1402" s="5"/>
      <c r="O1402" s="2"/>
    </row>
    <row r="1403" spans="2:15" x14ac:dyDescent="0.2">
      <c r="B1403" s="50">
        <v>318</v>
      </c>
      <c r="C1403" s="51">
        <v>0.91594749090284788</v>
      </c>
      <c r="D1403" s="52">
        <v>193</v>
      </c>
      <c r="E1403" s="53">
        <v>0.30935251798561153</v>
      </c>
      <c r="G1403" s="2"/>
      <c r="L1403" s="5"/>
      <c r="O1403" s="2"/>
    </row>
    <row r="1404" spans="2:15" x14ac:dyDescent="0.2">
      <c r="B1404" s="50">
        <v>319</v>
      </c>
      <c r="C1404" s="51">
        <v>0.92540338499828556</v>
      </c>
      <c r="D1404" s="52">
        <v>193</v>
      </c>
      <c r="E1404" s="53">
        <v>0.30215827338129497</v>
      </c>
      <c r="G1404" s="2"/>
      <c r="L1404" s="5"/>
      <c r="O1404" s="2"/>
    </row>
    <row r="1405" spans="2:15" x14ac:dyDescent="0.2">
      <c r="B1405" s="50">
        <v>441</v>
      </c>
      <c r="C1405" s="51">
        <v>0.93050091672807278</v>
      </c>
      <c r="D1405" s="52">
        <v>193</v>
      </c>
      <c r="E1405" s="53">
        <v>0.34532374100719426</v>
      </c>
      <c r="G1405" s="2"/>
      <c r="L1405" s="5"/>
      <c r="O1405" s="2"/>
    </row>
    <row r="1406" spans="2:15" x14ac:dyDescent="0.2">
      <c r="B1406" s="50">
        <v>320</v>
      </c>
      <c r="C1406" s="51">
        <v>0.98530233476395268</v>
      </c>
      <c r="D1406" s="52">
        <v>193</v>
      </c>
      <c r="E1406" s="53">
        <v>0.2805755395683453</v>
      </c>
      <c r="G1406" s="2"/>
      <c r="L1406" s="5"/>
      <c r="O1406" s="2"/>
    </row>
    <row r="1407" spans="2:15" x14ac:dyDescent="0.2">
      <c r="B1407" s="50">
        <v>964</v>
      </c>
      <c r="C1407" s="51">
        <v>0.17960618089439018</v>
      </c>
      <c r="D1407" s="52">
        <v>194</v>
      </c>
      <c r="E1407" s="53">
        <v>0.64028776978417268</v>
      </c>
      <c r="G1407" s="2"/>
      <c r="L1407" s="5"/>
      <c r="O1407" s="2"/>
    </row>
    <row r="1408" spans="2:15" x14ac:dyDescent="0.2">
      <c r="B1408" s="50">
        <v>1111</v>
      </c>
      <c r="C1408" s="51">
        <v>0.18287789990061909</v>
      </c>
      <c r="D1408" s="52">
        <v>194</v>
      </c>
      <c r="E1408" s="53">
        <v>0.60431654676258995</v>
      </c>
      <c r="G1408" s="2"/>
      <c r="L1408" s="5"/>
      <c r="O1408" s="2"/>
    </row>
    <row r="1409" spans="2:15" x14ac:dyDescent="0.2">
      <c r="B1409" s="50">
        <v>913</v>
      </c>
      <c r="C1409" s="51">
        <v>0.18333268404959946</v>
      </c>
      <c r="D1409" s="52">
        <v>194</v>
      </c>
      <c r="E1409" s="53">
        <v>0.64748201438848918</v>
      </c>
      <c r="G1409" s="2"/>
      <c r="L1409" s="5"/>
      <c r="O1409" s="2"/>
    </row>
    <row r="1410" spans="2:15" x14ac:dyDescent="0.2">
      <c r="B1410" s="50">
        <v>861</v>
      </c>
      <c r="C1410" s="51">
        <v>0.19395001596380856</v>
      </c>
      <c r="D1410" s="52">
        <v>194</v>
      </c>
      <c r="E1410" s="53">
        <v>0.60431654676258995</v>
      </c>
      <c r="G1410" s="2"/>
      <c r="L1410" s="5"/>
      <c r="O1410" s="2"/>
    </row>
    <row r="1411" spans="2:15" x14ac:dyDescent="0.2">
      <c r="B1411" s="50">
        <v>1063</v>
      </c>
      <c r="C1411" s="51">
        <v>0.19499890878101367</v>
      </c>
      <c r="D1411" s="52">
        <v>194</v>
      </c>
      <c r="E1411" s="53">
        <v>0.59712230215827333</v>
      </c>
      <c r="G1411" s="2"/>
      <c r="L1411" s="5"/>
      <c r="O1411" s="2"/>
    </row>
    <row r="1412" spans="2:15" x14ac:dyDescent="0.2">
      <c r="B1412" s="50">
        <v>1014</v>
      </c>
      <c r="C1412" s="51">
        <v>0.19516492186920398</v>
      </c>
      <c r="D1412" s="52">
        <v>194</v>
      </c>
      <c r="E1412" s="53">
        <v>0.60431654676258995</v>
      </c>
      <c r="G1412" s="2"/>
      <c r="L1412" s="5"/>
      <c r="O1412" s="2"/>
    </row>
    <row r="1413" spans="2:15" x14ac:dyDescent="0.2">
      <c r="B1413" s="50">
        <v>1110</v>
      </c>
      <c r="C1413" s="51">
        <v>0.1984649191070198</v>
      </c>
      <c r="D1413" s="52">
        <v>194</v>
      </c>
      <c r="E1413" s="53">
        <v>0.59712230215827333</v>
      </c>
      <c r="G1413" s="2"/>
      <c r="L1413" s="5"/>
      <c r="O1413" s="2"/>
    </row>
    <row r="1414" spans="2:15" x14ac:dyDescent="0.2">
      <c r="B1414" s="50">
        <v>1109</v>
      </c>
      <c r="C1414" s="51">
        <v>0.25358382398734436</v>
      </c>
      <c r="D1414" s="52">
        <v>194</v>
      </c>
      <c r="E1414" s="53">
        <v>0.61870503597122306</v>
      </c>
      <c r="G1414" s="2"/>
      <c r="L1414" s="5"/>
      <c r="O1414" s="2"/>
    </row>
    <row r="1415" spans="2:15" x14ac:dyDescent="0.2">
      <c r="B1415" s="50">
        <v>1451</v>
      </c>
      <c r="C1415" s="51">
        <v>0.27875361949017163</v>
      </c>
      <c r="D1415" s="52">
        <v>194</v>
      </c>
      <c r="E1415" s="53">
        <v>0.61151079136690645</v>
      </c>
      <c r="G1415" s="2"/>
      <c r="L1415" s="5"/>
      <c r="O1415" s="2"/>
    </row>
    <row r="1416" spans="2:15" x14ac:dyDescent="0.2">
      <c r="B1416" s="50">
        <v>1154</v>
      </c>
      <c r="C1416" s="51">
        <v>0.29223218024345621</v>
      </c>
      <c r="D1416" s="52">
        <v>194</v>
      </c>
      <c r="E1416" s="53">
        <v>0.5467625899280576</v>
      </c>
      <c r="G1416" s="2"/>
      <c r="L1416" s="5"/>
      <c r="O1416" s="2"/>
    </row>
    <row r="1417" spans="2:15" x14ac:dyDescent="0.2">
      <c r="B1417" s="50">
        <v>1107</v>
      </c>
      <c r="C1417" s="51">
        <v>0.29603549241178984</v>
      </c>
      <c r="D1417" s="52">
        <v>194</v>
      </c>
      <c r="E1417" s="53">
        <v>0.5467625899280576</v>
      </c>
      <c r="G1417" s="2"/>
      <c r="L1417" s="5"/>
      <c r="O1417" s="2"/>
    </row>
    <row r="1418" spans="2:15" x14ac:dyDescent="0.2">
      <c r="B1418" s="50">
        <v>1155</v>
      </c>
      <c r="C1418" s="51">
        <v>0.30987142451702954</v>
      </c>
      <c r="D1418" s="52">
        <v>194</v>
      </c>
      <c r="E1418" s="53">
        <v>0.52517985611510787</v>
      </c>
      <c r="G1418" s="2"/>
      <c r="L1418" s="5"/>
      <c r="O1418" s="2"/>
    </row>
    <row r="1419" spans="2:15" x14ac:dyDescent="0.2">
      <c r="B1419" s="50">
        <v>1059</v>
      </c>
      <c r="C1419" s="51">
        <v>0.31203572427289283</v>
      </c>
      <c r="D1419" s="52">
        <v>194</v>
      </c>
      <c r="E1419" s="53">
        <v>0.5467625899280576</v>
      </c>
      <c r="G1419" s="2"/>
      <c r="L1419" s="5"/>
      <c r="O1419" s="2"/>
    </row>
    <row r="1420" spans="2:15" x14ac:dyDescent="0.2">
      <c r="B1420" s="50">
        <v>1010</v>
      </c>
      <c r="C1420" s="51">
        <v>0.31307677015324331</v>
      </c>
      <c r="D1420" s="52">
        <v>194</v>
      </c>
      <c r="E1420" s="53">
        <v>0.5467625899280576</v>
      </c>
      <c r="G1420" s="2"/>
      <c r="L1420" s="5"/>
      <c r="O1420" s="2"/>
    </row>
    <row r="1421" spans="2:15" x14ac:dyDescent="0.2">
      <c r="B1421" s="50">
        <v>1108</v>
      </c>
      <c r="C1421" s="51">
        <v>0.31347790113866636</v>
      </c>
      <c r="D1421" s="52">
        <v>194</v>
      </c>
      <c r="E1421" s="53">
        <v>0.45323741007194246</v>
      </c>
      <c r="G1421" s="2"/>
      <c r="L1421" s="5"/>
      <c r="O1421" s="2"/>
    </row>
    <row r="1422" spans="2:15" x14ac:dyDescent="0.2">
      <c r="B1422" s="50">
        <v>1011</v>
      </c>
      <c r="C1422" s="51">
        <v>0.33134927264958347</v>
      </c>
      <c r="D1422" s="52">
        <v>194</v>
      </c>
      <c r="E1422" s="53">
        <v>0.4460431654676259</v>
      </c>
      <c r="G1422" s="2"/>
      <c r="L1422" s="5"/>
      <c r="O1422" s="2"/>
    </row>
    <row r="1423" spans="2:15" x14ac:dyDescent="0.2">
      <c r="B1423" s="50">
        <v>1060</v>
      </c>
      <c r="C1423" s="51">
        <v>0.33237562707178991</v>
      </c>
      <c r="D1423" s="52">
        <v>194</v>
      </c>
      <c r="E1423" s="53">
        <v>0.4460431654676259</v>
      </c>
      <c r="G1423" s="2"/>
      <c r="L1423" s="5"/>
      <c r="O1423" s="2"/>
    </row>
    <row r="1424" spans="2:15" x14ac:dyDescent="0.2">
      <c r="B1424" s="50">
        <v>56</v>
      </c>
      <c r="C1424" s="51">
        <v>0.73403008078779519</v>
      </c>
      <c r="D1424" s="52">
        <v>194</v>
      </c>
      <c r="E1424" s="53">
        <v>0.16806722689075632</v>
      </c>
      <c r="G1424" s="2"/>
      <c r="L1424" s="5"/>
      <c r="O1424" s="2"/>
    </row>
    <row r="1425" spans="2:15" x14ac:dyDescent="0.2">
      <c r="B1425" s="50">
        <v>57</v>
      </c>
      <c r="C1425" s="51">
        <v>0.7484488940692865</v>
      </c>
      <c r="D1425" s="52">
        <v>194</v>
      </c>
      <c r="E1425" s="53">
        <v>0.16806722689075632</v>
      </c>
      <c r="G1425" s="2"/>
      <c r="L1425" s="5"/>
      <c r="O1425" s="2"/>
    </row>
    <row r="1426" spans="2:15" x14ac:dyDescent="0.2">
      <c r="B1426" s="50">
        <v>558</v>
      </c>
      <c r="C1426" s="51">
        <v>0.854596292954793</v>
      </c>
      <c r="D1426" s="52">
        <v>194</v>
      </c>
      <c r="E1426" s="53">
        <v>0.23741007194244604</v>
      </c>
      <c r="G1426" s="2"/>
      <c r="L1426" s="5"/>
      <c r="O1426" s="2"/>
    </row>
    <row r="1427" spans="2:15" x14ac:dyDescent="0.2">
      <c r="B1427" s="50">
        <v>381</v>
      </c>
      <c r="C1427" s="51">
        <v>0.92091041380250382</v>
      </c>
      <c r="D1427" s="52">
        <v>194</v>
      </c>
      <c r="E1427" s="53">
        <v>0.29496402877697842</v>
      </c>
      <c r="G1427" s="2"/>
      <c r="L1427" s="5"/>
      <c r="O1427" s="2"/>
    </row>
    <row r="1428" spans="2:15" x14ac:dyDescent="0.2">
      <c r="B1428" s="50">
        <v>1244</v>
      </c>
      <c r="C1428" s="51">
        <v>0.32143028084295944</v>
      </c>
      <c r="D1428" s="52">
        <v>195</v>
      </c>
      <c r="E1428" s="53">
        <v>0.62589928057553956</v>
      </c>
      <c r="G1428" s="2"/>
      <c r="L1428" s="5"/>
      <c r="O1428" s="2"/>
    </row>
    <row r="1429" spans="2:15" x14ac:dyDescent="0.2">
      <c r="B1429" s="50">
        <v>1197</v>
      </c>
      <c r="C1429" s="51">
        <v>0.32922221480903036</v>
      </c>
      <c r="D1429" s="52">
        <v>195</v>
      </c>
      <c r="E1429" s="53">
        <v>0.5611510791366906</v>
      </c>
      <c r="G1429" s="2"/>
      <c r="L1429" s="5"/>
      <c r="O1429" s="2"/>
    </row>
    <row r="1430" spans="2:15" x14ac:dyDescent="0.2">
      <c r="B1430" s="50">
        <v>2122</v>
      </c>
      <c r="C1430" s="51">
        <v>5.9588890176081488E-2</v>
      </c>
      <c r="D1430" s="52">
        <v>196</v>
      </c>
      <c r="E1430" s="53">
        <v>0.83453237410071945</v>
      </c>
      <c r="G1430" s="2"/>
      <c r="L1430" s="5"/>
      <c r="O1430" s="2"/>
    </row>
    <row r="1431" spans="2:15" x14ac:dyDescent="0.2">
      <c r="B1431" s="50">
        <v>862</v>
      </c>
      <c r="C1431" s="51">
        <v>0.15371007363548495</v>
      </c>
      <c r="D1431" s="52">
        <v>196</v>
      </c>
      <c r="E1431" s="53">
        <v>0.62589928057553956</v>
      </c>
      <c r="G1431" s="2"/>
      <c r="L1431" s="5"/>
      <c r="O1431" s="2"/>
    </row>
    <row r="1432" spans="2:15" x14ac:dyDescent="0.2">
      <c r="B1432" s="50">
        <v>863</v>
      </c>
      <c r="C1432" s="51">
        <v>0.16958912835883744</v>
      </c>
      <c r="D1432" s="52">
        <v>196</v>
      </c>
      <c r="E1432" s="53">
        <v>0.61870503597122306</v>
      </c>
      <c r="G1432" s="2"/>
      <c r="L1432" s="5"/>
      <c r="O1432" s="2"/>
    </row>
    <row r="1433" spans="2:15" x14ac:dyDescent="0.2">
      <c r="B1433" s="50">
        <v>865</v>
      </c>
      <c r="C1433" s="51">
        <v>0.17503868103847364</v>
      </c>
      <c r="D1433" s="52">
        <v>196</v>
      </c>
      <c r="E1433" s="53">
        <v>0.61870503597122306</v>
      </c>
      <c r="G1433" s="2"/>
      <c r="L1433" s="5"/>
      <c r="O1433" s="2"/>
    </row>
    <row r="1434" spans="2:15" x14ac:dyDescent="0.2">
      <c r="B1434" s="50">
        <v>864</v>
      </c>
      <c r="C1434" s="51">
        <v>0.17595039056273731</v>
      </c>
      <c r="D1434" s="52">
        <v>196</v>
      </c>
      <c r="E1434" s="53">
        <v>0.62589928057553956</v>
      </c>
      <c r="G1434" s="2"/>
      <c r="L1434" s="5"/>
      <c r="O1434" s="2"/>
    </row>
    <row r="1435" spans="2:15" x14ac:dyDescent="0.2">
      <c r="B1435" s="50">
        <v>1529</v>
      </c>
      <c r="C1435" s="51">
        <v>0.1903672964847829</v>
      </c>
      <c r="D1435" s="52">
        <v>196</v>
      </c>
      <c r="E1435" s="53">
        <v>0.66187050359712229</v>
      </c>
      <c r="G1435" s="2"/>
      <c r="L1435" s="5"/>
      <c r="O1435" s="2"/>
    </row>
    <row r="1436" spans="2:15" x14ac:dyDescent="0.2">
      <c r="B1436" s="50">
        <v>866</v>
      </c>
      <c r="C1436" s="51">
        <v>0.21138443435076471</v>
      </c>
      <c r="D1436" s="52">
        <v>196</v>
      </c>
      <c r="E1436" s="53">
        <v>0.60431654676258995</v>
      </c>
      <c r="G1436" s="2"/>
      <c r="L1436" s="5"/>
      <c r="O1436" s="2"/>
    </row>
    <row r="1437" spans="2:15" x14ac:dyDescent="0.2">
      <c r="B1437" s="50">
        <v>2108</v>
      </c>
      <c r="C1437" s="51">
        <v>0.23624093935675372</v>
      </c>
      <c r="D1437" s="52">
        <v>196</v>
      </c>
      <c r="E1437" s="53">
        <v>0.5611510791366906</v>
      </c>
      <c r="G1437" s="2"/>
      <c r="L1437" s="5"/>
      <c r="O1437" s="2"/>
    </row>
    <row r="1438" spans="2:15" x14ac:dyDescent="0.2">
      <c r="B1438" s="50">
        <v>1070</v>
      </c>
      <c r="C1438" s="51">
        <v>0.23993460068848116</v>
      </c>
      <c r="D1438" s="52">
        <v>196</v>
      </c>
      <c r="E1438" s="53">
        <v>0.42446043165467628</v>
      </c>
      <c r="G1438" s="2"/>
      <c r="L1438" s="5"/>
      <c r="O1438" s="2"/>
    </row>
    <row r="1439" spans="2:15" x14ac:dyDescent="0.2">
      <c r="B1439" s="50">
        <v>867</v>
      </c>
      <c r="C1439" s="51">
        <v>0.24199115711011632</v>
      </c>
      <c r="D1439" s="52">
        <v>196</v>
      </c>
      <c r="E1439" s="53">
        <v>0.51798561151079137</v>
      </c>
      <c r="G1439" s="2"/>
      <c r="L1439" s="5"/>
      <c r="O1439" s="2"/>
    </row>
    <row r="1440" spans="2:15" x14ac:dyDescent="0.2">
      <c r="B1440" s="50">
        <v>1021</v>
      </c>
      <c r="C1440" s="51">
        <v>0.25239904828464876</v>
      </c>
      <c r="D1440" s="52">
        <v>196</v>
      </c>
      <c r="E1440" s="53">
        <v>0.42446043165467628</v>
      </c>
      <c r="G1440" s="2"/>
      <c r="L1440" s="5"/>
      <c r="O1440" s="2"/>
    </row>
    <row r="1441" spans="2:15" x14ac:dyDescent="0.2">
      <c r="B1441" s="50">
        <v>1118</v>
      </c>
      <c r="C1441" s="51">
        <v>0.25548395147507152</v>
      </c>
      <c r="D1441" s="52">
        <v>196</v>
      </c>
      <c r="E1441" s="53">
        <v>0.43165467625899279</v>
      </c>
      <c r="G1441" s="2"/>
      <c r="L1441" s="5"/>
      <c r="O1441" s="2"/>
    </row>
    <row r="1442" spans="2:15" x14ac:dyDescent="0.2">
      <c r="B1442" s="50">
        <v>1165</v>
      </c>
      <c r="C1442" s="51">
        <v>0.25923439746475518</v>
      </c>
      <c r="D1442" s="52">
        <v>196</v>
      </c>
      <c r="E1442" s="53">
        <v>0.50359712230215825</v>
      </c>
      <c r="G1442" s="2"/>
      <c r="L1442" s="5"/>
      <c r="O1442" s="2"/>
    </row>
    <row r="1443" spans="2:15" x14ac:dyDescent="0.2">
      <c r="B1443" s="50">
        <v>2109</v>
      </c>
      <c r="C1443" s="51">
        <v>0.27131564672616348</v>
      </c>
      <c r="D1443" s="52">
        <v>196</v>
      </c>
      <c r="E1443" s="53">
        <v>0.56834532374100721</v>
      </c>
      <c r="G1443" s="2"/>
      <c r="L1443" s="5"/>
      <c r="O1443" s="2"/>
    </row>
    <row r="1444" spans="2:15" x14ac:dyDescent="0.2">
      <c r="B1444" s="50">
        <v>868</v>
      </c>
      <c r="C1444" s="51">
        <v>0.28352994336589743</v>
      </c>
      <c r="D1444" s="52">
        <v>196</v>
      </c>
      <c r="E1444" s="53">
        <v>0.51079136690647486</v>
      </c>
      <c r="G1444" s="2"/>
      <c r="L1444" s="5"/>
      <c r="O1444" s="2"/>
    </row>
    <row r="1445" spans="2:15" x14ac:dyDescent="0.2">
      <c r="B1445" s="50">
        <v>1285</v>
      </c>
      <c r="C1445" s="51">
        <v>0.29222856900080296</v>
      </c>
      <c r="D1445" s="52">
        <v>196</v>
      </c>
      <c r="E1445" s="53">
        <v>0.59712230215827333</v>
      </c>
      <c r="G1445" s="2"/>
      <c r="L1445" s="5"/>
      <c r="O1445" s="2"/>
    </row>
    <row r="1446" spans="2:15" x14ac:dyDescent="0.2">
      <c r="B1446" s="50">
        <v>1170</v>
      </c>
      <c r="C1446" s="51">
        <v>0.30465352639962251</v>
      </c>
      <c r="D1446" s="52">
        <v>196</v>
      </c>
      <c r="E1446" s="53">
        <v>0.4460431654676259</v>
      </c>
      <c r="G1446" s="2"/>
      <c r="L1446" s="5"/>
      <c r="O1446" s="2"/>
    </row>
    <row r="1447" spans="2:15" x14ac:dyDescent="0.2">
      <c r="B1447" s="50">
        <v>1284</v>
      </c>
      <c r="C1447" s="51">
        <v>0.31096929854300015</v>
      </c>
      <c r="D1447" s="52">
        <v>196</v>
      </c>
      <c r="E1447" s="53">
        <v>0.61870503597122306</v>
      </c>
      <c r="G1447" s="2"/>
      <c r="L1447" s="5"/>
      <c r="O1447" s="2"/>
    </row>
    <row r="1448" spans="2:15" x14ac:dyDescent="0.2">
      <c r="B1448" s="50">
        <v>1196</v>
      </c>
      <c r="C1448" s="51">
        <v>0.33656481389299453</v>
      </c>
      <c r="D1448" s="52">
        <v>196</v>
      </c>
      <c r="E1448" s="53">
        <v>0.5611510791366906</v>
      </c>
      <c r="G1448" s="2"/>
      <c r="L1448" s="5"/>
      <c r="O1448" s="2"/>
    </row>
    <row r="1449" spans="2:15" x14ac:dyDescent="0.2">
      <c r="B1449" s="50">
        <v>1198</v>
      </c>
      <c r="C1449" s="51">
        <v>0.3516920851136589</v>
      </c>
      <c r="D1449" s="52">
        <v>196</v>
      </c>
      <c r="E1449" s="53">
        <v>0.57553956834532372</v>
      </c>
      <c r="G1449" s="2"/>
      <c r="L1449" s="5"/>
      <c r="O1449" s="2"/>
    </row>
    <row r="1450" spans="2:15" x14ac:dyDescent="0.2">
      <c r="B1450" s="50">
        <v>1195</v>
      </c>
      <c r="C1450" s="51">
        <v>0.35323216892816267</v>
      </c>
      <c r="D1450" s="52">
        <v>196</v>
      </c>
      <c r="E1450" s="53">
        <v>0.5611510791366906</v>
      </c>
      <c r="G1450" s="2"/>
      <c r="L1450" s="5"/>
      <c r="O1450" s="2"/>
    </row>
    <row r="1451" spans="2:15" x14ac:dyDescent="0.2">
      <c r="B1451" s="50">
        <v>850</v>
      </c>
      <c r="C1451" s="51">
        <v>0.22144787784407383</v>
      </c>
      <c r="D1451" s="52">
        <v>197</v>
      </c>
      <c r="E1451" s="53">
        <v>0.74820143884892087</v>
      </c>
      <c r="G1451" s="2"/>
      <c r="L1451" s="5"/>
      <c r="O1451" s="2"/>
    </row>
    <row r="1452" spans="2:15" x14ac:dyDescent="0.2">
      <c r="B1452" s="50">
        <v>849</v>
      </c>
      <c r="C1452" s="51">
        <v>0.23679175302622901</v>
      </c>
      <c r="D1452" s="52">
        <v>197</v>
      </c>
      <c r="E1452" s="53">
        <v>0.73381294964028776</v>
      </c>
      <c r="G1452" s="2"/>
      <c r="L1452" s="5"/>
      <c r="O1452" s="2"/>
    </row>
    <row r="1453" spans="2:15" x14ac:dyDescent="0.2">
      <c r="B1453" s="50">
        <v>1571</v>
      </c>
      <c r="C1453" s="51">
        <v>0.29335012543048988</v>
      </c>
      <c r="D1453" s="52">
        <v>197</v>
      </c>
      <c r="E1453" s="53">
        <v>0.57553956834532372</v>
      </c>
      <c r="G1453" s="2"/>
      <c r="L1453" s="5"/>
      <c r="O1453" s="2"/>
    </row>
    <row r="1454" spans="2:15" x14ac:dyDescent="0.2">
      <c r="B1454" s="50">
        <v>1572</v>
      </c>
      <c r="C1454" s="51">
        <v>0.33607329555439991</v>
      </c>
      <c r="D1454" s="52">
        <v>197</v>
      </c>
      <c r="E1454" s="53">
        <v>0.5611510791366906</v>
      </c>
      <c r="G1454" s="2"/>
      <c r="L1454" s="5"/>
      <c r="O1454" s="2"/>
    </row>
    <row r="1455" spans="2:15" x14ac:dyDescent="0.2">
      <c r="B1455" s="50">
        <v>1573</v>
      </c>
      <c r="C1455" s="51">
        <v>0.35467899709730899</v>
      </c>
      <c r="D1455" s="52">
        <v>197</v>
      </c>
      <c r="E1455" s="53">
        <v>0.56834532374100721</v>
      </c>
      <c r="G1455" s="2"/>
      <c r="L1455" s="5"/>
      <c r="O1455" s="2"/>
    </row>
    <row r="1456" spans="2:15" x14ac:dyDescent="0.2">
      <c r="B1456" s="50">
        <v>614</v>
      </c>
      <c r="C1456" s="51">
        <v>0.83868535324813076</v>
      </c>
      <c r="D1456" s="52">
        <v>197</v>
      </c>
      <c r="E1456" s="53">
        <v>0.2446043165467626</v>
      </c>
      <c r="G1456" s="2"/>
      <c r="L1456" s="5"/>
      <c r="O1456" s="2"/>
    </row>
    <row r="1457" spans="2:15" x14ac:dyDescent="0.2">
      <c r="B1457" s="50">
        <v>497</v>
      </c>
      <c r="C1457" s="51">
        <v>0.84131525172474808</v>
      </c>
      <c r="D1457" s="52">
        <v>197</v>
      </c>
      <c r="E1457" s="53">
        <v>0.2446043165467626</v>
      </c>
      <c r="G1457" s="2"/>
      <c r="L1457" s="5"/>
      <c r="O1457" s="2"/>
    </row>
    <row r="1458" spans="2:15" x14ac:dyDescent="0.2">
      <c r="B1458" s="50">
        <v>671</v>
      </c>
      <c r="C1458" s="51">
        <v>0.84403605714213792</v>
      </c>
      <c r="D1458" s="52">
        <v>197</v>
      </c>
      <c r="E1458" s="53">
        <v>0.28776978417266186</v>
      </c>
      <c r="G1458" s="2"/>
      <c r="L1458" s="5"/>
      <c r="O1458" s="2"/>
    </row>
    <row r="1459" spans="2:15" x14ac:dyDescent="0.2">
      <c r="B1459" s="50">
        <v>437</v>
      </c>
      <c r="C1459" s="51">
        <v>0.84612136630459989</v>
      </c>
      <c r="D1459" s="52">
        <v>197</v>
      </c>
      <c r="E1459" s="53">
        <v>0.28776978417266186</v>
      </c>
      <c r="G1459" s="2"/>
      <c r="L1459" s="5"/>
      <c r="O1459" s="2"/>
    </row>
    <row r="1460" spans="2:15" x14ac:dyDescent="0.2">
      <c r="B1460" s="50">
        <v>314</v>
      </c>
      <c r="C1460" s="51">
        <v>0.84966227716108289</v>
      </c>
      <c r="D1460" s="52">
        <v>197</v>
      </c>
      <c r="E1460" s="53">
        <v>0.28776978417266186</v>
      </c>
      <c r="G1460" s="2"/>
      <c r="L1460" s="5"/>
      <c r="O1460" s="2"/>
    </row>
    <row r="1461" spans="2:15" x14ac:dyDescent="0.2">
      <c r="B1461" s="50">
        <v>615</v>
      </c>
      <c r="C1461" s="51">
        <v>0.85086505500593324</v>
      </c>
      <c r="D1461" s="52">
        <v>197</v>
      </c>
      <c r="E1461" s="53">
        <v>0.2446043165467626</v>
      </c>
      <c r="G1461" s="2"/>
      <c r="L1461" s="5"/>
      <c r="O1461" s="2"/>
    </row>
    <row r="1462" spans="2:15" x14ac:dyDescent="0.2">
      <c r="B1462" s="50">
        <v>376</v>
      </c>
      <c r="C1462" s="51">
        <v>0.85124040984991245</v>
      </c>
      <c r="D1462" s="52">
        <v>197</v>
      </c>
      <c r="E1462" s="53">
        <v>0.2805755395683453</v>
      </c>
      <c r="G1462" s="2"/>
      <c r="L1462" s="5"/>
      <c r="O1462" s="2"/>
    </row>
    <row r="1463" spans="2:15" x14ac:dyDescent="0.2">
      <c r="B1463" s="50">
        <v>498</v>
      </c>
      <c r="C1463" s="51">
        <v>0.85691984346175332</v>
      </c>
      <c r="D1463" s="52">
        <v>197</v>
      </c>
      <c r="E1463" s="53">
        <v>0.28776978417266186</v>
      </c>
      <c r="G1463" s="2"/>
      <c r="L1463" s="5"/>
      <c r="O1463" s="2"/>
    </row>
    <row r="1464" spans="2:15" x14ac:dyDescent="0.2">
      <c r="B1464" s="50">
        <v>438</v>
      </c>
      <c r="C1464" s="51">
        <v>0.86172130749148201</v>
      </c>
      <c r="D1464" s="52">
        <v>197</v>
      </c>
      <c r="E1464" s="53">
        <v>0.28776978417266186</v>
      </c>
      <c r="G1464" s="2"/>
      <c r="L1464" s="5"/>
      <c r="O1464" s="2"/>
    </row>
    <row r="1465" spans="2:15" x14ac:dyDescent="0.2">
      <c r="B1465" s="50">
        <v>315</v>
      </c>
      <c r="C1465" s="51">
        <v>0.86401957841802079</v>
      </c>
      <c r="D1465" s="52">
        <v>197</v>
      </c>
      <c r="E1465" s="53">
        <v>0.2805755395683453</v>
      </c>
      <c r="G1465" s="2"/>
      <c r="L1465" s="5"/>
      <c r="O1465" s="2"/>
    </row>
    <row r="1466" spans="2:15" x14ac:dyDescent="0.2">
      <c r="B1466" s="50">
        <v>377</v>
      </c>
      <c r="C1466" s="51">
        <v>0.86618541256829373</v>
      </c>
      <c r="D1466" s="52">
        <v>197</v>
      </c>
      <c r="E1466" s="53">
        <v>0.2805755395683453</v>
      </c>
      <c r="G1466" s="2"/>
      <c r="L1466" s="5"/>
      <c r="O1466" s="2"/>
    </row>
    <row r="1467" spans="2:15" x14ac:dyDescent="0.2">
      <c r="B1467" s="50">
        <v>1566</v>
      </c>
      <c r="C1467" s="51">
        <v>0.1848623372997652</v>
      </c>
      <c r="D1467" s="52">
        <v>198</v>
      </c>
      <c r="E1467" s="53">
        <v>0.6690647482014388</v>
      </c>
      <c r="G1467" s="2"/>
      <c r="L1467" s="5"/>
      <c r="O1467" s="2"/>
    </row>
    <row r="1468" spans="2:15" x14ac:dyDescent="0.2">
      <c r="B1468" s="50">
        <v>1604</v>
      </c>
      <c r="C1468" s="51">
        <v>0.18783129600562753</v>
      </c>
      <c r="D1468" s="52">
        <v>198</v>
      </c>
      <c r="E1468" s="53">
        <v>0.58992805755395683</v>
      </c>
      <c r="G1468" s="2"/>
      <c r="L1468" s="5"/>
      <c r="O1468" s="2"/>
    </row>
    <row r="1469" spans="2:15" x14ac:dyDescent="0.2">
      <c r="B1469" s="50">
        <v>1602</v>
      </c>
      <c r="C1469" s="51">
        <v>0.19206866478964324</v>
      </c>
      <c r="D1469" s="52">
        <v>198</v>
      </c>
      <c r="E1469" s="53">
        <v>0.6690647482014388</v>
      </c>
      <c r="G1469" s="2"/>
      <c r="L1469" s="5"/>
      <c r="O1469" s="2"/>
    </row>
    <row r="1470" spans="2:15" x14ac:dyDescent="0.2">
      <c r="B1470" s="50">
        <v>1075</v>
      </c>
      <c r="C1470" s="51">
        <v>0.27700929250093231</v>
      </c>
      <c r="D1470" s="52">
        <v>198</v>
      </c>
      <c r="E1470" s="53">
        <v>0.37410071942446044</v>
      </c>
      <c r="G1470" s="2"/>
      <c r="L1470" s="5"/>
      <c r="O1470" s="2"/>
    </row>
    <row r="1471" spans="2:15" x14ac:dyDescent="0.2">
      <c r="B1471" s="50">
        <v>1452</v>
      </c>
      <c r="C1471" s="51">
        <v>0.28036545648205802</v>
      </c>
      <c r="D1471" s="52">
        <v>198</v>
      </c>
      <c r="E1471" s="53">
        <v>0.61151079136690645</v>
      </c>
      <c r="G1471" s="2"/>
      <c r="L1471" s="5"/>
      <c r="O1471" s="2"/>
    </row>
    <row r="1472" spans="2:15" x14ac:dyDescent="0.2">
      <c r="B1472" s="50">
        <v>1026</v>
      </c>
      <c r="C1472" s="51">
        <v>0.29786539477588725</v>
      </c>
      <c r="D1472" s="52">
        <v>198</v>
      </c>
      <c r="E1472" s="53">
        <v>0.38129496402877699</v>
      </c>
      <c r="G1472" s="2"/>
      <c r="L1472" s="5"/>
      <c r="O1472" s="2"/>
    </row>
    <row r="1473" spans="2:15" x14ac:dyDescent="0.2">
      <c r="B1473" s="50">
        <v>1123</v>
      </c>
      <c r="C1473" s="51">
        <v>0.30116364480745139</v>
      </c>
      <c r="D1473" s="52">
        <v>198</v>
      </c>
      <c r="E1473" s="53">
        <v>0.4460431654676259</v>
      </c>
      <c r="G1473" s="2"/>
      <c r="L1473" s="5"/>
      <c r="O1473" s="2"/>
    </row>
    <row r="1474" spans="2:15" x14ac:dyDescent="0.2">
      <c r="B1474" s="50">
        <v>53</v>
      </c>
      <c r="C1474" s="51">
        <v>0.65804449321577707</v>
      </c>
      <c r="D1474" s="52">
        <v>198</v>
      </c>
      <c r="E1474" s="53">
        <v>0.21008403361344538</v>
      </c>
      <c r="G1474" s="2"/>
      <c r="L1474" s="5"/>
      <c r="O1474" s="2"/>
    </row>
    <row r="1475" spans="2:15" x14ac:dyDescent="0.2">
      <c r="B1475" s="50">
        <v>54</v>
      </c>
      <c r="C1475" s="51">
        <v>0.70059903502873011</v>
      </c>
      <c r="D1475" s="52">
        <v>198</v>
      </c>
      <c r="E1475" s="53">
        <v>0.16806722689075632</v>
      </c>
      <c r="G1475" s="2"/>
      <c r="L1475" s="5"/>
      <c r="O1475" s="2"/>
    </row>
    <row r="1476" spans="2:15" x14ac:dyDescent="0.2">
      <c r="B1476" s="50">
        <v>55</v>
      </c>
      <c r="C1476" s="51">
        <v>0.71276237055468072</v>
      </c>
      <c r="D1476" s="52">
        <v>198</v>
      </c>
      <c r="E1476" s="53">
        <v>0.16806722689075632</v>
      </c>
      <c r="G1476" s="2"/>
      <c r="L1476" s="5"/>
      <c r="O1476" s="2"/>
    </row>
    <row r="1477" spans="2:15" x14ac:dyDescent="0.2">
      <c r="B1477" s="50">
        <v>1570</v>
      </c>
      <c r="C1477" s="51">
        <v>0.16704637398347499</v>
      </c>
      <c r="D1477" s="52">
        <v>199</v>
      </c>
      <c r="E1477" s="53">
        <v>0.67625899280575541</v>
      </c>
      <c r="G1477" s="2"/>
      <c r="L1477" s="5"/>
      <c r="O1477" s="2"/>
    </row>
    <row r="1478" spans="2:15" x14ac:dyDescent="0.2">
      <c r="B1478" s="50">
        <v>1600</v>
      </c>
      <c r="C1478" s="51">
        <v>0.17507430169354976</v>
      </c>
      <c r="D1478" s="52">
        <v>199</v>
      </c>
      <c r="E1478" s="53">
        <v>0.6690647482014388</v>
      </c>
      <c r="G1478" s="2"/>
      <c r="L1478" s="5"/>
      <c r="O1478" s="2"/>
    </row>
    <row r="1479" spans="2:15" x14ac:dyDescent="0.2">
      <c r="B1479" s="50">
        <v>1603</v>
      </c>
      <c r="C1479" s="51">
        <v>0.18502298158441177</v>
      </c>
      <c r="D1479" s="52">
        <v>199</v>
      </c>
      <c r="E1479" s="53">
        <v>0.51798561151079137</v>
      </c>
      <c r="G1479" s="2"/>
      <c r="L1479" s="5"/>
      <c r="O1479" s="2"/>
    </row>
    <row r="1480" spans="2:15" x14ac:dyDescent="0.2">
      <c r="B1480" s="50">
        <v>1601</v>
      </c>
      <c r="C1480" s="51">
        <v>0.18512849830858913</v>
      </c>
      <c r="D1480" s="52">
        <v>199</v>
      </c>
      <c r="E1480" s="53">
        <v>0.6690647482014388</v>
      </c>
      <c r="G1480" s="2"/>
      <c r="L1480" s="5"/>
      <c r="O1480" s="2"/>
    </row>
    <row r="1481" spans="2:15" x14ac:dyDescent="0.2">
      <c r="B1481" s="50">
        <v>1565</v>
      </c>
      <c r="C1481" s="51">
        <v>0.18545751875422267</v>
      </c>
      <c r="D1481" s="52">
        <v>199</v>
      </c>
      <c r="E1481" s="53">
        <v>0.6690647482014388</v>
      </c>
      <c r="G1481" s="2"/>
      <c r="L1481" s="5"/>
      <c r="O1481" s="2"/>
    </row>
    <row r="1482" spans="2:15" x14ac:dyDescent="0.2">
      <c r="B1482" s="50">
        <v>1564</v>
      </c>
      <c r="C1482" s="51">
        <v>0.19882145865520295</v>
      </c>
      <c r="D1482" s="52">
        <v>199</v>
      </c>
      <c r="E1482" s="53">
        <v>0.6690647482014388</v>
      </c>
      <c r="G1482" s="2"/>
      <c r="L1482" s="5"/>
      <c r="O1482" s="2"/>
    </row>
    <row r="1483" spans="2:15" x14ac:dyDescent="0.2">
      <c r="B1483" s="50">
        <v>1606</v>
      </c>
      <c r="C1483" s="51">
        <v>0.21248269273018117</v>
      </c>
      <c r="D1483" s="52">
        <v>199</v>
      </c>
      <c r="E1483" s="53">
        <v>0.56834532374100721</v>
      </c>
      <c r="G1483" s="2"/>
      <c r="L1483" s="5"/>
      <c r="O1483" s="2"/>
    </row>
    <row r="1484" spans="2:15" x14ac:dyDescent="0.2">
      <c r="B1484" s="50">
        <v>1607</v>
      </c>
      <c r="C1484" s="51">
        <v>0.36361061080156087</v>
      </c>
      <c r="D1484" s="52">
        <v>199</v>
      </c>
      <c r="E1484" s="53">
        <v>0.58992805755395683</v>
      </c>
      <c r="G1484" s="2"/>
      <c r="L1484" s="5"/>
      <c r="O1484" s="2"/>
    </row>
    <row r="1485" spans="2:15" x14ac:dyDescent="0.2">
      <c r="B1485" s="50">
        <v>1608</v>
      </c>
      <c r="C1485" s="51">
        <v>0.40550046683570018</v>
      </c>
      <c r="D1485" s="52">
        <v>199</v>
      </c>
      <c r="E1485" s="53">
        <v>0.56834532374100721</v>
      </c>
      <c r="G1485" s="2"/>
      <c r="L1485" s="5"/>
      <c r="O1485" s="2"/>
    </row>
    <row r="1486" spans="2:15" x14ac:dyDescent="0.2">
      <c r="B1486" s="50">
        <v>1609</v>
      </c>
      <c r="C1486" s="51">
        <v>0.424482575898529</v>
      </c>
      <c r="D1486" s="52">
        <v>199</v>
      </c>
      <c r="E1486" s="53">
        <v>0.49640287769784175</v>
      </c>
      <c r="G1486" s="2"/>
      <c r="L1486" s="5"/>
      <c r="O1486" s="2"/>
    </row>
    <row r="1487" spans="2:15" x14ac:dyDescent="0.2">
      <c r="B1487" s="50">
        <v>880</v>
      </c>
      <c r="C1487" s="51">
        <v>0.60225180893122399</v>
      </c>
      <c r="D1487" s="52">
        <v>199</v>
      </c>
      <c r="E1487" s="53">
        <v>0.35251798561151076</v>
      </c>
      <c r="G1487" s="2"/>
      <c r="L1487" s="5"/>
      <c r="O1487" s="2"/>
    </row>
    <row r="1488" spans="2:15" x14ac:dyDescent="0.2">
      <c r="B1488" s="50">
        <v>882</v>
      </c>
      <c r="C1488" s="51">
        <v>0.6463899616544333</v>
      </c>
      <c r="D1488" s="52">
        <v>199</v>
      </c>
      <c r="E1488" s="53">
        <v>0.31654676258992803</v>
      </c>
      <c r="G1488" s="2"/>
      <c r="L1488" s="5"/>
      <c r="O1488" s="2"/>
    </row>
    <row r="1489" spans="2:15" x14ac:dyDescent="0.2">
      <c r="B1489" s="50">
        <v>1568</v>
      </c>
      <c r="C1489" s="51">
        <v>0.2014538920412724</v>
      </c>
      <c r="D1489" s="52">
        <v>200</v>
      </c>
      <c r="E1489" s="53">
        <v>0.58273381294964033</v>
      </c>
      <c r="G1489" s="2"/>
      <c r="L1489" s="5"/>
      <c r="O1489" s="2"/>
    </row>
    <row r="1490" spans="2:15" x14ac:dyDescent="0.2">
      <c r="B1490" s="50">
        <v>1531</v>
      </c>
      <c r="C1490" s="51">
        <v>0.20718488691471593</v>
      </c>
      <c r="D1490" s="52">
        <v>200</v>
      </c>
      <c r="E1490" s="53">
        <v>0.57553956834532372</v>
      </c>
      <c r="G1490" s="2"/>
      <c r="L1490" s="5"/>
      <c r="O1490" s="2"/>
    </row>
    <row r="1491" spans="2:15" x14ac:dyDescent="0.2">
      <c r="B1491" s="50">
        <v>1071</v>
      </c>
      <c r="C1491" s="51">
        <v>0.29934879859715746</v>
      </c>
      <c r="D1491" s="52">
        <v>200</v>
      </c>
      <c r="E1491" s="53">
        <v>0.43884892086330934</v>
      </c>
      <c r="G1491" s="2"/>
      <c r="L1491" s="5"/>
      <c r="O1491" s="2"/>
    </row>
    <row r="1492" spans="2:15" x14ac:dyDescent="0.2">
      <c r="B1492" s="50">
        <v>1454</v>
      </c>
      <c r="C1492" s="51">
        <v>0.30067875653593057</v>
      </c>
      <c r="D1492" s="52">
        <v>200</v>
      </c>
      <c r="E1492" s="53">
        <v>0.60431654676258995</v>
      </c>
      <c r="G1492" s="2"/>
      <c r="L1492" s="5"/>
      <c r="O1492" s="2"/>
    </row>
    <row r="1493" spans="2:15" x14ac:dyDescent="0.2">
      <c r="B1493" s="50">
        <v>1024</v>
      </c>
      <c r="C1493" s="51">
        <v>0.30198751052618389</v>
      </c>
      <c r="D1493" s="52">
        <v>200</v>
      </c>
      <c r="E1493" s="53">
        <v>0.43884892086330934</v>
      </c>
      <c r="G1493" s="2"/>
      <c r="L1493" s="5"/>
      <c r="O1493" s="2"/>
    </row>
    <row r="1494" spans="2:15" x14ac:dyDescent="0.2">
      <c r="B1494" s="50">
        <v>1072</v>
      </c>
      <c r="C1494" s="51">
        <v>0.30233179605384763</v>
      </c>
      <c r="D1494" s="52">
        <v>200</v>
      </c>
      <c r="E1494" s="53">
        <v>0.4460431654676259</v>
      </c>
      <c r="G1494" s="2"/>
      <c r="L1494" s="5"/>
      <c r="O1494" s="2"/>
    </row>
    <row r="1495" spans="2:15" x14ac:dyDescent="0.2">
      <c r="B1495" s="50">
        <v>1022</v>
      </c>
      <c r="C1495" s="51">
        <v>0.30615812448955249</v>
      </c>
      <c r="D1495" s="52">
        <v>200</v>
      </c>
      <c r="E1495" s="53">
        <v>0.43884892086330934</v>
      </c>
      <c r="G1495" s="2"/>
      <c r="L1495" s="5"/>
      <c r="O1495" s="2"/>
    </row>
    <row r="1496" spans="2:15" x14ac:dyDescent="0.2">
      <c r="B1496" s="50">
        <v>1023</v>
      </c>
      <c r="C1496" s="51">
        <v>0.30974286036936738</v>
      </c>
      <c r="D1496" s="52">
        <v>200</v>
      </c>
      <c r="E1496" s="53">
        <v>0.4460431654676259</v>
      </c>
      <c r="G1496" s="2"/>
      <c r="L1496" s="5"/>
      <c r="O1496" s="2"/>
    </row>
    <row r="1497" spans="2:15" x14ac:dyDescent="0.2">
      <c r="B1497" s="50">
        <v>1119</v>
      </c>
      <c r="C1497" s="51">
        <v>0.31065419288637586</v>
      </c>
      <c r="D1497" s="52">
        <v>200</v>
      </c>
      <c r="E1497" s="53">
        <v>0.51079136690647486</v>
      </c>
      <c r="G1497" s="2"/>
      <c r="L1497" s="5"/>
      <c r="O1497" s="2"/>
    </row>
    <row r="1498" spans="2:15" x14ac:dyDescent="0.2">
      <c r="B1498" s="50">
        <v>1120</v>
      </c>
      <c r="C1498" s="51">
        <v>0.31475625896478843</v>
      </c>
      <c r="D1498" s="52">
        <v>200</v>
      </c>
      <c r="E1498" s="53">
        <v>0.4460431654676259</v>
      </c>
      <c r="G1498" s="2"/>
      <c r="L1498" s="5"/>
      <c r="O1498" s="2"/>
    </row>
    <row r="1499" spans="2:15" x14ac:dyDescent="0.2">
      <c r="B1499" s="50">
        <v>1166</v>
      </c>
      <c r="C1499" s="51">
        <v>0.3154664759005632</v>
      </c>
      <c r="D1499" s="52">
        <v>200</v>
      </c>
      <c r="E1499" s="53">
        <v>0.51079136690647486</v>
      </c>
      <c r="G1499" s="2"/>
      <c r="L1499" s="5"/>
      <c r="O1499" s="2"/>
    </row>
    <row r="1500" spans="2:15" x14ac:dyDescent="0.2">
      <c r="B1500" s="50">
        <v>873</v>
      </c>
      <c r="C1500" s="51">
        <v>0.3187813310000488</v>
      </c>
      <c r="D1500" s="52">
        <v>200</v>
      </c>
      <c r="E1500" s="53">
        <v>0.42446043165467628</v>
      </c>
      <c r="G1500" s="2"/>
      <c r="L1500" s="5"/>
      <c r="O1500" s="2"/>
    </row>
    <row r="1501" spans="2:15" x14ac:dyDescent="0.2">
      <c r="B1501" s="50">
        <v>925</v>
      </c>
      <c r="C1501" s="51">
        <v>0.34618249258455136</v>
      </c>
      <c r="D1501" s="52">
        <v>200</v>
      </c>
      <c r="E1501" s="53">
        <v>0.42446043165467628</v>
      </c>
      <c r="G1501" s="2"/>
      <c r="L1501" s="5"/>
      <c r="O1501" s="2"/>
    </row>
    <row r="1502" spans="2:15" x14ac:dyDescent="0.2">
      <c r="B1502" s="50">
        <v>976</v>
      </c>
      <c r="C1502" s="51">
        <v>0.35355585089203445</v>
      </c>
      <c r="D1502" s="52">
        <v>200</v>
      </c>
      <c r="E1502" s="53">
        <v>0.49640287769784175</v>
      </c>
      <c r="G1502" s="2"/>
      <c r="L1502" s="5"/>
      <c r="O1502" s="2"/>
    </row>
    <row r="1503" spans="2:15" x14ac:dyDescent="0.2">
      <c r="B1503" s="50">
        <v>1567</v>
      </c>
      <c r="C1503" s="51">
        <v>0.20112741458020433</v>
      </c>
      <c r="D1503" s="52">
        <v>201</v>
      </c>
      <c r="E1503" s="53">
        <v>0.58992805755395683</v>
      </c>
      <c r="G1503" s="2"/>
      <c r="L1503" s="5"/>
      <c r="O1503" s="2"/>
    </row>
    <row r="1504" spans="2:15" x14ac:dyDescent="0.2">
      <c r="B1504" s="50">
        <v>1530</v>
      </c>
      <c r="C1504" s="51">
        <v>0.20718194234765686</v>
      </c>
      <c r="D1504" s="52">
        <v>201</v>
      </c>
      <c r="E1504" s="53">
        <v>0.57553956834532372</v>
      </c>
      <c r="G1504" s="2"/>
      <c r="L1504" s="5"/>
      <c r="O1504" s="2"/>
    </row>
    <row r="1505" spans="2:15" x14ac:dyDescent="0.2">
      <c r="B1505" s="50">
        <v>1453</v>
      </c>
      <c r="C1505" s="51">
        <v>0.29952040484456521</v>
      </c>
      <c r="D1505" s="52">
        <v>201</v>
      </c>
      <c r="E1505" s="53">
        <v>0.61151079136690645</v>
      </c>
      <c r="G1505" s="2"/>
      <c r="L1505" s="5"/>
      <c r="O1505" s="2"/>
    </row>
    <row r="1506" spans="2:15" x14ac:dyDescent="0.2">
      <c r="B1506" s="50">
        <v>492</v>
      </c>
      <c r="C1506" s="51">
        <v>0.7520353976734282</v>
      </c>
      <c r="D1506" s="52">
        <v>201</v>
      </c>
      <c r="E1506" s="53">
        <v>0.33093525179856115</v>
      </c>
      <c r="G1506" s="2"/>
      <c r="L1506" s="5"/>
      <c r="O1506" s="2"/>
    </row>
    <row r="1507" spans="2:15" x14ac:dyDescent="0.2">
      <c r="B1507" s="50">
        <v>432</v>
      </c>
      <c r="C1507" s="51">
        <v>0.75414482104257485</v>
      </c>
      <c r="D1507" s="52">
        <v>201</v>
      </c>
      <c r="E1507" s="53">
        <v>0.33093525179856115</v>
      </c>
      <c r="G1507" s="2"/>
      <c r="L1507" s="5"/>
      <c r="O1507" s="2"/>
    </row>
    <row r="1508" spans="2:15" x14ac:dyDescent="0.2">
      <c r="B1508" s="50">
        <v>309</v>
      </c>
      <c r="C1508" s="51">
        <v>0.75437551130818015</v>
      </c>
      <c r="D1508" s="52">
        <v>201</v>
      </c>
      <c r="E1508" s="53">
        <v>0.32374100719424459</v>
      </c>
      <c r="G1508" s="2"/>
      <c r="L1508" s="5"/>
      <c r="O1508" s="2"/>
    </row>
    <row r="1509" spans="2:15" x14ac:dyDescent="0.2">
      <c r="B1509" s="50">
        <v>371</v>
      </c>
      <c r="C1509" s="51">
        <v>0.75612640852837798</v>
      </c>
      <c r="D1509" s="52">
        <v>201</v>
      </c>
      <c r="E1509" s="53">
        <v>0.32374100719424459</v>
      </c>
      <c r="G1509" s="2"/>
      <c r="L1509" s="5"/>
      <c r="O1509" s="2"/>
    </row>
    <row r="1510" spans="2:15" x14ac:dyDescent="0.2">
      <c r="B1510" s="50">
        <v>493</v>
      </c>
      <c r="C1510" s="51">
        <v>0.75976664002948313</v>
      </c>
      <c r="D1510" s="52">
        <v>201</v>
      </c>
      <c r="E1510" s="53">
        <v>0.33093525179856115</v>
      </c>
      <c r="G1510" s="2"/>
      <c r="L1510" s="5"/>
      <c r="O1510" s="2"/>
    </row>
    <row r="1511" spans="2:15" x14ac:dyDescent="0.2">
      <c r="B1511" s="50">
        <v>552</v>
      </c>
      <c r="C1511" s="51">
        <v>0.76164982031245387</v>
      </c>
      <c r="D1511" s="52">
        <v>201</v>
      </c>
      <c r="E1511" s="53">
        <v>0.33093525179856115</v>
      </c>
      <c r="G1511" s="2"/>
      <c r="L1511" s="5"/>
      <c r="O1511" s="2"/>
    </row>
    <row r="1512" spans="2:15" x14ac:dyDescent="0.2">
      <c r="B1512" s="50">
        <v>433</v>
      </c>
      <c r="C1512" s="51">
        <v>0.76184319546334101</v>
      </c>
      <c r="D1512" s="52">
        <v>201</v>
      </c>
      <c r="E1512" s="53">
        <v>0.33093525179856115</v>
      </c>
      <c r="G1512" s="2"/>
      <c r="L1512" s="5"/>
      <c r="O1512" s="2"/>
    </row>
    <row r="1513" spans="2:15" x14ac:dyDescent="0.2">
      <c r="B1513" s="50">
        <v>310</v>
      </c>
      <c r="C1513" s="51">
        <v>0.76245266149593649</v>
      </c>
      <c r="D1513" s="52">
        <v>201</v>
      </c>
      <c r="E1513" s="53">
        <v>0.32374100719424459</v>
      </c>
      <c r="G1513" s="2"/>
      <c r="L1513" s="5"/>
      <c r="O1513" s="2"/>
    </row>
    <row r="1514" spans="2:15" x14ac:dyDescent="0.2">
      <c r="B1514" s="50">
        <v>372</v>
      </c>
      <c r="C1514" s="51">
        <v>0.76410442140956347</v>
      </c>
      <c r="D1514" s="52">
        <v>201</v>
      </c>
      <c r="E1514" s="53">
        <v>0.32374100719424459</v>
      </c>
      <c r="G1514" s="2"/>
      <c r="L1514" s="5"/>
      <c r="O1514" s="2"/>
    </row>
    <row r="1515" spans="2:15" x14ac:dyDescent="0.2">
      <c r="B1515" s="50">
        <v>553</v>
      </c>
      <c r="C1515" s="51">
        <v>0.76732134667855334</v>
      </c>
      <c r="D1515" s="52">
        <v>201</v>
      </c>
      <c r="E1515" s="53">
        <v>0.2805755395683453</v>
      </c>
      <c r="G1515" s="2"/>
      <c r="L1515" s="5"/>
      <c r="O1515" s="2"/>
    </row>
    <row r="1516" spans="2:15" x14ac:dyDescent="0.2">
      <c r="B1516" s="50">
        <v>494</v>
      </c>
      <c r="C1516" s="51">
        <v>0.77264153094165067</v>
      </c>
      <c r="D1516" s="52">
        <v>201</v>
      </c>
      <c r="E1516" s="53">
        <v>0.2805755395683453</v>
      </c>
      <c r="G1516" s="2"/>
      <c r="L1516" s="5"/>
      <c r="O1516" s="2"/>
    </row>
    <row r="1517" spans="2:15" x14ac:dyDescent="0.2">
      <c r="B1517" s="50">
        <v>611</v>
      </c>
      <c r="C1517" s="51">
        <v>0.7735510767646061</v>
      </c>
      <c r="D1517" s="52">
        <v>201</v>
      </c>
      <c r="E1517" s="53">
        <v>0.2805755395683453</v>
      </c>
      <c r="G1517" s="2"/>
      <c r="L1517" s="5"/>
      <c r="O1517" s="2"/>
    </row>
    <row r="1518" spans="2:15" x14ac:dyDescent="0.2">
      <c r="B1518" s="50">
        <v>610</v>
      </c>
      <c r="C1518" s="51">
        <v>0.77366593779103876</v>
      </c>
      <c r="D1518" s="52">
        <v>201</v>
      </c>
      <c r="E1518" s="53">
        <v>0.33093525179856115</v>
      </c>
      <c r="G1518" s="2"/>
      <c r="L1518" s="5"/>
      <c r="O1518" s="2"/>
    </row>
    <row r="1519" spans="2:15" x14ac:dyDescent="0.2">
      <c r="B1519" s="50">
        <v>779</v>
      </c>
      <c r="C1519" s="51">
        <v>0.77465467077083405</v>
      </c>
      <c r="D1519" s="52">
        <v>201</v>
      </c>
      <c r="E1519" s="53">
        <v>0.32374100719424459</v>
      </c>
      <c r="G1519" s="2"/>
      <c r="L1519" s="5"/>
      <c r="O1519" s="2"/>
    </row>
    <row r="1520" spans="2:15" x14ac:dyDescent="0.2">
      <c r="B1520" s="50">
        <v>833</v>
      </c>
      <c r="C1520" s="51">
        <v>0.77481748564167618</v>
      </c>
      <c r="D1520" s="52">
        <v>201</v>
      </c>
      <c r="E1520" s="53">
        <v>0.32374100719424459</v>
      </c>
      <c r="G1520" s="2"/>
      <c r="L1520" s="5"/>
      <c r="O1520" s="2"/>
    </row>
    <row r="1521" spans="2:15" x14ac:dyDescent="0.2">
      <c r="B1521" s="50">
        <v>434</v>
      </c>
      <c r="C1521" s="51">
        <v>0.77597783213164062</v>
      </c>
      <c r="D1521" s="52">
        <v>201</v>
      </c>
      <c r="E1521" s="53">
        <v>0.32374100719424459</v>
      </c>
      <c r="G1521" s="2"/>
      <c r="L1521" s="5"/>
      <c r="O1521" s="2"/>
    </row>
    <row r="1522" spans="2:15" x14ac:dyDescent="0.2">
      <c r="B1522" s="50">
        <v>668</v>
      </c>
      <c r="C1522" s="51">
        <v>0.77636470690677006</v>
      </c>
      <c r="D1522" s="52">
        <v>201</v>
      </c>
      <c r="E1522" s="53">
        <v>0.32374100719424459</v>
      </c>
      <c r="G1522" s="2"/>
      <c r="L1522" s="5"/>
      <c r="O1522" s="2"/>
    </row>
    <row r="1523" spans="2:15" x14ac:dyDescent="0.2">
      <c r="B1523" s="50">
        <v>724</v>
      </c>
      <c r="C1523" s="51">
        <v>0.77680246900760275</v>
      </c>
      <c r="D1523" s="52">
        <v>201</v>
      </c>
      <c r="E1523" s="53">
        <v>0.32374100719424459</v>
      </c>
      <c r="G1523" s="2"/>
      <c r="L1523" s="5"/>
      <c r="O1523" s="2"/>
    </row>
    <row r="1524" spans="2:15" x14ac:dyDescent="0.2">
      <c r="B1524" s="50">
        <v>311</v>
      </c>
      <c r="C1524" s="51">
        <v>0.78101131817573433</v>
      </c>
      <c r="D1524" s="52">
        <v>201</v>
      </c>
      <c r="E1524" s="53">
        <v>0.32374100719424459</v>
      </c>
      <c r="G1524" s="2"/>
      <c r="L1524" s="5"/>
      <c r="O1524" s="2"/>
    </row>
    <row r="1525" spans="2:15" x14ac:dyDescent="0.2">
      <c r="B1525" s="50">
        <v>373</v>
      </c>
      <c r="C1525" s="51">
        <v>0.78192954100552892</v>
      </c>
      <c r="D1525" s="52">
        <v>201</v>
      </c>
      <c r="E1525" s="53">
        <v>0.32374100719424459</v>
      </c>
      <c r="G1525" s="2"/>
      <c r="L1525" s="5"/>
      <c r="O1525" s="2"/>
    </row>
    <row r="1526" spans="2:15" x14ac:dyDescent="0.2">
      <c r="B1526" s="50">
        <v>554</v>
      </c>
      <c r="C1526" s="51">
        <v>0.8031688469302134</v>
      </c>
      <c r="D1526" s="52">
        <v>201</v>
      </c>
      <c r="E1526" s="53">
        <v>0.23741007194244604</v>
      </c>
      <c r="G1526" s="2"/>
      <c r="L1526" s="5"/>
      <c r="O1526" s="2"/>
    </row>
    <row r="1527" spans="2:15" x14ac:dyDescent="0.2">
      <c r="B1527" s="50">
        <v>612</v>
      </c>
      <c r="C1527" s="51">
        <v>0.8109548320448795</v>
      </c>
      <c r="D1527" s="52">
        <v>201</v>
      </c>
      <c r="E1527" s="53">
        <v>0.2446043165467626</v>
      </c>
      <c r="G1527" s="2"/>
      <c r="L1527" s="5"/>
      <c r="O1527" s="2"/>
    </row>
    <row r="1528" spans="2:15" x14ac:dyDescent="0.2">
      <c r="B1528" s="50">
        <v>495</v>
      </c>
      <c r="C1528" s="51">
        <v>0.81149622730192994</v>
      </c>
      <c r="D1528" s="52">
        <v>201</v>
      </c>
      <c r="E1528" s="53">
        <v>0.2446043165467626</v>
      </c>
      <c r="G1528" s="2"/>
      <c r="L1528" s="5"/>
      <c r="O1528" s="2"/>
    </row>
    <row r="1529" spans="2:15" x14ac:dyDescent="0.2">
      <c r="B1529" s="50">
        <v>780</v>
      </c>
      <c r="C1529" s="51">
        <v>0.81335065440660659</v>
      </c>
      <c r="D1529" s="52">
        <v>201</v>
      </c>
      <c r="E1529" s="53">
        <v>0.28776978417266186</v>
      </c>
      <c r="G1529" s="2"/>
      <c r="L1529" s="5"/>
      <c r="O1529" s="2"/>
    </row>
    <row r="1530" spans="2:15" x14ac:dyDescent="0.2">
      <c r="B1530" s="50">
        <v>555</v>
      </c>
      <c r="C1530" s="51">
        <v>0.81346284386938139</v>
      </c>
      <c r="D1530" s="52">
        <v>201</v>
      </c>
      <c r="E1530" s="53">
        <v>0.23741007194244604</v>
      </c>
      <c r="G1530" s="2"/>
      <c r="L1530" s="5"/>
      <c r="O1530" s="2"/>
    </row>
    <row r="1531" spans="2:15" x14ac:dyDescent="0.2">
      <c r="B1531" s="50">
        <v>435</v>
      </c>
      <c r="C1531" s="51">
        <v>0.81550509846388308</v>
      </c>
      <c r="D1531" s="52">
        <v>201</v>
      </c>
      <c r="E1531" s="53">
        <v>0.28776978417266186</v>
      </c>
      <c r="G1531" s="2"/>
      <c r="L1531" s="5"/>
      <c r="O1531" s="2"/>
    </row>
    <row r="1532" spans="2:15" x14ac:dyDescent="0.2">
      <c r="B1532" s="50">
        <v>669</v>
      </c>
      <c r="C1532" s="51">
        <v>0.8157450838235849</v>
      </c>
      <c r="D1532" s="52">
        <v>201</v>
      </c>
      <c r="E1532" s="53">
        <v>0.28776978417266186</v>
      </c>
      <c r="G1532" s="2"/>
      <c r="L1532" s="5"/>
      <c r="O1532" s="2"/>
    </row>
    <row r="1533" spans="2:15" x14ac:dyDescent="0.2">
      <c r="B1533" s="50">
        <v>725</v>
      </c>
      <c r="C1533" s="51">
        <v>0.81801038659614589</v>
      </c>
      <c r="D1533" s="52">
        <v>201</v>
      </c>
      <c r="E1533" s="53">
        <v>0.28776978417266186</v>
      </c>
      <c r="G1533" s="2"/>
      <c r="L1533" s="5"/>
      <c r="O1533" s="2"/>
    </row>
    <row r="1534" spans="2:15" x14ac:dyDescent="0.2">
      <c r="B1534" s="50">
        <v>312</v>
      </c>
      <c r="C1534" s="51">
        <v>0.8200430316089049</v>
      </c>
      <c r="D1534" s="52">
        <v>201</v>
      </c>
      <c r="E1534" s="53">
        <v>0.28776978417266186</v>
      </c>
      <c r="G1534" s="2"/>
      <c r="L1534" s="5"/>
      <c r="O1534" s="2"/>
    </row>
    <row r="1535" spans="2:15" x14ac:dyDescent="0.2">
      <c r="B1535" s="50">
        <v>374</v>
      </c>
      <c r="C1535" s="51">
        <v>0.82131139151547061</v>
      </c>
      <c r="D1535" s="52">
        <v>201</v>
      </c>
      <c r="E1535" s="53">
        <v>0.2805755395683453</v>
      </c>
      <c r="G1535" s="2"/>
      <c r="L1535" s="5"/>
      <c r="O1535" s="2"/>
    </row>
    <row r="1536" spans="2:15" x14ac:dyDescent="0.2">
      <c r="B1536" s="50">
        <v>613</v>
      </c>
      <c r="C1536" s="51">
        <v>0.82136476729367358</v>
      </c>
      <c r="D1536" s="52">
        <v>201</v>
      </c>
      <c r="E1536" s="53">
        <v>0.2446043165467626</v>
      </c>
      <c r="G1536" s="2"/>
      <c r="L1536" s="5"/>
      <c r="O1536" s="2"/>
    </row>
    <row r="1537" spans="2:15" x14ac:dyDescent="0.2">
      <c r="B1537" s="50">
        <v>496</v>
      </c>
      <c r="C1537" s="51">
        <v>0.82238245683217859</v>
      </c>
      <c r="D1537" s="52">
        <v>201</v>
      </c>
      <c r="E1537" s="53">
        <v>0.2446043165467626</v>
      </c>
      <c r="G1537" s="2"/>
      <c r="L1537" s="5"/>
      <c r="O1537" s="2"/>
    </row>
    <row r="1538" spans="2:15" x14ac:dyDescent="0.2">
      <c r="B1538" s="50">
        <v>670</v>
      </c>
      <c r="C1538" s="51">
        <v>0.82637440322241784</v>
      </c>
      <c r="D1538" s="52">
        <v>201</v>
      </c>
      <c r="E1538" s="53">
        <v>0.28776978417266186</v>
      </c>
      <c r="G1538" s="2"/>
      <c r="L1538" s="5"/>
      <c r="O1538" s="2"/>
    </row>
    <row r="1539" spans="2:15" x14ac:dyDescent="0.2">
      <c r="B1539" s="50">
        <v>436</v>
      </c>
      <c r="C1539" s="51">
        <v>0.8265709768176247</v>
      </c>
      <c r="D1539" s="52">
        <v>201</v>
      </c>
      <c r="E1539" s="53">
        <v>0.28776978417266186</v>
      </c>
      <c r="G1539" s="2"/>
      <c r="L1539" s="5"/>
      <c r="O1539" s="2"/>
    </row>
    <row r="1540" spans="2:15" x14ac:dyDescent="0.2">
      <c r="B1540" s="50">
        <v>726</v>
      </c>
      <c r="C1540" s="51">
        <v>0.83047072402643884</v>
      </c>
      <c r="D1540" s="52">
        <v>201</v>
      </c>
      <c r="E1540" s="53">
        <v>0.28776978417266186</v>
      </c>
      <c r="G1540" s="2"/>
      <c r="L1540" s="5"/>
      <c r="O1540" s="2"/>
    </row>
    <row r="1541" spans="2:15" x14ac:dyDescent="0.2">
      <c r="B1541" s="50">
        <v>556</v>
      </c>
      <c r="C1541" s="51">
        <v>0.83084649795410337</v>
      </c>
      <c r="D1541" s="52">
        <v>201</v>
      </c>
      <c r="E1541" s="53">
        <v>0.21582733812949639</v>
      </c>
      <c r="G1541" s="2"/>
      <c r="L1541" s="5"/>
      <c r="O1541" s="2"/>
    </row>
    <row r="1542" spans="2:15" x14ac:dyDescent="0.2">
      <c r="B1542" s="50">
        <v>313</v>
      </c>
      <c r="C1542" s="51">
        <v>0.8308778528385411</v>
      </c>
      <c r="D1542" s="52">
        <v>201</v>
      </c>
      <c r="E1542" s="53">
        <v>0.28776978417266186</v>
      </c>
      <c r="G1542" s="2"/>
      <c r="L1542" s="5"/>
      <c r="O1542" s="2"/>
    </row>
    <row r="1543" spans="2:15" x14ac:dyDescent="0.2">
      <c r="B1543" s="50">
        <v>375</v>
      </c>
      <c r="C1543" s="51">
        <v>0.83222360826930497</v>
      </c>
      <c r="D1543" s="52">
        <v>201</v>
      </c>
      <c r="E1543" s="53">
        <v>0.2805755395683453</v>
      </c>
      <c r="G1543" s="2"/>
      <c r="L1543" s="5"/>
      <c r="O1543" s="2"/>
    </row>
    <row r="1544" spans="2:15" x14ac:dyDescent="0.2">
      <c r="B1544" s="50">
        <v>557</v>
      </c>
      <c r="C1544" s="51">
        <v>0.84496936165417225</v>
      </c>
      <c r="D1544" s="52">
        <v>201</v>
      </c>
      <c r="E1544" s="53">
        <v>0.23741007194244604</v>
      </c>
      <c r="G1544" s="2"/>
      <c r="L1544" s="5"/>
      <c r="O1544" s="2"/>
    </row>
    <row r="1545" spans="2:15" x14ac:dyDescent="0.2">
      <c r="B1545" s="50">
        <v>869</v>
      </c>
      <c r="C1545" s="51">
        <v>0.3306313583928</v>
      </c>
      <c r="D1545" s="52">
        <v>202</v>
      </c>
      <c r="E1545" s="53">
        <v>0.5467625899280576</v>
      </c>
      <c r="G1545" s="2"/>
      <c r="L1545" s="5"/>
      <c r="O1545" s="2"/>
    </row>
    <row r="1546" spans="2:15" x14ac:dyDescent="0.2">
      <c r="B1546" s="50">
        <v>491</v>
      </c>
      <c r="C1546" s="51">
        <v>0.64260993042572456</v>
      </c>
      <c r="D1546" s="52">
        <v>203</v>
      </c>
      <c r="E1546" s="53">
        <v>0.21582733812949639</v>
      </c>
      <c r="G1546" s="2"/>
      <c r="L1546" s="5"/>
      <c r="O1546" s="2"/>
    </row>
    <row r="1547" spans="2:15" x14ac:dyDescent="0.2">
      <c r="B1547" s="50">
        <v>550</v>
      </c>
      <c r="C1547" s="51">
        <v>0.64296839716525478</v>
      </c>
      <c r="D1547" s="52">
        <v>203</v>
      </c>
      <c r="E1547" s="53">
        <v>0.21582733812949639</v>
      </c>
      <c r="G1547" s="2"/>
      <c r="L1547" s="5"/>
      <c r="O1547" s="2"/>
    </row>
    <row r="1548" spans="2:15" x14ac:dyDescent="0.2">
      <c r="B1548" s="50">
        <v>308</v>
      </c>
      <c r="C1548" s="51">
        <v>0.64479810118136294</v>
      </c>
      <c r="D1548" s="52">
        <v>203</v>
      </c>
      <c r="E1548" s="53">
        <v>0.21582733812949639</v>
      </c>
      <c r="G1548" s="2"/>
      <c r="L1548" s="5"/>
      <c r="O1548" s="2"/>
    </row>
    <row r="1549" spans="2:15" x14ac:dyDescent="0.2">
      <c r="B1549" s="50">
        <v>431</v>
      </c>
      <c r="C1549" s="51">
        <v>0.64511782551911978</v>
      </c>
      <c r="D1549" s="52">
        <v>203</v>
      </c>
      <c r="E1549" s="53">
        <v>0.21582733812949639</v>
      </c>
      <c r="G1549" s="2"/>
      <c r="L1549" s="5"/>
      <c r="O1549" s="2"/>
    </row>
    <row r="1550" spans="2:15" x14ac:dyDescent="0.2">
      <c r="B1550" s="50">
        <v>370</v>
      </c>
      <c r="C1550" s="51">
        <v>0.64620821054724464</v>
      </c>
      <c r="D1550" s="52">
        <v>203</v>
      </c>
      <c r="E1550" s="53">
        <v>0.21582733812949639</v>
      </c>
      <c r="G1550" s="2"/>
      <c r="L1550" s="5"/>
      <c r="O1550" s="2"/>
    </row>
    <row r="1551" spans="2:15" x14ac:dyDescent="0.2">
      <c r="B1551" s="50">
        <v>608</v>
      </c>
      <c r="C1551" s="51">
        <v>0.65991947598824252</v>
      </c>
      <c r="D1551" s="52">
        <v>203</v>
      </c>
      <c r="E1551" s="53">
        <v>0.21582733812949639</v>
      </c>
      <c r="G1551" s="2"/>
      <c r="L1551" s="5"/>
      <c r="O1551" s="2"/>
    </row>
    <row r="1552" spans="2:15" x14ac:dyDescent="0.2">
      <c r="B1552" s="50">
        <v>665</v>
      </c>
      <c r="C1552" s="51">
        <v>0.6647527195519376</v>
      </c>
      <c r="D1552" s="52">
        <v>203</v>
      </c>
      <c r="E1552" s="53">
        <v>0.21582733812949639</v>
      </c>
      <c r="G1552" s="2"/>
      <c r="L1552" s="5"/>
      <c r="O1552" s="2"/>
    </row>
    <row r="1553" spans="2:15" x14ac:dyDescent="0.2">
      <c r="B1553" s="50">
        <v>776</v>
      </c>
      <c r="C1553" s="51">
        <v>0.66839142206373081</v>
      </c>
      <c r="D1553" s="52">
        <v>203</v>
      </c>
      <c r="E1553" s="53">
        <v>0.21582733812949639</v>
      </c>
      <c r="G1553" s="2"/>
      <c r="L1553" s="5"/>
      <c r="O1553" s="2"/>
    </row>
    <row r="1554" spans="2:15" x14ac:dyDescent="0.2">
      <c r="B1554" s="50">
        <v>830</v>
      </c>
      <c r="C1554" s="51">
        <v>0.66905019135824462</v>
      </c>
      <c r="D1554" s="52">
        <v>203</v>
      </c>
      <c r="E1554" s="53">
        <v>0.22302158273381295</v>
      </c>
      <c r="G1554" s="2"/>
      <c r="L1554" s="5"/>
      <c r="O1554" s="2"/>
    </row>
    <row r="1555" spans="2:15" x14ac:dyDescent="0.2">
      <c r="B1555" s="50">
        <v>721</v>
      </c>
      <c r="C1555" s="51">
        <v>0.67197536835861438</v>
      </c>
      <c r="D1555" s="52">
        <v>203</v>
      </c>
      <c r="E1555" s="53">
        <v>0.21582733812949639</v>
      </c>
      <c r="G1555" s="2"/>
      <c r="L1555" s="5"/>
      <c r="O1555" s="2"/>
    </row>
    <row r="1556" spans="2:15" x14ac:dyDescent="0.2">
      <c r="B1556" s="50">
        <v>551</v>
      </c>
      <c r="C1556" s="51">
        <v>0.75410735228330661</v>
      </c>
      <c r="D1556" s="52">
        <v>203</v>
      </c>
      <c r="E1556" s="53">
        <v>0.28776978417266186</v>
      </c>
      <c r="G1556" s="2"/>
      <c r="L1556" s="5"/>
      <c r="O1556" s="2"/>
    </row>
    <row r="1557" spans="2:15" x14ac:dyDescent="0.2">
      <c r="B1557" s="50">
        <v>609</v>
      </c>
      <c r="C1557" s="51">
        <v>0.76647035003292052</v>
      </c>
      <c r="D1557" s="52">
        <v>203</v>
      </c>
      <c r="E1557" s="53">
        <v>0.33093525179856115</v>
      </c>
      <c r="G1557" s="2"/>
      <c r="L1557" s="5"/>
      <c r="O1557" s="2"/>
    </row>
    <row r="1558" spans="2:15" x14ac:dyDescent="0.2">
      <c r="B1558" s="50">
        <v>666</v>
      </c>
      <c r="C1558" s="51">
        <v>0.77231290823952192</v>
      </c>
      <c r="D1558" s="52">
        <v>203</v>
      </c>
      <c r="E1558" s="53">
        <v>0.33093525179856115</v>
      </c>
      <c r="G1558" s="2"/>
      <c r="L1558" s="5"/>
      <c r="O1558" s="2"/>
    </row>
    <row r="1559" spans="2:15" x14ac:dyDescent="0.2">
      <c r="B1559" s="50">
        <v>722</v>
      </c>
      <c r="C1559" s="51">
        <v>0.77765114682021108</v>
      </c>
      <c r="D1559" s="52">
        <v>203</v>
      </c>
      <c r="E1559" s="53">
        <v>0.33812949640287771</v>
      </c>
      <c r="G1559" s="2"/>
      <c r="L1559" s="5"/>
      <c r="O1559" s="2"/>
    </row>
    <row r="1560" spans="2:15" x14ac:dyDescent="0.2">
      <c r="B1560" s="50">
        <v>777</v>
      </c>
      <c r="C1560" s="51">
        <v>0.77922387481343125</v>
      </c>
      <c r="D1560" s="52">
        <v>203</v>
      </c>
      <c r="E1560" s="53">
        <v>0.33812949640287771</v>
      </c>
      <c r="G1560" s="2"/>
      <c r="L1560" s="5"/>
      <c r="O1560" s="2"/>
    </row>
    <row r="1561" spans="2:15" x14ac:dyDescent="0.2">
      <c r="B1561" s="50">
        <v>667</v>
      </c>
      <c r="C1561" s="51">
        <v>0.77954904890917531</v>
      </c>
      <c r="D1561" s="52">
        <v>203</v>
      </c>
      <c r="E1561" s="53">
        <v>0.33093525179856115</v>
      </c>
      <c r="G1561" s="2"/>
      <c r="L1561" s="5"/>
      <c r="O1561" s="2"/>
    </row>
    <row r="1562" spans="2:15" x14ac:dyDescent="0.2">
      <c r="B1562" s="50">
        <v>831</v>
      </c>
      <c r="C1562" s="51">
        <v>0.78435629480456948</v>
      </c>
      <c r="D1562" s="52">
        <v>203</v>
      </c>
      <c r="E1562" s="53">
        <v>0.36690647482014388</v>
      </c>
      <c r="G1562" s="2"/>
      <c r="L1562" s="5"/>
      <c r="O1562" s="2"/>
    </row>
    <row r="1563" spans="2:15" x14ac:dyDescent="0.2">
      <c r="B1563" s="50">
        <v>723</v>
      </c>
      <c r="C1563" s="51">
        <v>0.7852085805748833</v>
      </c>
      <c r="D1563" s="52">
        <v>203</v>
      </c>
      <c r="E1563" s="53">
        <v>0.33093525179856115</v>
      </c>
      <c r="G1563" s="2"/>
      <c r="L1563" s="5"/>
      <c r="O1563" s="2"/>
    </row>
    <row r="1564" spans="2:15" x14ac:dyDescent="0.2">
      <c r="B1564" s="50">
        <v>778</v>
      </c>
      <c r="C1564" s="51">
        <v>0.78763790278032186</v>
      </c>
      <c r="D1564" s="52">
        <v>203</v>
      </c>
      <c r="E1564" s="53">
        <v>0.33093525179856115</v>
      </c>
      <c r="G1564" s="2"/>
      <c r="L1564" s="5"/>
      <c r="O1564" s="2"/>
    </row>
    <row r="1565" spans="2:15" x14ac:dyDescent="0.2">
      <c r="B1565" s="50">
        <v>832</v>
      </c>
      <c r="C1565" s="51">
        <v>0.79384977920335298</v>
      </c>
      <c r="D1565" s="52">
        <v>203</v>
      </c>
      <c r="E1565" s="53">
        <v>0.33812949640287771</v>
      </c>
      <c r="G1565" s="2"/>
      <c r="L1565" s="5"/>
      <c r="O1565" s="2"/>
    </row>
    <row r="1566" spans="2:15" x14ac:dyDescent="0.2">
      <c r="B1566" s="50">
        <v>847</v>
      </c>
      <c r="C1566" s="51">
        <v>0.31487387726508898</v>
      </c>
      <c r="D1566" s="52">
        <v>204</v>
      </c>
      <c r="E1566" s="53">
        <v>0.66187050359712229</v>
      </c>
      <c r="G1566" s="2"/>
      <c r="L1566" s="5"/>
      <c r="O1566" s="2"/>
    </row>
    <row r="1567" spans="2:15" x14ac:dyDescent="0.2">
      <c r="B1567" s="50">
        <v>851</v>
      </c>
      <c r="C1567" s="51">
        <v>0.22494714915303826</v>
      </c>
      <c r="D1567" s="52">
        <v>205</v>
      </c>
      <c r="E1567" s="53">
        <v>0.74100719424460426</v>
      </c>
      <c r="G1567" s="2"/>
      <c r="L1567" s="5"/>
      <c r="O1567" s="2"/>
    </row>
    <row r="1568" spans="2:15" x14ac:dyDescent="0.2">
      <c r="B1568" s="50">
        <v>1148</v>
      </c>
      <c r="C1568" s="51">
        <v>0.23060122069103806</v>
      </c>
      <c r="D1568" s="52">
        <v>205</v>
      </c>
      <c r="E1568" s="53">
        <v>0.73381294964028776</v>
      </c>
      <c r="G1568" s="2"/>
      <c r="L1568" s="5"/>
      <c r="O1568" s="2"/>
    </row>
    <row r="1569" spans="2:15" x14ac:dyDescent="0.2">
      <c r="B1569" s="50">
        <v>1004</v>
      </c>
      <c r="C1569" s="51">
        <v>0.23775874592284396</v>
      </c>
      <c r="D1569" s="52">
        <v>205</v>
      </c>
      <c r="E1569" s="53">
        <v>0.73381294964028776</v>
      </c>
      <c r="G1569" s="2"/>
      <c r="L1569" s="5"/>
      <c r="O1569" s="2"/>
    </row>
    <row r="1570" spans="2:15" x14ac:dyDescent="0.2">
      <c r="B1570" s="50">
        <v>1053</v>
      </c>
      <c r="C1570" s="51">
        <v>0.2425822647133109</v>
      </c>
      <c r="D1570" s="52">
        <v>205</v>
      </c>
      <c r="E1570" s="53">
        <v>0.72661870503597126</v>
      </c>
      <c r="G1570" s="2"/>
      <c r="L1570" s="5"/>
      <c r="O1570" s="2"/>
    </row>
    <row r="1571" spans="2:15" x14ac:dyDescent="0.2">
      <c r="B1571" s="50">
        <v>2077</v>
      </c>
      <c r="C1571" s="51">
        <v>0.23420834610458297</v>
      </c>
      <c r="D1571" s="52">
        <v>206</v>
      </c>
      <c r="E1571" s="53">
        <v>0.63309352517985606</v>
      </c>
      <c r="G1571" s="2"/>
      <c r="L1571" s="5"/>
      <c r="O1571" s="2"/>
    </row>
    <row r="1572" spans="2:15" x14ac:dyDescent="0.2">
      <c r="B1572" s="50">
        <v>2060</v>
      </c>
      <c r="C1572" s="51">
        <v>0.23848066568846737</v>
      </c>
      <c r="D1572" s="52">
        <v>206</v>
      </c>
      <c r="E1572" s="53">
        <v>0.72661870503597126</v>
      </c>
      <c r="G1572" s="2"/>
      <c r="L1572" s="5"/>
      <c r="O1572" s="2"/>
    </row>
    <row r="1573" spans="2:15" x14ac:dyDescent="0.2">
      <c r="B1573" s="50">
        <v>1286</v>
      </c>
      <c r="C1573" s="51">
        <v>0.28885674188070898</v>
      </c>
      <c r="D1573" s="52">
        <v>206</v>
      </c>
      <c r="E1573" s="53">
        <v>0.58992805755395683</v>
      </c>
      <c r="G1573" s="2"/>
      <c r="L1573" s="5"/>
      <c r="O1573" s="2"/>
    </row>
    <row r="1574" spans="2:15" x14ac:dyDescent="0.2">
      <c r="B1574" s="50">
        <v>1199</v>
      </c>
      <c r="C1574" s="51">
        <v>0.34313274891460765</v>
      </c>
      <c r="D1574" s="52">
        <v>206</v>
      </c>
      <c r="E1574" s="53">
        <v>0.57553956834532372</v>
      </c>
      <c r="G1574" s="2"/>
      <c r="L1574" s="5"/>
      <c r="O1574" s="2"/>
    </row>
    <row r="1575" spans="2:15" x14ac:dyDescent="0.2">
      <c r="B1575" s="50">
        <v>967</v>
      </c>
      <c r="C1575" s="51">
        <v>0.20043875817328871</v>
      </c>
      <c r="D1575" s="52">
        <v>207</v>
      </c>
      <c r="E1575" s="53">
        <v>0.6690647482014388</v>
      </c>
      <c r="G1575" s="2"/>
      <c r="L1575" s="5"/>
      <c r="O1575" s="2"/>
    </row>
    <row r="1576" spans="2:15" x14ac:dyDescent="0.2">
      <c r="B1576" s="50">
        <v>1914</v>
      </c>
      <c r="C1576" s="51">
        <v>5.2714787650165129E-2</v>
      </c>
      <c r="D1576" s="52">
        <v>208</v>
      </c>
      <c r="E1576" s="53">
        <v>0.79136690647482011</v>
      </c>
      <c r="G1576" s="2"/>
      <c r="L1576" s="5"/>
      <c r="O1576" s="2"/>
    </row>
    <row r="1577" spans="2:15" x14ac:dyDescent="0.2">
      <c r="B1577" s="50">
        <v>1888</v>
      </c>
      <c r="C1577" s="51">
        <v>9.3048096943728176E-2</v>
      </c>
      <c r="D1577" s="52">
        <v>208</v>
      </c>
      <c r="E1577" s="53">
        <v>0.68345323741007191</v>
      </c>
      <c r="G1577" s="2"/>
      <c r="L1577" s="5"/>
      <c r="O1577" s="2"/>
    </row>
    <row r="1578" spans="2:15" x14ac:dyDescent="0.2">
      <c r="B1578" s="50">
        <v>1913</v>
      </c>
      <c r="C1578" s="51">
        <v>9.4734960151918624E-2</v>
      </c>
      <c r="D1578" s="52">
        <v>208</v>
      </c>
      <c r="E1578" s="53">
        <v>0.65467625899280579</v>
      </c>
      <c r="G1578" s="2"/>
      <c r="L1578" s="5"/>
      <c r="O1578" s="2"/>
    </row>
    <row r="1579" spans="2:15" x14ac:dyDescent="0.2">
      <c r="B1579" s="50">
        <v>1862</v>
      </c>
      <c r="C1579" s="51">
        <v>0.14373038868015475</v>
      </c>
      <c r="D1579" s="52">
        <v>208</v>
      </c>
      <c r="E1579" s="53">
        <v>0.75539568345323738</v>
      </c>
      <c r="G1579" s="2"/>
      <c r="L1579" s="5"/>
      <c r="O1579" s="2"/>
    </row>
    <row r="1580" spans="2:15" x14ac:dyDescent="0.2">
      <c r="B1580" s="50">
        <v>1835</v>
      </c>
      <c r="C1580" s="51">
        <v>0.14388749092262643</v>
      </c>
      <c r="D1580" s="52">
        <v>208</v>
      </c>
      <c r="E1580" s="53">
        <v>0.75539568345323738</v>
      </c>
      <c r="G1580" s="2"/>
      <c r="L1580" s="5"/>
      <c r="O1580" s="2"/>
    </row>
    <row r="1581" spans="2:15" x14ac:dyDescent="0.2">
      <c r="B1581" s="50">
        <v>1938</v>
      </c>
      <c r="C1581" s="51">
        <v>0.15073976720020121</v>
      </c>
      <c r="D1581" s="52">
        <v>208</v>
      </c>
      <c r="E1581" s="53">
        <v>0.82733812949640284</v>
      </c>
      <c r="G1581" s="2"/>
      <c r="L1581" s="5"/>
      <c r="O1581" s="2"/>
    </row>
    <row r="1582" spans="2:15" x14ac:dyDescent="0.2">
      <c r="B1582" s="50">
        <v>1748</v>
      </c>
      <c r="C1582" s="51">
        <v>0.17139428249538147</v>
      </c>
      <c r="D1582" s="52">
        <v>208</v>
      </c>
      <c r="E1582" s="53">
        <v>0.74100719424460426</v>
      </c>
      <c r="G1582" s="2"/>
      <c r="L1582" s="5"/>
      <c r="O1582" s="2"/>
    </row>
    <row r="1583" spans="2:15" x14ac:dyDescent="0.2">
      <c r="B1583" s="50">
        <v>1889</v>
      </c>
      <c r="C1583" s="51">
        <v>0.17356443988927861</v>
      </c>
      <c r="D1583" s="52">
        <v>208</v>
      </c>
      <c r="E1583" s="53">
        <v>0.81294964028776984</v>
      </c>
      <c r="G1583" s="2"/>
      <c r="L1583" s="5"/>
      <c r="O1583" s="2"/>
    </row>
    <row r="1584" spans="2:15" x14ac:dyDescent="0.2">
      <c r="B1584" s="50">
        <v>1863</v>
      </c>
      <c r="C1584" s="51">
        <v>0.21421157980202055</v>
      </c>
      <c r="D1584" s="52">
        <v>208</v>
      </c>
      <c r="E1584" s="53">
        <v>0.78417266187050361</v>
      </c>
      <c r="G1584" s="2"/>
      <c r="L1584" s="5"/>
      <c r="O1584" s="2"/>
    </row>
    <row r="1585" spans="2:15" x14ac:dyDescent="0.2">
      <c r="B1585" s="50">
        <v>1073</v>
      </c>
      <c r="C1585" s="51">
        <v>0.28802202542285082</v>
      </c>
      <c r="D1585" s="52">
        <v>211</v>
      </c>
      <c r="E1585" s="53">
        <v>0.43165467625899279</v>
      </c>
      <c r="G1585" s="2"/>
      <c r="L1585" s="5"/>
      <c r="O1585" s="2"/>
    </row>
    <row r="1586" spans="2:15" x14ac:dyDescent="0.2">
      <c r="B1586" s="50">
        <v>1121</v>
      </c>
      <c r="C1586" s="51">
        <v>0.30344339629538619</v>
      </c>
      <c r="D1586" s="52">
        <v>211</v>
      </c>
      <c r="E1586" s="53">
        <v>0.43884892086330934</v>
      </c>
      <c r="G1586" s="2"/>
      <c r="L1586" s="5"/>
      <c r="O1586" s="2"/>
    </row>
    <row r="1587" spans="2:15" x14ac:dyDescent="0.2">
      <c r="B1587" s="50">
        <v>1168</v>
      </c>
      <c r="C1587" s="51">
        <v>0.3079394124988909</v>
      </c>
      <c r="D1587" s="52">
        <v>211</v>
      </c>
      <c r="E1587" s="53">
        <v>0.43884892086330934</v>
      </c>
      <c r="G1587" s="2"/>
      <c r="L1587" s="5"/>
      <c r="O1587" s="2"/>
    </row>
    <row r="1588" spans="2:15" x14ac:dyDescent="0.2">
      <c r="B1588" s="50">
        <v>1167</v>
      </c>
      <c r="C1588" s="51">
        <v>0.31990811783948891</v>
      </c>
      <c r="D1588" s="52">
        <v>211</v>
      </c>
      <c r="E1588" s="53">
        <v>0.4460431654676259</v>
      </c>
      <c r="G1588" s="2"/>
      <c r="L1588" s="5"/>
      <c r="O1588" s="2"/>
    </row>
    <row r="1589" spans="2:15" x14ac:dyDescent="0.2">
      <c r="B1589" s="50">
        <v>1157</v>
      </c>
      <c r="C1589" s="51">
        <v>0.19565202562863349</v>
      </c>
      <c r="D1589" s="52">
        <v>212</v>
      </c>
      <c r="E1589" s="53">
        <v>0.59712230215827333</v>
      </c>
      <c r="G1589" s="2"/>
      <c r="L1589" s="5"/>
      <c r="O1589" s="2"/>
    </row>
    <row r="1590" spans="2:15" x14ac:dyDescent="0.2">
      <c r="B1590" s="50">
        <v>860</v>
      </c>
      <c r="C1590" s="51">
        <v>0.20902544287386482</v>
      </c>
      <c r="D1590" s="52">
        <v>212</v>
      </c>
      <c r="E1590" s="53">
        <v>0.59712230215827333</v>
      </c>
      <c r="G1590" s="2"/>
      <c r="L1590" s="5"/>
      <c r="O1590" s="2"/>
    </row>
    <row r="1591" spans="2:15" x14ac:dyDescent="0.2">
      <c r="B1591" s="50">
        <v>1013</v>
      </c>
      <c r="C1591" s="51">
        <v>0.21110073794286122</v>
      </c>
      <c r="D1591" s="52">
        <v>212</v>
      </c>
      <c r="E1591" s="53">
        <v>0.58992805755395683</v>
      </c>
      <c r="G1591" s="2"/>
      <c r="L1591" s="5"/>
      <c r="O1591" s="2"/>
    </row>
    <row r="1592" spans="2:15" x14ac:dyDescent="0.2">
      <c r="B1592" s="50">
        <v>1062</v>
      </c>
      <c r="C1592" s="51">
        <v>0.21169423429399403</v>
      </c>
      <c r="D1592" s="52">
        <v>212</v>
      </c>
      <c r="E1592" s="53">
        <v>0.58992805755395683</v>
      </c>
      <c r="G1592" s="2"/>
      <c r="L1592" s="5"/>
      <c r="O1592" s="2"/>
    </row>
    <row r="1593" spans="2:15" x14ac:dyDescent="0.2">
      <c r="B1593" s="50">
        <v>1156</v>
      </c>
      <c r="C1593" s="51">
        <v>0.25016485147194578</v>
      </c>
      <c r="D1593" s="52">
        <v>212</v>
      </c>
      <c r="E1593" s="53">
        <v>0.61870503597122306</v>
      </c>
      <c r="G1593" s="2"/>
      <c r="L1593" s="5"/>
      <c r="O1593" s="2"/>
    </row>
    <row r="1594" spans="2:15" x14ac:dyDescent="0.2">
      <c r="B1594" s="50">
        <v>859</v>
      </c>
      <c r="C1594" s="51">
        <v>0.2690615436176772</v>
      </c>
      <c r="D1594" s="52">
        <v>212</v>
      </c>
      <c r="E1594" s="53">
        <v>0.61870503597122306</v>
      </c>
      <c r="G1594" s="2"/>
      <c r="L1594" s="5"/>
      <c r="O1594" s="2"/>
    </row>
    <row r="1595" spans="2:15" x14ac:dyDescent="0.2">
      <c r="B1595" s="50">
        <v>1061</v>
      </c>
      <c r="C1595" s="51">
        <v>0.2695682969572476</v>
      </c>
      <c r="D1595" s="52">
        <v>212</v>
      </c>
      <c r="E1595" s="53">
        <v>0.53956834532374098</v>
      </c>
      <c r="G1595" s="2"/>
      <c r="L1595" s="5"/>
      <c r="O1595" s="2"/>
    </row>
    <row r="1596" spans="2:15" x14ac:dyDescent="0.2">
      <c r="B1596" s="50">
        <v>1012</v>
      </c>
      <c r="C1596" s="51">
        <v>0.26967929699093462</v>
      </c>
      <c r="D1596" s="52">
        <v>212</v>
      </c>
      <c r="E1596" s="53">
        <v>0.53956834532374098</v>
      </c>
      <c r="G1596" s="2"/>
      <c r="L1596" s="5"/>
      <c r="O1596" s="2"/>
    </row>
    <row r="1597" spans="2:15" x14ac:dyDescent="0.2">
      <c r="B1597" s="50">
        <v>1288</v>
      </c>
      <c r="C1597" s="51">
        <v>0.3047034576514468</v>
      </c>
      <c r="D1597" s="52">
        <v>212</v>
      </c>
      <c r="E1597" s="53">
        <v>0.62589928057553956</v>
      </c>
      <c r="G1597" s="2"/>
      <c r="L1597" s="5"/>
      <c r="O1597" s="2"/>
    </row>
    <row r="1598" spans="2:15" x14ac:dyDescent="0.2">
      <c r="B1598" s="50">
        <v>857</v>
      </c>
      <c r="C1598" s="51">
        <v>0.3126865140286168</v>
      </c>
      <c r="D1598" s="52">
        <v>212</v>
      </c>
      <c r="E1598" s="53">
        <v>0.5467625899280576</v>
      </c>
      <c r="G1598" s="2"/>
      <c r="L1598" s="5"/>
      <c r="O1598" s="2"/>
    </row>
    <row r="1599" spans="2:15" x14ac:dyDescent="0.2">
      <c r="B1599" s="50">
        <v>858</v>
      </c>
      <c r="C1599" s="51">
        <v>0.32940457002859491</v>
      </c>
      <c r="D1599" s="52">
        <v>212</v>
      </c>
      <c r="E1599" s="53">
        <v>0.45323741007194246</v>
      </c>
      <c r="G1599" s="2"/>
      <c r="L1599" s="5"/>
      <c r="O1599" s="2"/>
    </row>
    <row r="1600" spans="2:15" x14ac:dyDescent="0.2">
      <c r="B1600" s="50">
        <v>64</v>
      </c>
      <c r="C1600" s="51">
        <v>0.99963432321491419</v>
      </c>
      <c r="D1600" s="52">
        <v>212</v>
      </c>
      <c r="E1600" s="53">
        <v>0.2</v>
      </c>
      <c r="G1600" s="2"/>
      <c r="L1600" s="5"/>
      <c r="O1600" s="2"/>
    </row>
    <row r="1601" spans="2:15" x14ac:dyDescent="0.2">
      <c r="B1601" s="50">
        <v>1287</v>
      </c>
      <c r="C1601" s="51">
        <v>0.30895944029786171</v>
      </c>
      <c r="D1601" s="52">
        <v>213</v>
      </c>
      <c r="E1601" s="53">
        <v>0.59712230215827333</v>
      </c>
      <c r="G1601" s="2"/>
      <c r="L1601" s="5"/>
      <c r="O1601" s="2"/>
    </row>
    <row r="1602" spans="2:15" x14ac:dyDescent="0.2">
      <c r="B1602" s="50">
        <v>871</v>
      </c>
      <c r="C1602" s="51">
        <v>0.33154757806062729</v>
      </c>
      <c r="D1602" s="52">
        <v>213</v>
      </c>
      <c r="E1602" s="53">
        <v>0.48920863309352519</v>
      </c>
      <c r="G1602" s="2"/>
      <c r="L1602" s="5"/>
      <c r="O1602" s="2"/>
    </row>
    <row r="1603" spans="2:15" x14ac:dyDescent="0.2">
      <c r="B1603" s="50">
        <v>870</v>
      </c>
      <c r="C1603" s="51">
        <v>0.33411743391195581</v>
      </c>
      <c r="D1603" s="52">
        <v>213</v>
      </c>
      <c r="E1603" s="53">
        <v>0.48201438848920863</v>
      </c>
      <c r="G1603" s="2"/>
      <c r="L1603" s="5"/>
      <c r="O1603" s="2"/>
    </row>
    <row r="1604" spans="2:15" x14ac:dyDescent="0.2">
      <c r="B1604" s="50">
        <v>1151</v>
      </c>
      <c r="C1604" s="51">
        <v>0.36720720394603346</v>
      </c>
      <c r="D1604" s="52">
        <v>213</v>
      </c>
      <c r="E1604" s="53">
        <v>0.52517985611510787</v>
      </c>
      <c r="G1604" s="2"/>
      <c r="L1604" s="5"/>
      <c r="O1604" s="2"/>
    </row>
    <row r="1605" spans="2:15" x14ac:dyDescent="0.2">
      <c r="B1605" s="50">
        <v>1104</v>
      </c>
      <c r="C1605" s="51">
        <v>0.37125844111944228</v>
      </c>
      <c r="D1605" s="52">
        <v>213</v>
      </c>
      <c r="E1605" s="53">
        <v>0.52517985611510787</v>
      </c>
      <c r="G1605" s="2"/>
      <c r="L1605" s="5"/>
      <c r="O1605" s="2"/>
    </row>
    <row r="1606" spans="2:15" x14ac:dyDescent="0.2">
      <c r="B1606" s="50">
        <v>1106</v>
      </c>
      <c r="C1606" s="51">
        <v>0.38590616814225875</v>
      </c>
      <c r="D1606" s="52">
        <v>213</v>
      </c>
      <c r="E1606" s="53">
        <v>0.53956834532374098</v>
      </c>
      <c r="G1606" s="2"/>
      <c r="L1606" s="5"/>
      <c r="O1606" s="2"/>
    </row>
    <row r="1607" spans="2:15" x14ac:dyDescent="0.2">
      <c r="B1607" s="50">
        <v>1007</v>
      </c>
      <c r="C1607" s="51">
        <v>0.39035206575669934</v>
      </c>
      <c r="D1607" s="52">
        <v>213</v>
      </c>
      <c r="E1607" s="53">
        <v>0.51798561151079137</v>
      </c>
      <c r="G1607" s="2"/>
      <c r="L1607" s="5"/>
      <c r="O1607" s="2"/>
    </row>
    <row r="1608" spans="2:15" x14ac:dyDescent="0.2">
      <c r="B1608" s="50">
        <v>1056</v>
      </c>
      <c r="C1608" s="51">
        <v>0.39089249920219649</v>
      </c>
      <c r="D1608" s="52">
        <v>213</v>
      </c>
      <c r="E1608" s="53">
        <v>0.51798561151079137</v>
      </c>
      <c r="G1608" s="2"/>
      <c r="L1608" s="5"/>
      <c r="O1608" s="2"/>
    </row>
    <row r="1609" spans="2:15" x14ac:dyDescent="0.2">
      <c r="B1609" s="50">
        <v>1009</v>
      </c>
      <c r="C1609" s="51">
        <v>0.40624846103948564</v>
      </c>
      <c r="D1609" s="52">
        <v>213</v>
      </c>
      <c r="E1609" s="53">
        <v>0.53237410071942448</v>
      </c>
      <c r="G1609" s="2"/>
      <c r="L1609" s="5"/>
      <c r="O1609" s="2"/>
    </row>
    <row r="1610" spans="2:15" x14ac:dyDescent="0.2">
      <c r="B1610" s="50">
        <v>1058</v>
      </c>
      <c r="C1610" s="51">
        <v>0.40659730982830433</v>
      </c>
      <c r="D1610" s="52">
        <v>213</v>
      </c>
      <c r="E1610" s="53">
        <v>0.53237410071942448</v>
      </c>
      <c r="G1610" s="2"/>
      <c r="L1610" s="5"/>
      <c r="O1610" s="2"/>
    </row>
    <row r="1611" spans="2:15" x14ac:dyDescent="0.2">
      <c r="B1611" s="50">
        <v>2123</v>
      </c>
      <c r="C1611" s="51">
        <v>7.7758195139422837E-2</v>
      </c>
      <c r="D1611" s="52">
        <v>214</v>
      </c>
      <c r="E1611" s="53">
        <v>0.84172661870503596</v>
      </c>
      <c r="G1611" s="2"/>
      <c r="L1611" s="5"/>
      <c r="O1611" s="2"/>
    </row>
    <row r="1612" spans="2:15" x14ac:dyDescent="0.2">
      <c r="B1612" s="50">
        <v>529</v>
      </c>
      <c r="C1612" s="51">
        <v>0.14797829250071359</v>
      </c>
      <c r="D1612" s="52">
        <v>214</v>
      </c>
      <c r="E1612" s="53">
        <v>0.61870503597122306</v>
      </c>
      <c r="G1612" s="2"/>
      <c r="L1612" s="5"/>
      <c r="O1612" s="2"/>
    </row>
    <row r="1613" spans="2:15" x14ac:dyDescent="0.2">
      <c r="B1613" s="50">
        <v>470</v>
      </c>
      <c r="C1613" s="51">
        <v>0.1489353319317257</v>
      </c>
      <c r="D1613" s="52">
        <v>214</v>
      </c>
      <c r="E1613" s="53">
        <v>0.61870503597122306</v>
      </c>
      <c r="G1613" s="2"/>
      <c r="L1613" s="5"/>
      <c r="O1613" s="2"/>
    </row>
    <row r="1614" spans="2:15" x14ac:dyDescent="0.2">
      <c r="B1614" s="50">
        <v>410</v>
      </c>
      <c r="C1614" s="51">
        <v>0.1499219786397552</v>
      </c>
      <c r="D1614" s="52">
        <v>214</v>
      </c>
      <c r="E1614" s="53">
        <v>0.61870503597122306</v>
      </c>
      <c r="G1614" s="2"/>
      <c r="L1614" s="5"/>
      <c r="O1614" s="2"/>
    </row>
    <row r="1615" spans="2:15" x14ac:dyDescent="0.2">
      <c r="B1615" s="50">
        <v>587</v>
      </c>
      <c r="C1615" s="51">
        <v>0.15133655140818036</v>
      </c>
      <c r="D1615" s="52">
        <v>214</v>
      </c>
      <c r="E1615" s="53">
        <v>0.61870503597122306</v>
      </c>
      <c r="G1615" s="2"/>
      <c r="L1615" s="5"/>
      <c r="O1615" s="2"/>
    </row>
    <row r="1616" spans="2:15" x14ac:dyDescent="0.2">
      <c r="B1616" s="50">
        <v>755</v>
      </c>
      <c r="C1616" s="51">
        <v>0.15280720735322095</v>
      </c>
      <c r="D1616" s="52">
        <v>214</v>
      </c>
      <c r="E1616" s="53">
        <v>0.62589928057553956</v>
      </c>
      <c r="G1616" s="2"/>
      <c r="L1616" s="5"/>
      <c r="O1616" s="2"/>
    </row>
    <row r="1617" spans="2:15" x14ac:dyDescent="0.2">
      <c r="B1617" s="50">
        <v>809</v>
      </c>
      <c r="C1617" s="51">
        <v>0.15324273588210802</v>
      </c>
      <c r="D1617" s="52">
        <v>214</v>
      </c>
      <c r="E1617" s="53">
        <v>0.62589928057553956</v>
      </c>
      <c r="G1617" s="2"/>
      <c r="L1617" s="5"/>
      <c r="O1617" s="2"/>
    </row>
    <row r="1618" spans="2:15" x14ac:dyDescent="0.2">
      <c r="B1618" s="50">
        <v>644</v>
      </c>
      <c r="C1618" s="51">
        <v>0.1536952996463804</v>
      </c>
      <c r="D1618" s="52">
        <v>214</v>
      </c>
      <c r="E1618" s="53">
        <v>0.62589928057553956</v>
      </c>
      <c r="G1618" s="2"/>
      <c r="L1618" s="5"/>
      <c r="O1618" s="2"/>
    </row>
    <row r="1619" spans="2:15" x14ac:dyDescent="0.2">
      <c r="B1619" s="50">
        <v>700</v>
      </c>
      <c r="C1619" s="51">
        <v>0.15545862073734529</v>
      </c>
      <c r="D1619" s="52">
        <v>214</v>
      </c>
      <c r="E1619" s="53">
        <v>0.62589928057553956</v>
      </c>
      <c r="G1619" s="2"/>
      <c r="L1619" s="5"/>
      <c r="O1619" s="2"/>
    </row>
    <row r="1620" spans="2:15" x14ac:dyDescent="0.2">
      <c r="B1620" s="50">
        <v>530</v>
      </c>
      <c r="C1620" s="51">
        <v>0.15793923225279038</v>
      </c>
      <c r="D1620" s="52">
        <v>214</v>
      </c>
      <c r="E1620" s="53">
        <v>0.61151079136690645</v>
      </c>
      <c r="G1620" s="2"/>
      <c r="L1620" s="5"/>
      <c r="O1620" s="2"/>
    </row>
    <row r="1621" spans="2:15" x14ac:dyDescent="0.2">
      <c r="B1621" s="50">
        <v>471</v>
      </c>
      <c r="C1621" s="51">
        <v>0.15811579902190476</v>
      </c>
      <c r="D1621" s="52">
        <v>214</v>
      </c>
      <c r="E1621" s="53">
        <v>0.61151079136690645</v>
      </c>
      <c r="G1621" s="2"/>
      <c r="L1621" s="5"/>
      <c r="O1621" s="2"/>
    </row>
    <row r="1622" spans="2:15" x14ac:dyDescent="0.2">
      <c r="B1622" s="50">
        <v>411</v>
      </c>
      <c r="C1622" s="51">
        <v>0.16063036823849342</v>
      </c>
      <c r="D1622" s="52">
        <v>214</v>
      </c>
      <c r="E1622" s="53">
        <v>0.61151079136690645</v>
      </c>
      <c r="G1622" s="2"/>
      <c r="L1622" s="5"/>
      <c r="O1622" s="2"/>
    </row>
    <row r="1623" spans="2:15" x14ac:dyDescent="0.2">
      <c r="B1623" s="50">
        <v>532</v>
      </c>
      <c r="C1623" s="51">
        <v>0.16316427957281876</v>
      </c>
      <c r="D1623" s="52">
        <v>214</v>
      </c>
      <c r="E1623" s="53">
        <v>0.53956834532374098</v>
      </c>
      <c r="G1623" s="2"/>
      <c r="L1623" s="5"/>
      <c r="O1623" s="2"/>
    </row>
    <row r="1624" spans="2:15" x14ac:dyDescent="0.2">
      <c r="B1624" s="50">
        <v>472</v>
      </c>
      <c r="C1624" s="51">
        <v>0.16338258030150088</v>
      </c>
      <c r="D1624" s="52">
        <v>214</v>
      </c>
      <c r="E1624" s="53">
        <v>0.61870503597122306</v>
      </c>
      <c r="G1624" s="2"/>
      <c r="L1624" s="5"/>
      <c r="O1624" s="2"/>
    </row>
    <row r="1625" spans="2:15" x14ac:dyDescent="0.2">
      <c r="B1625" s="50">
        <v>531</v>
      </c>
      <c r="C1625" s="51">
        <v>0.16355923465614164</v>
      </c>
      <c r="D1625" s="52">
        <v>214</v>
      </c>
      <c r="E1625" s="53">
        <v>0.61870503597122306</v>
      </c>
      <c r="G1625" s="2"/>
      <c r="L1625" s="5"/>
      <c r="O1625" s="2"/>
    </row>
    <row r="1626" spans="2:15" x14ac:dyDescent="0.2">
      <c r="B1626" s="50">
        <v>473</v>
      </c>
      <c r="C1626" s="51">
        <v>0.16397490888870425</v>
      </c>
      <c r="D1626" s="52">
        <v>214</v>
      </c>
      <c r="E1626" s="53">
        <v>0.53956834532374098</v>
      </c>
      <c r="G1626" s="2"/>
      <c r="L1626" s="5"/>
      <c r="O1626" s="2"/>
    </row>
    <row r="1627" spans="2:15" x14ac:dyDescent="0.2">
      <c r="B1627" s="50">
        <v>412</v>
      </c>
      <c r="C1627" s="51">
        <v>0.16580344960218196</v>
      </c>
      <c r="D1627" s="52">
        <v>214</v>
      </c>
      <c r="E1627" s="53">
        <v>0.61870503597122306</v>
      </c>
      <c r="G1627" s="2"/>
      <c r="L1627" s="5"/>
      <c r="O1627" s="2"/>
    </row>
    <row r="1628" spans="2:15" x14ac:dyDescent="0.2">
      <c r="B1628" s="50">
        <v>588</v>
      </c>
      <c r="C1628" s="51">
        <v>0.16640897027246937</v>
      </c>
      <c r="D1628" s="52">
        <v>214</v>
      </c>
      <c r="E1628" s="53">
        <v>0.61870503597122306</v>
      </c>
      <c r="G1628" s="2"/>
      <c r="L1628" s="5"/>
      <c r="O1628" s="2"/>
    </row>
    <row r="1629" spans="2:15" x14ac:dyDescent="0.2">
      <c r="B1629" s="50">
        <v>413</v>
      </c>
      <c r="C1629" s="51">
        <v>0.16676432772382099</v>
      </c>
      <c r="D1629" s="52">
        <v>214</v>
      </c>
      <c r="E1629" s="53">
        <v>0.53956834532374098</v>
      </c>
      <c r="G1629" s="2"/>
      <c r="L1629" s="5"/>
      <c r="O1629" s="2"/>
    </row>
    <row r="1630" spans="2:15" x14ac:dyDescent="0.2">
      <c r="B1630" s="50">
        <v>756</v>
      </c>
      <c r="C1630" s="51">
        <v>0.16825964155612128</v>
      </c>
      <c r="D1630" s="52">
        <v>214</v>
      </c>
      <c r="E1630" s="53">
        <v>0.61870503597122306</v>
      </c>
      <c r="G1630" s="2"/>
      <c r="L1630" s="5"/>
      <c r="O1630" s="2"/>
    </row>
    <row r="1631" spans="2:15" x14ac:dyDescent="0.2">
      <c r="B1631" s="50">
        <v>810</v>
      </c>
      <c r="C1631" s="51">
        <v>0.16880335626882659</v>
      </c>
      <c r="D1631" s="52">
        <v>214</v>
      </c>
      <c r="E1631" s="53">
        <v>0.61870503597122306</v>
      </c>
      <c r="G1631" s="2"/>
      <c r="L1631" s="5"/>
      <c r="O1631" s="2"/>
    </row>
    <row r="1632" spans="2:15" x14ac:dyDescent="0.2">
      <c r="B1632" s="50">
        <v>645</v>
      </c>
      <c r="C1632" s="51">
        <v>0.16882713634762958</v>
      </c>
      <c r="D1632" s="52">
        <v>214</v>
      </c>
      <c r="E1632" s="53">
        <v>0.61870503597122306</v>
      </c>
      <c r="G1632" s="2"/>
      <c r="L1632" s="5"/>
      <c r="O1632" s="2"/>
    </row>
    <row r="1633" spans="2:15" x14ac:dyDescent="0.2">
      <c r="B1633" s="50">
        <v>701</v>
      </c>
      <c r="C1633" s="51">
        <v>0.17063189604075413</v>
      </c>
      <c r="D1633" s="52">
        <v>214</v>
      </c>
      <c r="E1633" s="53">
        <v>0.61870503597122306</v>
      </c>
      <c r="G1633" s="2"/>
      <c r="L1633" s="5"/>
      <c r="O1633" s="2"/>
    </row>
    <row r="1634" spans="2:15" x14ac:dyDescent="0.2">
      <c r="B1634" s="50">
        <v>589</v>
      </c>
      <c r="C1634" s="51">
        <v>0.1719314592729636</v>
      </c>
      <c r="D1634" s="52">
        <v>214</v>
      </c>
      <c r="E1634" s="53">
        <v>0.62589928057553956</v>
      </c>
      <c r="G1634" s="2"/>
      <c r="L1634" s="5"/>
      <c r="O1634" s="2"/>
    </row>
    <row r="1635" spans="2:15" x14ac:dyDescent="0.2">
      <c r="B1635" s="50">
        <v>590</v>
      </c>
      <c r="C1635" s="51">
        <v>0.1729716941435645</v>
      </c>
      <c r="D1635" s="52">
        <v>214</v>
      </c>
      <c r="E1635" s="53">
        <v>0.61870503597122306</v>
      </c>
      <c r="G1635" s="2"/>
      <c r="L1635" s="5"/>
      <c r="O1635" s="2"/>
    </row>
    <row r="1636" spans="2:15" x14ac:dyDescent="0.2">
      <c r="B1636" s="50">
        <v>757</v>
      </c>
      <c r="C1636" s="51">
        <v>0.17418826294989387</v>
      </c>
      <c r="D1636" s="52">
        <v>214</v>
      </c>
      <c r="E1636" s="53">
        <v>0.62589928057553956</v>
      </c>
      <c r="G1636" s="2"/>
      <c r="L1636" s="5"/>
      <c r="O1636" s="2"/>
    </row>
    <row r="1637" spans="2:15" x14ac:dyDescent="0.2">
      <c r="B1637" s="50">
        <v>758</v>
      </c>
      <c r="C1637" s="51">
        <v>0.17422270853979971</v>
      </c>
      <c r="D1637" s="52">
        <v>214</v>
      </c>
      <c r="E1637" s="53">
        <v>0.61870503597122306</v>
      </c>
      <c r="G1637" s="2"/>
      <c r="L1637" s="5"/>
      <c r="O1637" s="2"/>
    </row>
    <row r="1638" spans="2:15" x14ac:dyDescent="0.2">
      <c r="B1638" s="50">
        <v>646</v>
      </c>
      <c r="C1638" s="51">
        <v>0.17443723348720797</v>
      </c>
      <c r="D1638" s="52">
        <v>214</v>
      </c>
      <c r="E1638" s="53">
        <v>0.62589928057553956</v>
      </c>
      <c r="G1638" s="2"/>
      <c r="L1638" s="5"/>
      <c r="O1638" s="2"/>
    </row>
    <row r="1639" spans="2:15" x14ac:dyDescent="0.2">
      <c r="B1639" s="50">
        <v>812</v>
      </c>
      <c r="C1639" s="51">
        <v>0.17454810413616551</v>
      </c>
      <c r="D1639" s="52">
        <v>214</v>
      </c>
      <c r="E1639" s="53">
        <v>0.61870503597122306</v>
      </c>
      <c r="G1639" s="2"/>
      <c r="L1639" s="5"/>
      <c r="O1639" s="2"/>
    </row>
    <row r="1640" spans="2:15" x14ac:dyDescent="0.2">
      <c r="B1640" s="50">
        <v>811</v>
      </c>
      <c r="C1640" s="51">
        <v>0.17484990120172672</v>
      </c>
      <c r="D1640" s="52">
        <v>214</v>
      </c>
      <c r="E1640" s="53">
        <v>0.62589928057553956</v>
      </c>
      <c r="G1640" s="2"/>
      <c r="L1640" s="5"/>
      <c r="O1640" s="2"/>
    </row>
    <row r="1641" spans="2:15" x14ac:dyDescent="0.2">
      <c r="B1641" s="50">
        <v>647</v>
      </c>
      <c r="C1641" s="51">
        <v>0.17535402527388155</v>
      </c>
      <c r="D1641" s="52">
        <v>214</v>
      </c>
      <c r="E1641" s="53">
        <v>0.61870503597122306</v>
      </c>
      <c r="G1641" s="2"/>
      <c r="L1641" s="5"/>
      <c r="O1641" s="2"/>
    </row>
    <row r="1642" spans="2:15" x14ac:dyDescent="0.2">
      <c r="B1642" s="50">
        <v>702</v>
      </c>
      <c r="C1642" s="51">
        <v>0.17628268941442893</v>
      </c>
      <c r="D1642" s="52">
        <v>214</v>
      </c>
      <c r="E1642" s="53">
        <v>0.62589928057553956</v>
      </c>
      <c r="G1642" s="2"/>
      <c r="L1642" s="5"/>
      <c r="O1642" s="2"/>
    </row>
    <row r="1643" spans="2:15" x14ac:dyDescent="0.2">
      <c r="B1643" s="50">
        <v>703</v>
      </c>
      <c r="C1643" s="51">
        <v>0.17747282582577906</v>
      </c>
      <c r="D1643" s="52">
        <v>214</v>
      </c>
      <c r="E1643" s="53">
        <v>0.61870503597122306</v>
      </c>
      <c r="G1643" s="2"/>
      <c r="L1643" s="5"/>
      <c r="O1643" s="2"/>
    </row>
    <row r="1644" spans="2:15" x14ac:dyDescent="0.2">
      <c r="B1644" s="50">
        <v>533</v>
      </c>
      <c r="C1644" s="51">
        <v>0.20219405847891225</v>
      </c>
      <c r="D1644" s="52">
        <v>214</v>
      </c>
      <c r="E1644" s="53">
        <v>0.59712230215827333</v>
      </c>
      <c r="G1644" s="2"/>
      <c r="L1644" s="5"/>
      <c r="O1644" s="2"/>
    </row>
    <row r="1645" spans="2:15" x14ac:dyDescent="0.2">
      <c r="B1645" s="50">
        <v>474</v>
      </c>
      <c r="C1645" s="51">
        <v>0.20395965971934837</v>
      </c>
      <c r="D1645" s="52">
        <v>214</v>
      </c>
      <c r="E1645" s="53">
        <v>0.59712230215827333</v>
      </c>
      <c r="G1645" s="2"/>
      <c r="L1645" s="5"/>
      <c r="O1645" s="2"/>
    </row>
    <row r="1646" spans="2:15" x14ac:dyDescent="0.2">
      <c r="B1646" s="50">
        <v>414</v>
      </c>
      <c r="C1646" s="51">
        <v>0.20697696868846605</v>
      </c>
      <c r="D1646" s="52">
        <v>214</v>
      </c>
      <c r="E1646" s="53">
        <v>0.59712230215827333</v>
      </c>
      <c r="G1646" s="2"/>
      <c r="L1646" s="5"/>
      <c r="O1646" s="2"/>
    </row>
    <row r="1647" spans="2:15" x14ac:dyDescent="0.2">
      <c r="B1647" s="50">
        <v>2093</v>
      </c>
      <c r="C1647" s="51">
        <v>0.21102596385223793</v>
      </c>
      <c r="D1647" s="52">
        <v>214</v>
      </c>
      <c r="E1647" s="53">
        <v>0.72661870503597126</v>
      </c>
      <c r="G1647" s="2"/>
      <c r="L1647" s="5"/>
      <c r="O1647" s="2"/>
    </row>
    <row r="1648" spans="2:15" x14ac:dyDescent="0.2">
      <c r="B1648" s="50">
        <v>591</v>
      </c>
      <c r="C1648" s="51">
        <v>0.21161605106433135</v>
      </c>
      <c r="D1648" s="52">
        <v>214</v>
      </c>
      <c r="E1648" s="53">
        <v>0.59712230215827333</v>
      </c>
      <c r="G1648" s="2"/>
      <c r="L1648" s="5"/>
      <c r="O1648" s="2"/>
    </row>
    <row r="1649" spans="2:15" x14ac:dyDescent="0.2">
      <c r="B1649" s="50">
        <v>759</v>
      </c>
      <c r="C1649" s="51">
        <v>0.21182366772806782</v>
      </c>
      <c r="D1649" s="52">
        <v>214</v>
      </c>
      <c r="E1649" s="53">
        <v>0.59712230215827333</v>
      </c>
      <c r="G1649" s="2"/>
      <c r="L1649" s="5"/>
      <c r="O1649" s="2"/>
    </row>
    <row r="1650" spans="2:15" x14ac:dyDescent="0.2">
      <c r="B1650" s="50">
        <v>813</v>
      </c>
      <c r="C1650" s="51">
        <v>0.21185098208912889</v>
      </c>
      <c r="D1650" s="52">
        <v>214</v>
      </c>
      <c r="E1650" s="53">
        <v>0.59712230215827333</v>
      </c>
      <c r="G1650" s="2"/>
      <c r="L1650" s="5"/>
      <c r="O1650" s="2"/>
    </row>
    <row r="1651" spans="2:15" x14ac:dyDescent="0.2">
      <c r="B1651" s="50">
        <v>648</v>
      </c>
      <c r="C1651" s="51">
        <v>0.21374947963127822</v>
      </c>
      <c r="D1651" s="52">
        <v>214</v>
      </c>
      <c r="E1651" s="53">
        <v>0.60431654676258995</v>
      </c>
      <c r="G1651" s="2"/>
      <c r="L1651" s="5"/>
      <c r="O1651" s="2"/>
    </row>
    <row r="1652" spans="2:15" x14ac:dyDescent="0.2">
      <c r="B1652" s="50">
        <v>704</v>
      </c>
      <c r="C1652" s="51">
        <v>0.21557319906464256</v>
      </c>
      <c r="D1652" s="52">
        <v>214</v>
      </c>
      <c r="E1652" s="53">
        <v>0.60431654676258995</v>
      </c>
      <c r="G1652" s="2"/>
      <c r="L1652" s="5"/>
      <c r="O1652" s="2"/>
    </row>
    <row r="1653" spans="2:15" x14ac:dyDescent="0.2">
      <c r="B1653" s="50">
        <v>534</v>
      </c>
      <c r="C1653" s="51">
        <v>0.23014014477462486</v>
      </c>
      <c r="D1653" s="52">
        <v>214</v>
      </c>
      <c r="E1653" s="53">
        <v>0.51079136690647486</v>
      </c>
      <c r="G1653" s="2"/>
      <c r="L1653" s="5"/>
      <c r="O1653" s="2"/>
    </row>
    <row r="1654" spans="2:15" x14ac:dyDescent="0.2">
      <c r="B1654" s="50">
        <v>475</v>
      </c>
      <c r="C1654" s="51">
        <v>0.23026790140991404</v>
      </c>
      <c r="D1654" s="52">
        <v>214</v>
      </c>
      <c r="E1654" s="53">
        <v>0.51079136690647486</v>
      </c>
      <c r="G1654" s="2"/>
      <c r="L1654" s="5"/>
      <c r="O1654" s="2"/>
    </row>
    <row r="1655" spans="2:15" x14ac:dyDescent="0.2">
      <c r="B1655" s="50">
        <v>415</v>
      </c>
      <c r="C1655" s="51">
        <v>0.23287530317130312</v>
      </c>
      <c r="D1655" s="52">
        <v>214</v>
      </c>
      <c r="E1655" s="53">
        <v>0.51079136690647486</v>
      </c>
      <c r="G1655" s="2"/>
      <c r="L1655" s="5"/>
      <c r="O1655" s="2"/>
    </row>
    <row r="1656" spans="2:15" x14ac:dyDescent="0.2">
      <c r="B1656" s="50">
        <v>592</v>
      </c>
      <c r="C1656" s="51">
        <v>0.23848152961792846</v>
      </c>
      <c r="D1656" s="52">
        <v>214</v>
      </c>
      <c r="E1656" s="53">
        <v>0.51798561151079137</v>
      </c>
      <c r="G1656" s="2"/>
      <c r="L1656" s="5"/>
      <c r="O1656" s="2"/>
    </row>
    <row r="1657" spans="2:15" x14ac:dyDescent="0.2">
      <c r="B1657" s="50">
        <v>760</v>
      </c>
      <c r="C1657" s="51">
        <v>0.24058936813578857</v>
      </c>
      <c r="D1657" s="52">
        <v>214</v>
      </c>
      <c r="E1657" s="53">
        <v>0.51798561151079137</v>
      </c>
      <c r="G1657" s="2"/>
      <c r="L1657" s="5"/>
      <c r="O1657" s="2"/>
    </row>
    <row r="1658" spans="2:15" x14ac:dyDescent="0.2">
      <c r="B1658" s="50">
        <v>649</v>
      </c>
      <c r="C1658" s="51">
        <v>0.24104306373421691</v>
      </c>
      <c r="D1658" s="52">
        <v>214</v>
      </c>
      <c r="E1658" s="53">
        <v>0.51798561151079137</v>
      </c>
      <c r="G1658" s="2"/>
      <c r="L1658" s="5"/>
      <c r="O1658" s="2"/>
    </row>
    <row r="1659" spans="2:15" x14ac:dyDescent="0.2">
      <c r="B1659" s="50">
        <v>814</v>
      </c>
      <c r="C1659" s="51">
        <v>0.24120114811967319</v>
      </c>
      <c r="D1659" s="52">
        <v>214</v>
      </c>
      <c r="E1659" s="53">
        <v>0.51798561151079137</v>
      </c>
      <c r="G1659" s="2"/>
      <c r="L1659" s="5"/>
      <c r="O1659" s="2"/>
    </row>
    <row r="1660" spans="2:15" x14ac:dyDescent="0.2">
      <c r="B1660" s="50">
        <v>705</v>
      </c>
      <c r="C1660" s="51">
        <v>0.24281381445130856</v>
      </c>
      <c r="D1660" s="52">
        <v>214</v>
      </c>
      <c r="E1660" s="53">
        <v>0.51798561151079137</v>
      </c>
      <c r="G1660" s="2"/>
      <c r="L1660" s="5"/>
      <c r="O1660" s="2"/>
    </row>
    <row r="1661" spans="2:15" x14ac:dyDescent="0.2">
      <c r="B1661" s="50">
        <v>2094</v>
      </c>
      <c r="C1661" s="51">
        <v>0.25635950831822218</v>
      </c>
      <c r="D1661" s="52">
        <v>214</v>
      </c>
      <c r="E1661" s="53">
        <v>0.62589928057553956</v>
      </c>
      <c r="G1661" s="2"/>
      <c r="L1661" s="5"/>
      <c r="O1661" s="2"/>
    </row>
    <row r="1662" spans="2:15" x14ac:dyDescent="0.2">
      <c r="B1662" s="50">
        <v>535</v>
      </c>
      <c r="C1662" s="51">
        <v>0.27192545132087054</v>
      </c>
      <c r="D1662" s="52">
        <v>214</v>
      </c>
      <c r="E1662" s="53">
        <v>0.43165467625899279</v>
      </c>
      <c r="G1662" s="2"/>
      <c r="L1662" s="5"/>
      <c r="O1662" s="2"/>
    </row>
    <row r="1663" spans="2:15" x14ac:dyDescent="0.2">
      <c r="B1663" s="50">
        <v>476</v>
      </c>
      <c r="C1663" s="51">
        <v>0.27208322954382258</v>
      </c>
      <c r="D1663" s="52">
        <v>214</v>
      </c>
      <c r="E1663" s="53">
        <v>0.43165467625899279</v>
      </c>
      <c r="G1663" s="2"/>
      <c r="L1663" s="5"/>
      <c r="O1663" s="2"/>
    </row>
    <row r="1664" spans="2:15" x14ac:dyDescent="0.2">
      <c r="B1664" s="50">
        <v>416</v>
      </c>
      <c r="C1664" s="51">
        <v>0.2747365519642686</v>
      </c>
      <c r="D1664" s="52">
        <v>214</v>
      </c>
      <c r="E1664" s="53">
        <v>0.43165467625899279</v>
      </c>
      <c r="G1664" s="2"/>
      <c r="L1664" s="5"/>
      <c r="O1664" s="2"/>
    </row>
    <row r="1665" spans="2:15" x14ac:dyDescent="0.2">
      <c r="B1665" s="50">
        <v>2078</v>
      </c>
      <c r="C1665" s="51">
        <v>0.27959292297998639</v>
      </c>
      <c r="D1665" s="52">
        <v>214</v>
      </c>
      <c r="E1665" s="53">
        <v>0.5611510791366906</v>
      </c>
      <c r="G1665" s="2"/>
      <c r="L1665" s="5"/>
      <c r="O1665" s="2"/>
    </row>
    <row r="1666" spans="2:15" x14ac:dyDescent="0.2">
      <c r="B1666" s="50">
        <v>593</v>
      </c>
      <c r="C1666" s="51">
        <v>0.28003443737356526</v>
      </c>
      <c r="D1666" s="52">
        <v>214</v>
      </c>
      <c r="E1666" s="53">
        <v>0.51079136690647486</v>
      </c>
      <c r="G1666" s="2"/>
      <c r="L1666" s="5"/>
      <c r="O1666" s="2"/>
    </row>
    <row r="1667" spans="2:15" x14ac:dyDescent="0.2">
      <c r="B1667" s="50">
        <v>761</v>
      </c>
      <c r="C1667" s="51">
        <v>0.28219730431294321</v>
      </c>
      <c r="D1667" s="52">
        <v>214</v>
      </c>
      <c r="E1667" s="53">
        <v>0.51079136690647486</v>
      </c>
      <c r="G1667" s="2"/>
      <c r="L1667" s="5"/>
      <c r="O1667" s="2"/>
    </row>
    <row r="1668" spans="2:15" x14ac:dyDescent="0.2">
      <c r="B1668" s="50">
        <v>650</v>
      </c>
      <c r="C1668" s="51">
        <v>0.28264247815105281</v>
      </c>
      <c r="D1668" s="52">
        <v>214</v>
      </c>
      <c r="E1668" s="53">
        <v>0.51079136690647486</v>
      </c>
      <c r="G1668" s="2"/>
      <c r="L1668" s="5"/>
      <c r="O1668" s="2"/>
    </row>
    <row r="1669" spans="2:15" x14ac:dyDescent="0.2">
      <c r="B1669" s="50">
        <v>815</v>
      </c>
      <c r="C1669" s="51">
        <v>0.28283020274396586</v>
      </c>
      <c r="D1669" s="52">
        <v>214</v>
      </c>
      <c r="E1669" s="53">
        <v>0.51079136690647486</v>
      </c>
      <c r="G1669" s="2"/>
      <c r="L1669" s="5"/>
      <c r="O1669" s="2"/>
    </row>
    <row r="1670" spans="2:15" x14ac:dyDescent="0.2">
      <c r="B1670" s="50">
        <v>706</v>
      </c>
      <c r="C1670" s="51">
        <v>0.2843274800202672</v>
      </c>
      <c r="D1670" s="52">
        <v>214</v>
      </c>
      <c r="E1670" s="53">
        <v>0.51079136690647486</v>
      </c>
      <c r="G1670" s="2"/>
      <c r="L1670" s="5"/>
      <c r="O1670" s="2"/>
    </row>
    <row r="1671" spans="2:15" x14ac:dyDescent="0.2">
      <c r="B1671" s="50">
        <v>1150</v>
      </c>
      <c r="C1671" s="51">
        <v>0.37530725958151756</v>
      </c>
      <c r="D1671" s="52">
        <v>214</v>
      </c>
      <c r="E1671" s="53">
        <v>0.52517985611510787</v>
      </c>
      <c r="G1671" s="2"/>
      <c r="L1671" s="5"/>
      <c r="O1671" s="2"/>
    </row>
    <row r="1672" spans="2:15" x14ac:dyDescent="0.2">
      <c r="B1672" s="50">
        <v>1103</v>
      </c>
      <c r="C1672" s="51">
        <v>0.37954584400109259</v>
      </c>
      <c r="D1672" s="52">
        <v>214</v>
      </c>
      <c r="E1672" s="53">
        <v>0.52517985611510787</v>
      </c>
      <c r="G1672" s="2"/>
      <c r="L1672" s="5"/>
      <c r="O1672" s="2"/>
    </row>
    <row r="1673" spans="2:15" x14ac:dyDescent="0.2">
      <c r="B1673" s="50">
        <v>1152</v>
      </c>
      <c r="C1673" s="51">
        <v>0.39123207844207919</v>
      </c>
      <c r="D1673" s="52">
        <v>214</v>
      </c>
      <c r="E1673" s="53">
        <v>0.53956834532374098</v>
      </c>
      <c r="G1673" s="2"/>
      <c r="L1673" s="5"/>
      <c r="O1673" s="2"/>
    </row>
    <row r="1674" spans="2:15" x14ac:dyDescent="0.2">
      <c r="B1674" s="50">
        <v>1149</v>
      </c>
      <c r="C1674" s="51">
        <v>0.39325704676472162</v>
      </c>
      <c r="D1674" s="52">
        <v>214</v>
      </c>
      <c r="E1674" s="53">
        <v>0.52517985611510787</v>
      </c>
      <c r="G1674" s="2"/>
      <c r="L1674" s="5"/>
      <c r="O1674" s="2"/>
    </row>
    <row r="1675" spans="2:15" x14ac:dyDescent="0.2">
      <c r="B1675" s="50">
        <v>1105</v>
      </c>
      <c r="C1675" s="51">
        <v>0.39564328303692187</v>
      </c>
      <c r="D1675" s="52">
        <v>214</v>
      </c>
      <c r="E1675" s="53">
        <v>0.53956834532374098</v>
      </c>
      <c r="G1675" s="2"/>
      <c r="L1675" s="5"/>
      <c r="O1675" s="2"/>
    </row>
    <row r="1676" spans="2:15" x14ac:dyDescent="0.2">
      <c r="B1676" s="50">
        <v>1102</v>
      </c>
      <c r="C1676" s="51">
        <v>0.39759962942010052</v>
      </c>
      <c r="D1676" s="52">
        <v>214</v>
      </c>
      <c r="E1676" s="53">
        <v>0.52517985611510787</v>
      </c>
      <c r="G1676" s="2"/>
      <c r="L1676" s="5"/>
      <c r="O1676" s="2"/>
    </row>
    <row r="1677" spans="2:15" x14ac:dyDescent="0.2">
      <c r="B1677" s="50">
        <v>1006</v>
      </c>
      <c r="C1677" s="51">
        <v>0.39949212013181101</v>
      </c>
      <c r="D1677" s="52">
        <v>214</v>
      </c>
      <c r="E1677" s="53">
        <v>0.51798561151079137</v>
      </c>
      <c r="G1677" s="2"/>
      <c r="L1677" s="5"/>
      <c r="O1677" s="2"/>
    </row>
    <row r="1678" spans="2:15" x14ac:dyDescent="0.2">
      <c r="B1678" s="50">
        <v>1055</v>
      </c>
      <c r="C1678" s="51">
        <v>0.39956604164481602</v>
      </c>
      <c r="D1678" s="52">
        <v>214</v>
      </c>
      <c r="E1678" s="53">
        <v>0.51798561151079137</v>
      </c>
      <c r="G1678" s="2"/>
      <c r="L1678" s="5"/>
      <c r="O1678" s="2"/>
    </row>
    <row r="1679" spans="2:15" x14ac:dyDescent="0.2">
      <c r="B1679" s="50">
        <v>852</v>
      </c>
      <c r="C1679" s="51">
        <v>0.41548254920854744</v>
      </c>
      <c r="D1679" s="52">
        <v>214</v>
      </c>
      <c r="E1679" s="53">
        <v>0.52517985611510787</v>
      </c>
      <c r="G1679" s="2"/>
      <c r="L1679" s="5"/>
      <c r="O1679" s="2"/>
    </row>
    <row r="1680" spans="2:15" x14ac:dyDescent="0.2">
      <c r="B1680" s="50">
        <v>1057</v>
      </c>
      <c r="C1680" s="51">
        <v>0.41687267761816937</v>
      </c>
      <c r="D1680" s="52">
        <v>214</v>
      </c>
      <c r="E1680" s="53">
        <v>0.53237410071942448</v>
      </c>
      <c r="G1680" s="2"/>
      <c r="L1680" s="5"/>
      <c r="O1680" s="2"/>
    </row>
    <row r="1681" spans="2:15" x14ac:dyDescent="0.2">
      <c r="B1681" s="50">
        <v>1008</v>
      </c>
      <c r="C1681" s="51">
        <v>0.4170113154119619</v>
      </c>
      <c r="D1681" s="52">
        <v>214</v>
      </c>
      <c r="E1681" s="53">
        <v>0.53237410071942448</v>
      </c>
      <c r="G1681" s="2"/>
      <c r="L1681" s="5"/>
      <c r="O1681" s="2"/>
    </row>
    <row r="1682" spans="2:15" x14ac:dyDescent="0.2">
      <c r="B1682" s="50">
        <v>1005</v>
      </c>
      <c r="C1682" s="51">
        <v>0.41829019414372903</v>
      </c>
      <c r="D1682" s="52">
        <v>214</v>
      </c>
      <c r="E1682" s="53">
        <v>0.51798561151079137</v>
      </c>
      <c r="G1682" s="2"/>
      <c r="L1682" s="5"/>
      <c r="O1682" s="2"/>
    </row>
    <row r="1683" spans="2:15" x14ac:dyDescent="0.2">
      <c r="B1683" s="50">
        <v>1054</v>
      </c>
      <c r="C1683" s="51">
        <v>0.41847993279150553</v>
      </c>
      <c r="D1683" s="52">
        <v>214</v>
      </c>
      <c r="E1683" s="53">
        <v>0.51798561151079137</v>
      </c>
      <c r="G1683" s="2"/>
      <c r="L1683" s="5"/>
      <c r="O1683" s="2"/>
    </row>
    <row r="1684" spans="2:15" x14ac:dyDescent="0.2">
      <c r="B1684" s="50">
        <v>81</v>
      </c>
      <c r="C1684" s="51">
        <v>0.17515596140607792</v>
      </c>
      <c r="D1684" s="52">
        <v>215</v>
      </c>
      <c r="E1684" s="53">
        <v>0.83453237410071945</v>
      </c>
      <c r="G1684" s="2"/>
      <c r="L1684" s="5"/>
      <c r="O1684" s="2"/>
    </row>
    <row r="1685" spans="2:15" x14ac:dyDescent="0.2">
      <c r="B1685" s="50">
        <v>2107</v>
      </c>
      <c r="C1685" s="51">
        <v>0.17515596140607792</v>
      </c>
      <c r="D1685" s="52">
        <v>215</v>
      </c>
      <c r="E1685" s="53">
        <v>0.83453237410071945</v>
      </c>
      <c r="G1685" s="2"/>
      <c r="L1685" s="5"/>
      <c r="O1685" s="2"/>
    </row>
    <row r="1686" spans="2:15" x14ac:dyDescent="0.2">
      <c r="B1686" s="50">
        <v>688</v>
      </c>
      <c r="C1686" s="51">
        <v>0.21853661278994574</v>
      </c>
      <c r="D1686" s="52">
        <v>215</v>
      </c>
      <c r="E1686" s="53">
        <v>0.74820143884892087</v>
      </c>
      <c r="G1686" s="2"/>
      <c r="L1686" s="5"/>
      <c r="O1686" s="2"/>
    </row>
    <row r="1687" spans="2:15" x14ac:dyDescent="0.2">
      <c r="B1687" s="50">
        <v>632</v>
      </c>
      <c r="C1687" s="51">
        <v>0.21972974873281037</v>
      </c>
      <c r="D1687" s="52">
        <v>215</v>
      </c>
      <c r="E1687" s="53">
        <v>0.74820143884892087</v>
      </c>
      <c r="G1687" s="2"/>
      <c r="L1687" s="5"/>
      <c r="O1687" s="2"/>
    </row>
    <row r="1688" spans="2:15" x14ac:dyDescent="0.2">
      <c r="B1688" s="50">
        <v>575</v>
      </c>
      <c r="C1688" s="51">
        <v>0.22070338534725298</v>
      </c>
      <c r="D1688" s="52">
        <v>215</v>
      </c>
      <c r="E1688" s="53">
        <v>0.74820143884892087</v>
      </c>
      <c r="G1688" s="2"/>
      <c r="L1688" s="5"/>
      <c r="O1688" s="2"/>
    </row>
    <row r="1689" spans="2:15" x14ac:dyDescent="0.2">
      <c r="B1689" s="50">
        <v>743</v>
      </c>
      <c r="C1689" s="51">
        <v>0.22094815585815275</v>
      </c>
      <c r="D1689" s="52">
        <v>215</v>
      </c>
      <c r="E1689" s="53">
        <v>0.74820143884892087</v>
      </c>
      <c r="G1689" s="2"/>
      <c r="L1689" s="5"/>
      <c r="O1689" s="2"/>
    </row>
    <row r="1690" spans="2:15" x14ac:dyDescent="0.2">
      <c r="B1690" s="50">
        <v>797</v>
      </c>
      <c r="C1690" s="51">
        <v>0.22108987670853886</v>
      </c>
      <c r="D1690" s="52">
        <v>215</v>
      </c>
      <c r="E1690" s="53">
        <v>0.74820143884892087</v>
      </c>
      <c r="G1690" s="2"/>
      <c r="L1690" s="5"/>
      <c r="O1690" s="2"/>
    </row>
    <row r="1691" spans="2:15" x14ac:dyDescent="0.2">
      <c r="B1691" s="50">
        <v>458</v>
      </c>
      <c r="C1691" s="51">
        <v>0.2243553009687379</v>
      </c>
      <c r="D1691" s="52">
        <v>215</v>
      </c>
      <c r="E1691" s="53">
        <v>0.74820143884892087</v>
      </c>
      <c r="G1691" s="2"/>
      <c r="L1691" s="5"/>
      <c r="O1691" s="2"/>
    </row>
    <row r="1692" spans="2:15" x14ac:dyDescent="0.2">
      <c r="B1692" s="50">
        <v>517</v>
      </c>
      <c r="C1692" s="51">
        <v>0.22555308051680423</v>
      </c>
      <c r="D1692" s="52">
        <v>215</v>
      </c>
      <c r="E1692" s="53">
        <v>0.74820143884892087</v>
      </c>
      <c r="G1692" s="2"/>
      <c r="L1692" s="5"/>
      <c r="O1692" s="2"/>
    </row>
    <row r="1693" spans="2:15" x14ac:dyDescent="0.2">
      <c r="B1693" s="50">
        <v>687</v>
      </c>
      <c r="C1693" s="51">
        <v>0.23362454768748331</v>
      </c>
      <c r="D1693" s="52">
        <v>215</v>
      </c>
      <c r="E1693" s="53">
        <v>0.74100719424460426</v>
      </c>
      <c r="G1693" s="2"/>
      <c r="L1693" s="5"/>
      <c r="O1693" s="2"/>
    </row>
    <row r="1694" spans="2:15" x14ac:dyDescent="0.2">
      <c r="B1694" s="50">
        <v>631</v>
      </c>
      <c r="C1694" s="51">
        <v>0.23490269228385563</v>
      </c>
      <c r="D1694" s="52">
        <v>215</v>
      </c>
      <c r="E1694" s="53">
        <v>0.74100719424460426</v>
      </c>
      <c r="G1694" s="2"/>
      <c r="L1694" s="5"/>
      <c r="O1694" s="2"/>
    </row>
    <row r="1695" spans="2:15" x14ac:dyDescent="0.2">
      <c r="B1695" s="50">
        <v>574</v>
      </c>
      <c r="C1695" s="51">
        <v>0.23586638991034647</v>
      </c>
      <c r="D1695" s="52">
        <v>215</v>
      </c>
      <c r="E1695" s="53">
        <v>0.74100719424460426</v>
      </c>
      <c r="G1695" s="2"/>
      <c r="L1695" s="5"/>
      <c r="O1695" s="2"/>
    </row>
    <row r="1696" spans="2:15" x14ac:dyDescent="0.2">
      <c r="B1696" s="50">
        <v>742</v>
      </c>
      <c r="C1696" s="51">
        <v>0.2362227110497882</v>
      </c>
      <c r="D1696" s="52">
        <v>215</v>
      </c>
      <c r="E1696" s="53">
        <v>0.73381294964028776</v>
      </c>
      <c r="G1696" s="2"/>
      <c r="L1696" s="5"/>
      <c r="O1696" s="2"/>
    </row>
    <row r="1697" spans="2:15" x14ac:dyDescent="0.2">
      <c r="B1697" s="50">
        <v>796</v>
      </c>
      <c r="C1697" s="51">
        <v>0.23640370839387537</v>
      </c>
      <c r="D1697" s="52">
        <v>215</v>
      </c>
      <c r="E1697" s="53">
        <v>0.73381294964028776</v>
      </c>
      <c r="G1697" s="2"/>
      <c r="L1697" s="5"/>
      <c r="O1697" s="2"/>
    </row>
    <row r="1698" spans="2:15" x14ac:dyDescent="0.2">
      <c r="B1698" s="50">
        <v>397</v>
      </c>
      <c r="C1698" s="51">
        <v>0.23817190574824099</v>
      </c>
      <c r="D1698" s="52">
        <v>215</v>
      </c>
      <c r="E1698" s="53">
        <v>0.74100719424460426</v>
      </c>
      <c r="G1698" s="2"/>
      <c r="L1698" s="5"/>
      <c r="O1698" s="2"/>
    </row>
    <row r="1699" spans="2:15" x14ac:dyDescent="0.2">
      <c r="B1699" s="50">
        <v>457</v>
      </c>
      <c r="C1699" s="51">
        <v>0.23975598329585079</v>
      </c>
      <c r="D1699" s="52">
        <v>215</v>
      </c>
      <c r="E1699" s="53">
        <v>0.74100719424460426</v>
      </c>
      <c r="G1699" s="2"/>
      <c r="L1699" s="5"/>
      <c r="O1699" s="2"/>
    </row>
    <row r="1700" spans="2:15" x14ac:dyDescent="0.2">
      <c r="B1700" s="50">
        <v>516</v>
      </c>
      <c r="C1700" s="51">
        <v>0.24103710391030542</v>
      </c>
      <c r="D1700" s="52">
        <v>215</v>
      </c>
      <c r="E1700" s="53">
        <v>0.73381294964028776</v>
      </c>
      <c r="G1700" s="2"/>
      <c r="L1700" s="5"/>
      <c r="O1700" s="2"/>
    </row>
    <row r="1701" spans="2:15" x14ac:dyDescent="0.2">
      <c r="B1701" s="50">
        <v>80</v>
      </c>
      <c r="C1701" s="51">
        <v>0.25630352069537554</v>
      </c>
      <c r="D1701" s="52">
        <v>215</v>
      </c>
      <c r="E1701" s="53">
        <v>0.76978417266187049</v>
      </c>
      <c r="G1701" s="2"/>
      <c r="L1701" s="5"/>
      <c r="O1701" s="2"/>
    </row>
    <row r="1702" spans="2:15" x14ac:dyDescent="0.2">
      <c r="B1702" s="50">
        <v>2121</v>
      </c>
      <c r="C1702" s="51">
        <v>0.25630352069537554</v>
      </c>
      <c r="D1702" s="52">
        <v>215</v>
      </c>
      <c r="E1702" s="53">
        <v>0.76978417266187049</v>
      </c>
      <c r="G1702" s="2"/>
      <c r="L1702" s="5"/>
      <c r="O1702" s="2"/>
    </row>
    <row r="1703" spans="2:15" x14ac:dyDescent="0.2">
      <c r="B1703" s="50">
        <v>257</v>
      </c>
      <c r="C1703" s="51">
        <v>0.95201873879396393</v>
      </c>
      <c r="D1703" s="52">
        <v>215</v>
      </c>
      <c r="E1703" s="53">
        <v>0.20143884892086331</v>
      </c>
      <c r="G1703" s="2"/>
      <c r="L1703" s="5"/>
      <c r="O1703" s="2"/>
    </row>
    <row r="1704" spans="2:15" x14ac:dyDescent="0.2">
      <c r="B1704" s="50">
        <v>258</v>
      </c>
      <c r="C1704" s="51">
        <v>0.95875857854405877</v>
      </c>
      <c r="D1704" s="52">
        <v>215</v>
      </c>
      <c r="E1704" s="53">
        <v>0.20143884892086331</v>
      </c>
      <c r="G1704" s="2"/>
      <c r="L1704" s="5"/>
      <c r="O1704" s="2"/>
    </row>
    <row r="1705" spans="2:15" x14ac:dyDescent="0.2">
      <c r="B1705" s="50">
        <v>1937</v>
      </c>
      <c r="C1705" s="51">
        <v>6.9920987017223601E-2</v>
      </c>
      <c r="D1705" s="52">
        <v>216</v>
      </c>
      <c r="E1705" s="53">
        <v>0.82014388489208634</v>
      </c>
      <c r="G1705" s="2"/>
      <c r="L1705" s="5"/>
      <c r="O1705" s="2"/>
    </row>
    <row r="1706" spans="2:15" x14ac:dyDescent="0.2">
      <c r="B1706" s="50">
        <v>915</v>
      </c>
      <c r="C1706" s="51">
        <v>0.18904570437918322</v>
      </c>
      <c r="D1706" s="52">
        <v>216</v>
      </c>
      <c r="E1706" s="53">
        <v>0.61870503597122306</v>
      </c>
      <c r="G1706" s="2"/>
      <c r="L1706" s="5"/>
      <c r="O1706" s="2"/>
    </row>
    <row r="1707" spans="2:15" x14ac:dyDescent="0.2">
      <c r="B1707" s="50">
        <v>916</v>
      </c>
      <c r="C1707" s="51">
        <v>0.19532154572670346</v>
      </c>
      <c r="D1707" s="52">
        <v>216</v>
      </c>
      <c r="E1707" s="53">
        <v>0.62589928057553956</v>
      </c>
      <c r="G1707" s="2"/>
      <c r="L1707" s="5"/>
      <c r="O1707" s="2"/>
    </row>
    <row r="1708" spans="2:15" x14ac:dyDescent="0.2">
      <c r="B1708" s="50">
        <v>917</v>
      </c>
      <c r="C1708" s="51">
        <v>0.19567937301357008</v>
      </c>
      <c r="D1708" s="52">
        <v>216</v>
      </c>
      <c r="E1708" s="53">
        <v>0.62589928057553956</v>
      </c>
      <c r="G1708" s="2"/>
      <c r="L1708" s="5"/>
      <c r="O1708" s="2"/>
    </row>
    <row r="1709" spans="2:15" x14ac:dyDescent="0.2">
      <c r="B1709" s="50">
        <v>968</v>
      </c>
      <c r="C1709" s="51">
        <v>0.20173305368068628</v>
      </c>
      <c r="D1709" s="52">
        <v>216</v>
      </c>
      <c r="E1709" s="53">
        <v>0.62589928057553956</v>
      </c>
      <c r="G1709" s="2"/>
      <c r="L1709" s="5"/>
      <c r="O1709" s="2"/>
    </row>
    <row r="1710" spans="2:15" x14ac:dyDescent="0.2">
      <c r="B1710" s="50">
        <v>918</v>
      </c>
      <c r="C1710" s="51">
        <v>0.23123350134770149</v>
      </c>
      <c r="D1710" s="52">
        <v>216</v>
      </c>
      <c r="E1710" s="53">
        <v>0.61151079136690645</v>
      </c>
      <c r="G1710" s="2"/>
      <c r="L1710" s="5"/>
      <c r="O1710" s="2"/>
    </row>
    <row r="1711" spans="2:15" x14ac:dyDescent="0.2">
      <c r="B1711" s="50">
        <v>969</v>
      </c>
      <c r="C1711" s="51">
        <v>0.23711772372214335</v>
      </c>
      <c r="D1711" s="52">
        <v>216</v>
      </c>
      <c r="E1711" s="53">
        <v>0.61151079136690645</v>
      </c>
      <c r="G1711" s="2"/>
      <c r="L1711" s="5"/>
      <c r="O1711" s="2"/>
    </row>
    <row r="1712" spans="2:15" x14ac:dyDescent="0.2">
      <c r="B1712" s="50">
        <v>919</v>
      </c>
      <c r="C1712" s="51">
        <v>0.26091004369520987</v>
      </c>
      <c r="D1712" s="52">
        <v>216</v>
      </c>
      <c r="E1712" s="53">
        <v>0.51798561151079137</v>
      </c>
      <c r="G1712" s="2"/>
      <c r="L1712" s="5"/>
      <c r="O1712" s="2"/>
    </row>
    <row r="1713" spans="2:15" x14ac:dyDescent="0.2">
      <c r="B1713" s="50">
        <v>970</v>
      </c>
      <c r="C1713" s="51">
        <v>0.2657749466994388</v>
      </c>
      <c r="D1713" s="52">
        <v>216</v>
      </c>
      <c r="E1713" s="53">
        <v>0.5611510791366906</v>
      </c>
      <c r="G1713" s="2"/>
      <c r="L1713" s="5"/>
      <c r="O1713" s="2"/>
    </row>
    <row r="1714" spans="2:15" x14ac:dyDescent="0.2">
      <c r="B1714" s="50">
        <v>2061</v>
      </c>
      <c r="C1714" s="51">
        <v>0.28891226271252834</v>
      </c>
      <c r="D1714" s="52">
        <v>216</v>
      </c>
      <c r="E1714" s="53">
        <v>0.5611510791366906</v>
      </c>
      <c r="G1714" s="2"/>
      <c r="L1714" s="5"/>
      <c r="O1714" s="2"/>
    </row>
    <row r="1715" spans="2:15" x14ac:dyDescent="0.2">
      <c r="B1715" s="50">
        <v>920</v>
      </c>
      <c r="C1715" s="51">
        <v>0.30217970282906537</v>
      </c>
      <c r="D1715" s="52">
        <v>216</v>
      </c>
      <c r="E1715" s="53">
        <v>0.5539568345323741</v>
      </c>
      <c r="G1715" s="2"/>
      <c r="L1715" s="5"/>
      <c r="O1715" s="2"/>
    </row>
    <row r="1716" spans="2:15" x14ac:dyDescent="0.2">
      <c r="B1716" s="50">
        <v>971</v>
      </c>
      <c r="C1716" s="51">
        <v>0.30681660563817836</v>
      </c>
      <c r="D1716" s="52">
        <v>216</v>
      </c>
      <c r="E1716" s="53">
        <v>0.5539568345323741</v>
      </c>
      <c r="G1716" s="2"/>
      <c r="L1716" s="5"/>
      <c r="O1716" s="2"/>
    </row>
    <row r="1717" spans="2:15" x14ac:dyDescent="0.2">
      <c r="B1717" s="50">
        <v>953</v>
      </c>
      <c r="C1717" s="51">
        <v>0.20923731703503257</v>
      </c>
      <c r="D1717" s="52">
        <v>217</v>
      </c>
      <c r="E1717" s="53">
        <v>0.75539568345323738</v>
      </c>
      <c r="G1717" s="2"/>
      <c r="L1717" s="5"/>
      <c r="O1717" s="2"/>
    </row>
    <row r="1718" spans="2:15" x14ac:dyDescent="0.2">
      <c r="B1718" s="50">
        <v>902</v>
      </c>
      <c r="C1718" s="51">
        <v>0.2124803652946281</v>
      </c>
      <c r="D1718" s="52">
        <v>217</v>
      </c>
      <c r="E1718" s="53">
        <v>0.75539568345323738</v>
      </c>
      <c r="G1718" s="2"/>
      <c r="L1718" s="5"/>
      <c r="O1718" s="2"/>
    </row>
    <row r="1719" spans="2:15" x14ac:dyDescent="0.2">
      <c r="B1719" s="50">
        <v>952</v>
      </c>
      <c r="C1719" s="51">
        <v>0.22412776212382668</v>
      </c>
      <c r="D1719" s="52">
        <v>217</v>
      </c>
      <c r="E1719" s="53">
        <v>0.74820143884892087</v>
      </c>
      <c r="G1719" s="2"/>
      <c r="L1719" s="5"/>
      <c r="O1719" s="2"/>
    </row>
    <row r="1720" spans="2:15" x14ac:dyDescent="0.2">
      <c r="B1720" s="50">
        <v>901</v>
      </c>
      <c r="C1720" s="51">
        <v>0.22756693047745635</v>
      </c>
      <c r="D1720" s="52">
        <v>217</v>
      </c>
      <c r="E1720" s="53">
        <v>0.74100719424460426</v>
      </c>
      <c r="G1720" s="2"/>
      <c r="L1720" s="5"/>
      <c r="O1720" s="2"/>
    </row>
    <row r="1721" spans="2:15" x14ac:dyDescent="0.2">
      <c r="B1721" s="50">
        <v>826</v>
      </c>
      <c r="C1721" s="51">
        <v>0.575731657483466</v>
      </c>
      <c r="D1721" s="52">
        <v>217</v>
      </c>
      <c r="E1721" s="53">
        <v>0.40287769784172661</v>
      </c>
      <c r="G1721" s="2"/>
      <c r="L1721" s="5"/>
      <c r="O1721" s="2"/>
    </row>
    <row r="1722" spans="2:15" x14ac:dyDescent="0.2">
      <c r="B1722" s="50">
        <v>253</v>
      </c>
      <c r="C1722" s="51">
        <v>0.84305782892419856</v>
      </c>
      <c r="D1722" s="52">
        <v>217</v>
      </c>
      <c r="E1722" s="53">
        <v>0.20863309352517986</v>
      </c>
      <c r="G1722" s="2"/>
      <c r="L1722" s="5"/>
      <c r="O1722" s="2"/>
    </row>
    <row r="1723" spans="2:15" x14ac:dyDescent="0.2">
      <c r="B1723" s="50">
        <v>254</v>
      </c>
      <c r="C1723" s="51">
        <v>0.85467192676517123</v>
      </c>
      <c r="D1723" s="52">
        <v>217</v>
      </c>
      <c r="E1723" s="53">
        <v>0.20863309352517986</v>
      </c>
      <c r="G1723" s="2"/>
      <c r="L1723" s="5"/>
      <c r="O1723" s="2"/>
    </row>
    <row r="1724" spans="2:15" x14ac:dyDescent="0.2">
      <c r="B1724" s="50">
        <v>768</v>
      </c>
      <c r="C1724" s="51">
        <v>0.36759985912687554</v>
      </c>
      <c r="D1724" s="52">
        <v>218</v>
      </c>
      <c r="E1724" s="53">
        <v>0.43165467625899279</v>
      </c>
      <c r="G1724" s="2"/>
      <c r="L1724" s="5"/>
      <c r="O1724" s="2"/>
    </row>
    <row r="1725" spans="2:15" x14ac:dyDescent="0.2">
      <c r="B1725" s="50">
        <v>771</v>
      </c>
      <c r="C1725" s="51">
        <v>0.55658957706620937</v>
      </c>
      <c r="D1725" s="52">
        <v>218</v>
      </c>
      <c r="E1725" s="53">
        <v>0.40287769784172661</v>
      </c>
      <c r="G1725" s="2"/>
      <c r="L1725" s="5"/>
      <c r="O1725" s="2"/>
    </row>
    <row r="1726" spans="2:15" x14ac:dyDescent="0.2">
      <c r="B1726" s="50">
        <v>255</v>
      </c>
      <c r="C1726" s="51">
        <v>0.88734250259242287</v>
      </c>
      <c r="D1726" s="52">
        <v>218</v>
      </c>
      <c r="E1726" s="53">
        <v>0.2733812949640288</v>
      </c>
      <c r="G1726" s="2"/>
      <c r="L1726" s="5"/>
      <c r="O1726" s="2"/>
    </row>
    <row r="1727" spans="2:15" x14ac:dyDescent="0.2">
      <c r="B1727" s="50">
        <v>256</v>
      </c>
      <c r="C1727" s="51">
        <v>0.89710223546085521</v>
      </c>
      <c r="D1727" s="52">
        <v>218</v>
      </c>
      <c r="E1727" s="53">
        <v>0.26618705035971224</v>
      </c>
      <c r="G1727" s="2"/>
      <c r="L1727" s="5"/>
      <c r="O1727" s="2"/>
    </row>
    <row r="1728" spans="2:15" x14ac:dyDescent="0.2">
      <c r="B1728" s="50">
        <v>486</v>
      </c>
      <c r="C1728" s="51">
        <v>0.52178285614222808</v>
      </c>
      <c r="D1728" s="52">
        <v>219</v>
      </c>
      <c r="E1728" s="53">
        <v>0.31654676258992803</v>
      </c>
      <c r="G1728" s="2"/>
      <c r="L1728" s="5"/>
      <c r="O1728" s="2"/>
    </row>
    <row r="1729" spans="2:15" x14ac:dyDescent="0.2">
      <c r="B1729" s="50">
        <v>545</v>
      </c>
      <c r="C1729" s="51">
        <v>0.53034057157668146</v>
      </c>
      <c r="D1729" s="52">
        <v>219</v>
      </c>
      <c r="E1729" s="53">
        <v>0.39568345323741005</v>
      </c>
      <c r="G1729" s="2"/>
      <c r="L1729" s="5"/>
      <c r="O1729" s="2"/>
    </row>
    <row r="1730" spans="2:15" x14ac:dyDescent="0.2">
      <c r="B1730" s="50">
        <v>603</v>
      </c>
      <c r="C1730" s="51">
        <v>0.54198577142726034</v>
      </c>
      <c r="D1730" s="52">
        <v>219</v>
      </c>
      <c r="E1730" s="53">
        <v>0.40287769784172661</v>
      </c>
      <c r="G1730" s="2"/>
      <c r="L1730" s="5"/>
      <c r="O1730" s="2"/>
    </row>
    <row r="1731" spans="2:15" x14ac:dyDescent="0.2">
      <c r="B1731" s="50">
        <v>546</v>
      </c>
      <c r="C1731" s="51">
        <v>0.54330056384300129</v>
      </c>
      <c r="D1731" s="52">
        <v>219</v>
      </c>
      <c r="E1731" s="53">
        <v>0.39568345323741005</v>
      </c>
      <c r="G1731" s="2"/>
      <c r="L1731" s="5"/>
      <c r="O1731" s="2"/>
    </row>
    <row r="1732" spans="2:15" x14ac:dyDescent="0.2">
      <c r="B1732" s="50">
        <v>660</v>
      </c>
      <c r="C1732" s="51">
        <v>0.54753785590069259</v>
      </c>
      <c r="D1732" s="52">
        <v>219</v>
      </c>
      <c r="E1732" s="53">
        <v>0.41007194244604317</v>
      </c>
      <c r="G1732" s="2"/>
      <c r="L1732" s="5"/>
      <c r="O1732" s="2"/>
    </row>
    <row r="1733" spans="2:15" x14ac:dyDescent="0.2">
      <c r="B1733" s="50">
        <v>716</v>
      </c>
      <c r="C1733" s="51">
        <v>0.55257446618474848</v>
      </c>
      <c r="D1733" s="52">
        <v>219</v>
      </c>
      <c r="E1733" s="53">
        <v>0.41007194244604317</v>
      </c>
      <c r="G1733" s="2"/>
      <c r="L1733" s="5"/>
      <c r="O1733" s="2"/>
    </row>
    <row r="1734" spans="2:15" x14ac:dyDescent="0.2">
      <c r="B1734" s="50">
        <v>604</v>
      </c>
      <c r="C1734" s="51">
        <v>0.55573978863243756</v>
      </c>
      <c r="D1734" s="52">
        <v>219</v>
      </c>
      <c r="E1734" s="53">
        <v>0.39568345323741005</v>
      </c>
      <c r="G1734" s="2"/>
      <c r="L1734" s="5"/>
      <c r="O1734" s="2"/>
    </row>
    <row r="1735" spans="2:15" x14ac:dyDescent="0.2">
      <c r="B1735" s="50">
        <v>825</v>
      </c>
      <c r="C1735" s="51">
        <v>0.56117146426472475</v>
      </c>
      <c r="D1735" s="52">
        <v>219</v>
      </c>
      <c r="E1735" s="53">
        <v>0.39568345323741005</v>
      </c>
      <c r="G1735" s="2"/>
      <c r="L1735" s="5"/>
      <c r="O1735" s="2"/>
    </row>
    <row r="1736" spans="2:15" x14ac:dyDescent="0.2">
      <c r="B1736" s="50">
        <v>661</v>
      </c>
      <c r="C1736" s="51">
        <v>0.56144652042301069</v>
      </c>
      <c r="D1736" s="52">
        <v>219</v>
      </c>
      <c r="E1736" s="53">
        <v>0.40287769784172661</v>
      </c>
      <c r="G1736" s="2"/>
      <c r="L1736" s="5"/>
      <c r="O1736" s="2"/>
    </row>
    <row r="1737" spans="2:15" x14ac:dyDescent="0.2">
      <c r="B1737" s="50">
        <v>717</v>
      </c>
      <c r="C1737" s="51">
        <v>0.5668717597240237</v>
      </c>
      <c r="D1737" s="52">
        <v>219</v>
      </c>
      <c r="E1737" s="53">
        <v>0.41007194244604317</v>
      </c>
      <c r="G1737" s="2"/>
      <c r="L1737" s="5"/>
      <c r="O1737" s="2"/>
    </row>
    <row r="1738" spans="2:15" x14ac:dyDescent="0.2">
      <c r="B1738" s="50">
        <v>772</v>
      </c>
      <c r="C1738" s="51">
        <v>0.57091193033300969</v>
      </c>
      <c r="D1738" s="52">
        <v>219</v>
      </c>
      <c r="E1738" s="53">
        <v>0.41007194244604317</v>
      </c>
      <c r="G1738" s="2"/>
      <c r="L1738" s="5"/>
      <c r="O1738" s="2"/>
    </row>
    <row r="1739" spans="2:15" x14ac:dyDescent="0.2">
      <c r="B1739" s="50">
        <v>662</v>
      </c>
      <c r="C1739" s="51">
        <v>0.57202301461086014</v>
      </c>
      <c r="D1739" s="52">
        <v>219</v>
      </c>
      <c r="E1739" s="53">
        <v>0.34532374100719426</v>
      </c>
      <c r="G1739" s="2"/>
      <c r="L1739" s="5"/>
      <c r="O1739" s="2"/>
    </row>
    <row r="1740" spans="2:15" x14ac:dyDescent="0.2">
      <c r="B1740" s="50">
        <v>718</v>
      </c>
      <c r="C1740" s="51">
        <v>0.57803681297345633</v>
      </c>
      <c r="D1740" s="52">
        <v>219</v>
      </c>
      <c r="E1740" s="53">
        <v>0.34532374100719426</v>
      </c>
      <c r="G1740" s="2"/>
      <c r="L1740" s="5"/>
      <c r="O1740" s="2"/>
    </row>
    <row r="1741" spans="2:15" x14ac:dyDescent="0.2">
      <c r="B1741" s="50">
        <v>773</v>
      </c>
      <c r="C1741" s="51">
        <v>0.58075365092163911</v>
      </c>
      <c r="D1741" s="52">
        <v>219</v>
      </c>
      <c r="E1741" s="53">
        <v>0.34532374100719426</v>
      </c>
      <c r="G1741" s="2"/>
      <c r="L1741" s="5"/>
      <c r="O1741" s="2"/>
    </row>
    <row r="1742" spans="2:15" x14ac:dyDescent="0.2">
      <c r="B1742" s="50">
        <v>663</v>
      </c>
      <c r="C1742" s="51">
        <v>0.58516670391116465</v>
      </c>
      <c r="D1742" s="52">
        <v>219</v>
      </c>
      <c r="E1742" s="53">
        <v>0.2733812949640288</v>
      </c>
      <c r="G1742" s="2"/>
      <c r="L1742" s="5"/>
      <c r="O1742" s="2"/>
    </row>
    <row r="1743" spans="2:15" x14ac:dyDescent="0.2">
      <c r="B1743" s="50">
        <v>827</v>
      </c>
      <c r="C1743" s="51">
        <v>0.58556278790049887</v>
      </c>
      <c r="D1743" s="52">
        <v>219</v>
      </c>
      <c r="E1743" s="53">
        <v>0.35251798561151076</v>
      </c>
      <c r="G1743" s="2"/>
      <c r="L1743" s="5"/>
      <c r="O1743" s="2"/>
    </row>
    <row r="1744" spans="2:15" x14ac:dyDescent="0.2">
      <c r="B1744" s="50">
        <v>719</v>
      </c>
      <c r="C1744" s="51">
        <v>0.59132183345089417</v>
      </c>
      <c r="D1744" s="52">
        <v>219</v>
      </c>
      <c r="E1744" s="53">
        <v>0.35251798561151076</v>
      </c>
      <c r="G1744" s="2"/>
      <c r="L1744" s="5"/>
      <c r="O1744" s="2"/>
    </row>
    <row r="1745" spans="2:15" x14ac:dyDescent="0.2">
      <c r="B1745" s="50">
        <v>307</v>
      </c>
      <c r="C1745" s="51">
        <v>0.59188969593355412</v>
      </c>
      <c r="D1745" s="52">
        <v>219</v>
      </c>
      <c r="E1745" s="53">
        <v>0.23021582733812951</v>
      </c>
      <c r="G1745" s="2"/>
      <c r="L1745" s="5"/>
      <c r="O1745" s="2"/>
    </row>
    <row r="1746" spans="2:15" x14ac:dyDescent="0.2">
      <c r="B1746" s="50">
        <v>490</v>
      </c>
      <c r="C1746" s="51">
        <v>0.59243020199776719</v>
      </c>
      <c r="D1746" s="52">
        <v>219</v>
      </c>
      <c r="E1746" s="53">
        <v>0.18705035971223022</v>
      </c>
      <c r="G1746" s="2"/>
      <c r="L1746" s="5"/>
      <c r="O1746" s="2"/>
    </row>
    <row r="1747" spans="2:15" x14ac:dyDescent="0.2">
      <c r="B1747" s="50">
        <v>774</v>
      </c>
      <c r="C1747" s="51">
        <v>0.59337934481046362</v>
      </c>
      <c r="D1747" s="52">
        <v>219</v>
      </c>
      <c r="E1747" s="53">
        <v>0.35251798561151076</v>
      </c>
      <c r="G1747" s="2"/>
      <c r="L1747" s="5"/>
      <c r="O1747" s="2"/>
    </row>
    <row r="1748" spans="2:15" x14ac:dyDescent="0.2">
      <c r="B1748" s="50">
        <v>369</v>
      </c>
      <c r="C1748" s="51">
        <v>0.5937127287235443</v>
      </c>
      <c r="D1748" s="52">
        <v>219</v>
      </c>
      <c r="E1748" s="53">
        <v>0.23021582733812951</v>
      </c>
      <c r="G1748" s="2"/>
      <c r="L1748" s="5"/>
      <c r="O1748" s="2"/>
    </row>
    <row r="1749" spans="2:15" x14ac:dyDescent="0.2">
      <c r="B1749" s="50">
        <v>430</v>
      </c>
      <c r="C1749" s="51">
        <v>0.5942540976643701</v>
      </c>
      <c r="D1749" s="52">
        <v>219</v>
      </c>
      <c r="E1749" s="53">
        <v>0.18705035971223022</v>
      </c>
      <c r="G1749" s="2"/>
      <c r="L1749" s="5"/>
      <c r="O1749" s="2"/>
    </row>
    <row r="1750" spans="2:15" x14ac:dyDescent="0.2">
      <c r="B1750" s="50">
        <v>549</v>
      </c>
      <c r="C1750" s="51">
        <v>0.59634999832079716</v>
      </c>
      <c r="D1750" s="52">
        <v>219</v>
      </c>
      <c r="E1750" s="53">
        <v>0.18705035971223022</v>
      </c>
      <c r="G1750" s="2"/>
      <c r="L1750" s="5"/>
      <c r="O1750" s="2"/>
    </row>
    <row r="1751" spans="2:15" x14ac:dyDescent="0.2">
      <c r="B1751" s="50">
        <v>828</v>
      </c>
      <c r="C1751" s="51">
        <v>0.59794331271905377</v>
      </c>
      <c r="D1751" s="52">
        <v>219</v>
      </c>
      <c r="E1751" s="53">
        <v>0.35971223021582732</v>
      </c>
      <c r="G1751" s="2"/>
      <c r="L1751" s="5"/>
      <c r="O1751" s="2"/>
    </row>
    <row r="1752" spans="2:15" x14ac:dyDescent="0.2">
      <c r="B1752" s="50">
        <v>829</v>
      </c>
      <c r="C1752" s="51">
        <v>0.63086804893401827</v>
      </c>
      <c r="D1752" s="52">
        <v>219</v>
      </c>
      <c r="E1752" s="53">
        <v>0.22302158273381295</v>
      </c>
      <c r="G1752" s="2"/>
      <c r="L1752" s="5"/>
      <c r="O1752" s="2"/>
    </row>
    <row r="1753" spans="2:15" x14ac:dyDescent="0.2">
      <c r="B1753" s="50">
        <v>299</v>
      </c>
      <c r="C1753" s="51">
        <v>0.2933928571314649</v>
      </c>
      <c r="D1753" s="52">
        <v>220</v>
      </c>
      <c r="E1753" s="53">
        <v>0.33812949640287771</v>
      </c>
      <c r="G1753" s="2"/>
      <c r="L1753" s="5"/>
      <c r="O1753" s="2"/>
    </row>
    <row r="1754" spans="2:15" x14ac:dyDescent="0.2">
      <c r="B1754" s="50">
        <v>482</v>
      </c>
      <c r="C1754" s="51">
        <v>0.29430974645221375</v>
      </c>
      <c r="D1754" s="52">
        <v>220</v>
      </c>
      <c r="E1754" s="53">
        <v>0.29496402877697842</v>
      </c>
      <c r="G1754" s="2"/>
      <c r="L1754" s="5"/>
      <c r="O1754" s="2"/>
    </row>
    <row r="1755" spans="2:15" x14ac:dyDescent="0.2">
      <c r="B1755" s="50">
        <v>361</v>
      </c>
      <c r="C1755" s="51">
        <v>0.29564260625767058</v>
      </c>
      <c r="D1755" s="52">
        <v>220</v>
      </c>
      <c r="E1755" s="53">
        <v>0.33812949640287771</v>
      </c>
      <c r="G1755" s="2"/>
      <c r="L1755" s="5"/>
      <c r="O1755" s="2"/>
    </row>
    <row r="1756" spans="2:15" x14ac:dyDescent="0.2">
      <c r="B1756" s="50">
        <v>422</v>
      </c>
      <c r="C1756" s="51">
        <v>0.29583328295487155</v>
      </c>
      <c r="D1756" s="52">
        <v>220</v>
      </c>
      <c r="E1756" s="53">
        <v>0.29496402877697842</v>
      </c>
      <c r="G1756" s="2"/>
      <c r="L1756" s="5"/>
      <c r="O1756" s="2"/>
    </row>
    <row r="1757" spans="2:15" x14ac:dyDescent="0.2">
      <c r="B1757" s="50">
        <v>541</v>
      </c>
      <c r="C1757" s="51">
        <v>0.3000852271111949</v>
      </c>
      <c r="D1757" s="52">
        <v>220</v>
      </c>
      <c r="E1757" s="53">
        <v>0.37410071942446044</v>
      </c>
      <c r="G1757" s="2"/>
      <c r="L1757" s="5"/>
      <c r="O1757" s="2"/>
    </row>
    <row r="1758" spans="2:15" x14ac:dyDescent="0.2">
      <c r="B1758" s="50">
        <v>539</v>
      </c>
      <c r="C1758" s="51">
        <v>0.3159681328399353</v>
      </c>
      <c r="D1758" s="52">
        <v>220</v>
      </c>
      <c r="E1758" s="53">
        <v>0.40287769784172661</v>
      </c>
      <c r="G1758" s="2"/>
      <c r="L1758" s="5"/>
      <c r="O1758" s="2"/>
    </row>
    <row r="1759" spans="2:15" x14ac:dyDescent="0.2">
      <c r="B1759" s="50">
        <v>594</v>
      </c>
      <c r="C1759" s="51">
        <v>0.32172167360411896</v>
      </c>
      <c r="D1759" s="52">
        <v>220</v>
      </c>
      <c r="E1759" s="53">
        <v>0.48201438848920863</v>
      </c>
      <c r="G1759" s="2"/>
      <c r="L1759" s="5"/>
      <c r="O1759" s="2"/>
    </row>
    <row r="1760" spans="2:15" x14ac:dyDescent="0.2">
      <c r="B1760" s="50">
        <v>767</v>
      </c>
      <c r="C1760" s="51">
        <v>0.32480814183733742</v>
      </c>
      <c r="D1760" s="52">
        <v>220</v>
      </c>
      <c r="E1760" s="53">
        <v>0.38129496402877699</v>
      </c>
      <c r="G1760" s="2"/>
      <c r="L1760" s="5"/>
      <c r="O1760" s="2"/>
    </row>
    <row r="1761" spans="2:15" x14ac:dyDescent="0.2">
      <c r="B1761" s="50">
        <v>712</v>
      </c>
      <c r="C1761" s="51">
        <v>0.32494707841987025</v>
      </c>
      <c r="D1761" s="52">
        <v>220</v>
      </c>
      <c r="E1761" s="53">
        <v>0.42446043165467628</v>
      </c>
      <c r="G1761" s="2"/>
      <c r="L1761" s="5"/>
      <c r="O1761" s="2"/>
    </row>
    <row r="1762" spans="2:15" x14ac:dyDescent="0.2">
      <c r="B1762" s="50">
        <v>651</v>
      </c>
      <c r="C1762" s="51">
        <v>0.32503832070394667</v>
      </c>
      <c r="D1762" s="52">
        <v>220</v>
      </c>
      <c r="E1762" s="53">
        <v>0.48201438848920863</v>
      </c>
      <c r="G1762" s="2"/>
      <c r="L1762" s="5"/>
      <c r="O1762" s="2"/>
    </row>
    <row r="1763" spans="2:15" x14ac:dyDescent="0.2">
      <c r="B1763" s="50">
        <v>597</v>
      </c>
      <c r="C1763" s="51">
        <v>0.32639826674564965</v>
      </c>
      <c r="D1763" s="52">
        <v>220</v>
      </c>
      <c r="E1763" s="53">
        <v>0.45323741007194246</v>
      </c>
      <c r="G1763" s="2"/>
      <c r="L1763" s="5"/>
      <c r="O1763" s="2"/>
    </row>
    <row r="1764" spans="2:15" x14ac:dyDescent="0.2">
      <c r="B1764" s="50">
        <v>762</v>
      </c>
      <c r="C1764" s="51">
        <v>0.32659708018494815</v>
      </c>
      <c r="D1764" s="52">
        <v>220</v>
      </c>
      <c r="E1764" s="53">
        <v>0.5467625899280576</v>
      </c>
      <c r="G1764" s="2"/>
      <c r="L1764" s="5"/>
      <c r="O1764" s="2"/>
    </row>
    <row r="1765" spans="2:15" x14ac:dyDescent="0.2">
      <c r="B1765" s="50">
        <v>707</v>
      </c>
      <c r="C1765" s="51">
        <v>0.32683163529665782</v>
      </c>
      <c r="D1765" s="52">
        <v>220</v>
      </c>
      <c r="E1765" s="53">
        <v>0.47482014388489208</v>
      </c>
      <c r="G1765" s="2"/>
      <c r="L1765" s="5"/>
      <c r="O1765" s="2"/>
    </row>
    <row r="1766" spans="2:15" x14ac:dyDescent="0.2">
      <c r="B1766" s="50">
        <v>821</v>
      </c>
      <c r="C1766" s="51">
        <v>0.32750663600741325</v>
      </c>
      <c r="D1766" s="52">
        <v>220</v>
      </c>
      <c r="E1766" s="53">
        <v>0.38848920863309355</v>
      </c>
      <c r="G1766" s="2"/>
      <c r="L1766" s="5"/>
      <c r="O1766" s="2"/>
    </row>
    <row r="1767" spans="2:15" x14ac:dyDescent="0.2">
      <c r="B1767" s="50">
        <v>708</v>
      </c>
      <c r="C1767" s="51">
        <v>0.32926737781055004</v>
      </c>
      <c r="D1767" s="52">
        <v>220</v>
      </c>
      <c r="E1767" s="53">
        <v>0.48201438848920863</v>
      </c>
      <c r="G1767" s="2"/>
      <c r="L1767" s="5"/>
      <c r="O1767" s="2"/>
    </row>
    <row r="1768" spans="2:15" x14ac:dyDescent="0.2">
      <c r="B1768" s="50">
        <v>654</v>
      </c>
      <c r="C1768" s="51">
        <v>0.33038775770773976</v>
      </c>
      <c r="D1768" s="52">
        <v>220</v>
      </c>
      <c r="E1768" s="53">
        <v>0.45323741007194246</v>
      </c>
      <c r="G1768" s="2"/>
      <c r="L1768" s="5"/>
      <c r="O1768" s="2"/>
    </row>
    <row r="1769" spans="2:15" x14ac:dyDescent="0.2">
      <c r="B1769" s="50">
        <v>765</v>
      </c>
      <c r="C1769" s="51">
        <v>0.33279232802176817</v>
      </c>
      <c r="D1769" s="52">
        <v>220</v>
      </c>
      <c r="E1769" s="53">
        <v>0.46043165467625902</v>
      </c>
      <c r="G1769" s="2"/>
      <c r="L1769" s="5"/>
      <c r="O1769" s="2"/>
    </row>
    <row r="1770" spans="2:15" x14ac:dyDescent="0.2">
      <c r="B1770" s="50">
        <v>710</v>
      </c>
      <c r="C1770" s="51">
        <v>0.33336337514944048</v>
      </c>
      <c r="D1770" s="52">
        <v>220</v>
      </c>
      <c r="E1770" s="53">
        <v>0.46043165467625902</v>
      </c>
      <c r="G1770" s="2"/>
      <c r="L1770" s="5"/>
      <c r="O1770" s="2"/>
    </row>
    <row r="1771" spans="2:15" x14ac:dyDescent="0.2">
      <c r="B1771" s="50">
        <v>819</v>
      </c>
      <c r="C1771" s="51">
        <v>0.33462942326060863</v>
      </c>
      <c r="D1771" s="52">
        <v>220</v>
      </c>
      <c r="E1771" s="53">
        <v>0.46043165467625902</v>
      </c>
      <c r="G1771" s="2"/>
      <c r="L1771" s="5"/>
      <c r="O1771" s="2"/>
    </row>
    <row r="1772" spans="2:15" x14ac:dyDescent="0.2">
      <c r="B1772" s="50">
        <v>300</v>
      </c>
      <c r="C1772" s="51">
        <v>0.33862476813149522</v>
      </c>
      <c r="D1772" s="52">
        <v>220</v>
      </c>
      <c r="E1772" s="53">
        <v>0.33812949640287771</v>
      </c>
      <c r="G1772" s="2"/>
      <c r="L1772" s="5"/>
      <c r="O1772" s="2"/>
    </row>
    <row r="1773" spans="2:15" x14ac:dyDescent="0.2">
      <c r="B1773" s="50">
        <v>483</v>
      </c>
      <c r="C1773" s="51">
        <v>0.33885580951028937</v>
      </c>
      <c r="D1773" s="52">
        <v>220</v>
      </c>
      <c r="E1773" s="53">
        <v>0.37410071942446044</v>
      </c>
      <c r="G1773" s="2"/>
      <c r="L1773" s="5"/>
      <c r="O1773" s="2"/>
    </row>
    <row r="1774" spans="2:15" x14ac:dyDescent="0.2">
      <c r="B1774" s="50">
        <v>423</v>
      </c>
      <c r="C1774" s="51">
        <v>0.34043276105598508</v>
      </c>
      <c r="D1774" s="52">
        <v>220</v>
      </c>
      <c r="E1774" s="53">
        <v>0.41726618705035973</v>
      </c>
      <c r="G1774" s="2"/>
      <c r="L1774" s="5"/>
      <c r="O1774" s="2"/>
    </row>
    <row r="1775" spans="2:15" x14ac:dyDescent="0.2">
      <c r="B1775" s="50">
        <v>362</v>
      </c>
      <c r="C1775" s="51">
        <v>0.34077210144610359</v>
      </c>
      <c r="D1775" s="52">
        <v>220</v>
      </c>
      <c r="E1775" s="53">
        <v>0.33812949640287771</v>
      </c>
      <c r="G1775" s="2"/>
      <c r="L1775" s="5"/>
      <c r="O1775" s="2"/>
    </row>
    <row r="1776" spans="2:15" x14ac:dyDescent="0.2">
      <c r="B1776" s="50">
        <v>542</v>
      </c>
      <c r="C1776" s="51">
        <v>0.34430938555024082</v>
      </c>
      <c r="D1776" s="52">
        <v>220</v>
      </c>
      <c r="E1776" s="53">
        <v>0.37410071942446044</v>
      </c>
      <c r="G1776" s="2"/>
      <c r="L1776" s="5"/>
      <c r="O1776" s="2"/>
    </row>
    <row r="1777" spans="2:15" x14ac:dyDescent="0.2">
      <c r="B1777" s="50">
        <v>972</v>
      </c>
      <c r="C1777" s="51">
        <v>0.35293921065229072</v>
      </c>
      <c r="D1777" s="52">
        <v>220</v>
      </c>
      <c r="E1777" s="53">
        <v>0.5467625899280576</v>
      </c>
      <c r="G1777" s="2"/>
      <c r="L1777" s="5"/>
      <c r="O1777" s="2"/>
    </row>
    <row r="1778" spans="2:15" x14ac:dyDescent="0.2">
      <c r="B1778" s="50">
        <v>600</v>
      </c>
      <c r="C1778" s="51">
        <v>0.35798459371652358</v>
      </c>
      <c r="D1778" s="52">
        <v>220</v>
      </c>
      <c r="E1778" s="53">
        <v>0.41726618705035973</v>
      </c>
      <c r="G1778" s="2"/>
      <c r="L1778" s="5"/>
      <c r="O1778" s="2"/>
    </row>
    <row r="1779" spans="2:15" x14ac:dyDescent="0.2">
      <c r="B1779" s="50">
        <v>657</v>
      </c>
      <c r="C1779" s="51">
        <v>0.36270437043853909</v>
      </c>
      <c r="D1779" s="52">
        <v>220</v>
      </c>
      <c r="E1779" s="53">
        <v>0.42446043165467628</v>
      </c>
      <c r="G1779" s="2"/>
      <c r="L1779" s="5"/>
      <c r="O1779" s="2"/>
    </row>
    <row r="1780" spans="2:15" x14ac:dyDescent="0.2">
      <c r="B1780" s="50">
        <v>713</v>
      </c>
      <c r="C1780" s="51">
        <v>0.36749055922768403</v>
      </c>
      <c r="D1780" s="52">
        <v>220</v>
      </c>
      <c r="E1780" s="53">
        <v>0.43165467625899279</v>
      </c>
      <c r="G1780" s="2"/>
      <c r="L1780" s="5"/>
      <c r="O1780" s="2"/>
    </row>
    <row r="1781" spans="2:15" x14ac:dyDescent="0.2">
      <c r="B1781" s="50">
        <v>714</v>
      </c>
      <c r="C1781" s="51">
        <v>0.36971868316905454</v>
      </c>
      <c r="D1781" s="52">
        <v>220</v>
      </c>
      <c r="E1781" s="53">
        <v>0.43165467625899279</v>
      </c>
      <c r="G1781" s="2"/>
      <c r="L1781" s="5"/>
      <c r="O1781" s="2"/>
    </row>
    <row r="1782" spans="2:15" x14ac:dyDescent="0.2">
      <c r="B1782" s="50">
        <v>822</v>
      </c>
      <c r="C1782" s="51">
        <v>0.37027176401571138</v>
      </c>
      <c r="D1782" s="52">
        <v>220</v>
      </c>
      <c r="E1782" s="53">
        <v>0.43165467625899279</v>
      </c>
      <c r="G1782" s="2"/>
      <c r="L1782" s="5"/>
      <c r="O1782" s="2"/>
    </row>
    <row r="1783" spans="2:15" x14ac:dyDescent="0.2">
      <c r="B1783" s="50">
        <v>769</v>
      </c>
      <c r="C1783" s="51">
        <v>0.37285374191354115</v>
      </c>
      <c r="D1783" s="52">
        <v>220</v>
      </c>
      <c r="E1783" s="53">
        <v>0.43165467625899279</v>
      </c>
      <c r="G1783" s="2"/>
      <c r="L1783" s="5"/>
      <c r="O1783" s="2"/>
    </row>
    <row r="1784" spans="2:15" x14ac:dyDescent="0.2">
      <c r="B1784" s="50">
        <v>823</v>
      </c>
      <c r="C1784" s="51">
        <v>0.37708094386129631</v>
      </c>
      <c r="D1784" s="52">
        <v>220</v>
      </c>
      <c r="E1784" s="53">
        <v>0.42446043165467628</v>
      </c>
      <c r="G1784" s="2"/>
      <c r="L1784" s="5"/>
      <c r="O1784" s="2"/>
    </row>
    <row r="1785" spans="2:15" x14ac:dyDescent="0.2">
      <c r="B1785" s="50">
        <v>303</v>
      </c>
      <c r="C1785" s="51">
        <v>0.51739531021075769</v>
      </c>
      <c r="D1785" s="52">
        <v>220</v>
      </c>
      <c r="E1785" s="53">
        <v>0.30935251798561153</v>
      </c>
      <c r="G1785" s="2"/>
      <c r="L1785" s="5"/>
      <c r="O1785" s="2"/>
    </row>
    <row r="1786" spans="2:15" x14ac:dyDescent="0.2">
      <c r="B1786" s="50">
        <v>365</v>
      </c>
      <c r="C1786" s="51">
        <v>0.51976841977596899</v>
      </c>
      <c r="D1786" s="52">
        <v>220</v>
      </c>
      <c r="E1786" s="53">
        <v>0.30935251798561153</v>
      </c>
      <c r="G1786" s="2"/>
      <c r="L1786" s="5"/>
      <c r="O1786" s="2"/>
    </row>
    <row r="1787" spans="2:15" x14ac:dyDescent="0.2">
      <c r="B1787" s="50">
        <v>426</v>
      </c>
      <c r="C1787" s="51">
        <v>0.52238927045726025</v>
      </c>
      <c r="D1787" s="52">
        <v>220</v>
      </c>
      <c r="E1787" s="53">
        <v>0.31654676258992803</v>
      </c>
      <c r="G1787" s="2"/>
      <c r="L1787" s="5"/>
      <c r="O1787" s="2"/>
    </row>
    <row r="1788" spans="2:15" x14ac:dyDescent="0.2">
      <c r="B1788" s="50">
        <v>304</v>
      </c>
      <c r="C1788" s="51">
        <v>0.53062084673981613</v>
      </c>
      <c r="D1788" s="52">
        <v>220</v>
      </c>
      <c r="E1788" s="53">
        <v>0.2805755395683453</v>
      </c>
      <c r="G1788" s="2"/>
      <c r="L1788" s="5"/>
      <c r="O1788" s="2"/>
    </row>
    <row r="1789" spans="2:15" x14ac:dyDescent="0.2">
      <c r="B1789" s="50">
        <v>366</v>
      </c>
      <c r="C1789" s="51">
        <v>0.53296858437417649</v>
      </c>
      <c r="D1789" s="52">
        <v>220</v>
      </c>
      <c r="E1789" s="53">
        <v>0.2805755395683453</v>
      </c>
      <c r="G1789" s="2"/>
      <c r="L1789" s="5"/>
      <c r="O1789" s="2"/>
    </row>
    <row r="1790" spans="2:15" x14ac:dyDescent="0.2">
      <c r="B1790" s="50">
        <v>487</v>
      </c>
      <c r="C1790" s="51">
        <v>0.53487388382262624</v>
      </c>
      <c r="D1790" s="52">
        <v>220</v>
      </c>
      <c r="E1790" s="53">
        <v>0.31654676258992803</v>
      </c>
      <c r="G1790" s="2"/>
      <c r="L1790" s="5"/>
      <c r="O1790" s="2"/>
    </row>
    <row r="1791" spans="2:15" x14ac:dyDescent="0.2">
      <c r="B1791" s="50">
        <v>427</v>
      </c>
      <c r="C1791" s="51">
        <v>0.53557097827246047</v>
      </c>
      <c r="D1791" s="52">
        <v>220</v>
      </c>
      <c r="E1791" s="53">
        <v>0.31654676258992803</v>
      </c>
      <c r="G1791" s="2"/>
      <c r="L1791" s="5"/>
      <c r="O1791" s="2"/>
    </row>
    <row r="1792" spans="2:15" x14ac:dyDescent="0.2">
      <c r="B1792" s="50">
        <v>305</v>
      </c>
      <c r="C1792" s="51">
        <v>0.54493148293830729</v>
      </c>
      <c r="D1792" s="52">
        <v>220</v>
      </c>
      <c r="E1792" s="53">
        <v>0.23021582733812951</v>
      </c>
      <c r="G1792" s="2"/>
      <c r="L1792" s="5"/>
      <c r="O1792" s="2"/>
    </row>
    <row r="1793" spans="2:15" x14ac:dyDescent="0.2">
      <c r="B1793" s="50">
        <v>488</v>
      </c>
      <c r="C1793" s="51">
        <v>0.54639130203736641</v>
      </c>
      <c r="D1793" s="52">
        <v>220</v>
      </c>
      <c r="E1793" s="53">
        <v>0.23021582733812951</v>
      </c>
      <c r="G1793" s="2"/>
      <c r="L1793" s="5"/>
      <c r="O1793" s="2"/>
    </row>
    <row r="1794" spans="2:15" x14ac:dyDescent="0.2">
      <c r="B1794" s="50">
        <v>367</v>
      </c>
      <c r="C1794" s="51">
        <v>0.54693668432489662</v>
      </c>
      <c r="D1794" s="52">
        <v>220</v>
      </c>
      <c r="E1794" s="53">
        <v>0.23021582733812951</v>
      </c>
      <c r="G1794" s="2"/>
      <c r="L1794" s="5"/>
      <c r="O1794" s="2"/>
    </row>
    <row r="1795" spans="2:15" x14ac:dyDescent="0.2">
      <c r="B1795" s="50">
        <v>428</v>
      </c>
      <c r="C1795" s="51">
        <v>0.54782388912208158</v>
      </c>
      <c r="D1795" s="52">
        <v>220</v>
      </c>
      <c r="E1795" s="53">
        <v>0.23021582733812951</v>
      </c>
      <c r="G1795" s="2"/>
      <c r="L1795" s="5"/>
      <c r="O1795" s="2"/>
    </row>
    <row r="1796" spans="2:15" x14ac:dyDescent="0.2">
      <c r="B1796" s="50">
        <v>547</v>
      </c>
      <c r="C1796" s="51">
        <v>0.55218409023361426</v>
      </c>
      <c r="D1796" s="52">
        <v>220</v>
      </c>
      <c r="E1796" s="53">
        <v>0.23741007194244604</v>
      </c>
      <c r="G1796" s="2"/>
      <c r="L1796" s="5"/>
      <c r="O1796" s="2"/>
    </row>
    <row r="1797" spans="2:15" x14ac:dyDescent="0.2">
      <c r="B1797" s="50">
        <v>306</v>
      </c>
      <c r="C1797" s="51">
        <v>0.55895016638098094</v>
      </c>
      <c r="D1797" s="52">
        <v>220</v>
      </c>
      <c r="E1797" s="53">
        <v>0.23741007194244604</v>
      </c>
      <c r="G1797" s="2"/>
      <c r="L1797" s="5"/>
      <c r="O1797" s="2"/>
    </row>
    <row r="1798" spans="2:15" x14ac:dyDescent="0.2">
      <c r="B1798" s="50">
        <v>489</v>
      </c>
      <c r="C1798" s="51">
        <v>0.55978907842139336</v>
      </c>
      <c r="D1798" s="52">
        <v>220</v>
      </c>
      <c r="E1798" s="53">
        <v>0.19424460431654678</v>
      </c>
      <c r="G1798" s="2"/>
      <c r="L1798" s="5"/>
      <c r="O1798" s="2"/>
    </row>
    <row r="1799" spans="2:15" x14ac:dyDescent="0.2">
      <c r="B1799" s="50">
        <v>368</v>
      </c>
      <c r="C1799" s="51">
        <v>0.56089553932778102</v>
      </c>
      <c r="D1799" s="52">
        <v>220</v>
      </c>
      <c r="E1799" s="53">
        <v>0.23741007194244604</v>
      </c>
      <c r="G1799" s="2"/>
      <c r="L1799" s="5"/>
      <c r="O1799" s="2"/>
    </row>
    <row r="1800" spans="2:15" x14ac:dyDescent="0.2">
      <c r="B1800" s="50">
        <v>429</v>
      </c>
      <c r="C1800" s="51">
        <v>0.56142661592529075</v>
      </c>
      <c r="D1800" s="52">
        <v>220</v>
      </c>
      <c r="E1800" s="53">
        <v>0.23741007194244604</v>
      </c>
      <c r="G1800" s="2"/>
      <c r="L1800" s="5"/>
      <c r="O1800" s="2"/>
    </row>
    <row r="1801" spans="2:15" x14ac:dyDescent="0.2">
      <c r="B1801" s="50">
        <v>548</v>
      </c>
      <c r="C1801" s="51">
        <v>0.5648362145780953</v>
      </c>
      <c r="D1801" s="52">
        <v>220</v>
      </c>
      <c r="E1801" s="53">
        <v>0.19424460431654678</v>
      </c>
      <c r="G1801" s="2"/>
      <c r="L1801" s="5"/>
      <c r="O1801" s="2"/>
    </row>
    <row r="1802" spans="2:15" x14ac:dyDescent="0.2">
      <c r="B1802" s="50">
        <v>605</v>
      </c>
      <c r="C1802" s="51">
        <v>0.5663150705528629</v>
      </c>
      <c r="D1802" s="52">
        <v>220</v>
      </c>
      <c r="E1802" s="53">
        <v>0.26618705035971224</v>
      </c>
      <c r="G1802" s="2"/>
      <c r="L1802" s="5"/>
      <c r="O1802" s="2"/>
    </row>
    <row r="1803" spans="2:15" x14ac:dyDescent="0.2">
      <c r="B1803" s="50">
        <v>606</v>
      </c>
      <c r="C1803" s="51">
        <v>0.57949137720347765</v>
      </c>
      <c r="D1803" s="52">
        <v>220</v>
      </c>
      <c r="E1803" s="53">
        <v>0.2733812949640288</v>
      </c>
      <c r="G1803" s="2"/>
      <c r="L1803" s="5"/>
      <c r="O1803" s="2"/>
    </row>
    <row r="1804" spans="2:15" x14ac:dyDescent="0.2">
      <c r="B1804" s="50">
        <v>607</v>
      </c>
      <c r="C1804" s="51">
        <v>0.61295205507803807</v>
      </c>
      <c r="D1804" s="52">
        <v>220</v>
      </c>
      <c r="E1804" s="53">
        <v>0.18705035971223022</v>
      </c>
      <c r="G1804" s="2"/>
      <c r="L1804" s="5"/>
      <c r="O1804" s="2"/>
    </row>
    <row r="1805" spans="2:15" x14ac:dyDescent="0.2">
      <c r="B1805" s="50">
        <v>664</v>
      </c>
      <c r="C1805" s="51">
        <v>0.61876878598983531</v>
      </c>
      <c r="D1805" s="52">
        <v>220</v>
      </c>
      <c r="E1805" s="53">
        <v>0.23741007194244604</v>
      </c>
      <c r="G1805" s="2"/>
      <c r="L1805" s="5"/>
      <c r="O1805" s="2"/>
    </row>
    <row r="1806" spans="2:15" x14ac:dyDescent="0.2">
      <c r="B1806" s="50">
        <v>720</v>
      </c>
      <c r="C1806" s="51">
        <v>0.62613677289039038</v>
      </c>
      <c r="D1806" s="52">
        <v>220</v>
      </c>
      <c r="E1806" s="53">
        <v>0.26618705035971224</v>
      </c>
      <c r="G1806" s="2"/>
      <c r="L1806" s="5"/>
      <c r="O1806" s="2"/>
    </row>
    <row r="1807" spans="2:15" x14ac:dyDescent="0.2">
      <c r="B1807" s="50">
        <v>775</v>
      </c>
      <c r="C1807" s="51">
        <v>0.62675304275081434</v>
      </c>
      <c r="D1807" s="52">
        <v>220</v>
      </c>
      <c r="E1807" s="53">
        <v>0.22302158273381295</v>
      </c>
      <c r="G1807" s="2"/>
      <c r="L1807" s="5"/>
      <c r="O1807" s="2"/>
    </row>
    <row r="1808" spans="2:15" x14ac:dyDescent="0.2">
      <c r="B1808" s="50">
        <v>921</v>
      </c>
      <c r="C1808" s="51">
        <v>0.34929195238431865</v>
      </c>
      <c r="D1808" s="52">
        <v>221</v>
      </c>
      <c r="E1808" s="53">
        <v>0.5467625899280576</v>
      </c>
      <c r="G1808" s="2"/>
      <c r="L1808" s="5"/>
      <c r="O1808" s="2"/>
    </row>
    <row r="1809" spans="2:15" x14ac:dyDescent="0.2">
      <c r="B1809" s="50">
        <v>686</v>
      </c>
      <c r="C1809" s="51">
        <v>0.19905109845470759</v>
      </c>
      <c r="D1809" s="52">
        <v>222</v>
      </c>
      <c r="E1809" s="53">
        <v>0.76258992805755399</v>
      </c>
      <c r="G1809" s="2"/>
      <c r="L1809" s="5"/>
      <c r="O1809" s="2"/>
    </row>
    <row r="1810" spans="2:15" x14ac:dyDescent="0.2">
      <c r="B1810" s="50">
        <v>630</v>
      </c>
      <c r="C1810" s="51">
        <v>0.19991308411980346</v>
      </c>
      <c r="D1810" s="52">
        <v>222</v>
      </c>
      <c r="E1810" s="53">
        <v>0.76978417266187049</v>
      </c>
      <c r="G1810" s="2"/>
      <c r="L1810" s="5"/>
      <c r="O1810" s="2"/>
    </row>
    <row r="1811" spans="2:15" x14ac:dyDescent="0.2">
      <c r="B1811" s="50">
        <v>573</v>
      </c>
      <c r="C1811" s="51">
        <v>0.20060085724404708</v>
      </c>
      <c r="D1811" s="52">
        <v>222</v>
      </c>
      <c r="E1811" s="53">
        <v>0.76978417266187049</v>
      </c>
      <c r="G1811" s="2"/>
      <c r="L1811" s="5"/>
      <c r="O1811" s="2"/>
    </row>
    <row r="1812" spans="2:15" x14ac:dyDescent="0.2">
      <c r="B1812" s="50">
        <v>396</v>
      </c>
      <c r="C1812" s="51">
        <v>0.20109417875860014</v>
      </c>
      <c r="D1812" s="52">
        <v>222</v>
      </c>
      <c r="E1812" s="53">
        <v>0.76978417266187049</v>
      </c>
      <c r="G1812" s="2"/>
      <c r="L1812" s="5"/>
      <c r="O1812" s="2"/>
    </row>
    <row r="1813" spans="2:15" x14ac:dyDescent="0.2">
      <c r="B1813" s="50">
        <v>741</v>
      </c>
      <c r="C1813" s="51">
        <v>0.20186322704660165</v>
      </c>
      <c r="D1813" s="52">
        <v>222</v>
      </c>
      <c r="E1813" s="53">
        <v>0.76258992805755399</v>
      </c>
      <c r="G1813" s="2"/>
      <c r="L1813" s="5"/>
      <c r="O1813" s="2"/>
    </row>
    <row r="1814" spans="2:15" x14ac:dyDescent="0.2">
      <c r="B1814" s="50">
        <v>795</v>
      </c>
      <c r="C1814" s="51">
        <v>0.20228032961500431</v>
      </c>
      <c r="D1814" s="52">
        <v>222</v>
      </c>
      <c r="E1814" s="53">
        <v>0.76258992805755399</v>
      </c>
      <c r="G1814" s="2"/>
      <c r="L1814" s="5"/>
      <c r="O1814" s="2"/>
    </row>
    <row r="1815" spans="2:15" x14ac:dyDescent="0.2">
      <c r="B1815" s="50">
        <v>456</v>
      </c>
      <c r="C1815" s="51">
        <v>0.20280387544230227</v>
      </c>
      <c r="D1815" s="52">
        <v>222</v>
      </c>
      <c r="E1815" s="53">
        <v>0.76978417266187049</v>
      </c>
      <c r="G1815" s="2"/>
      <c r="L1815" s="5"/>
      <c r="O1815" s="2"/>
    </row>
    <row r="1816" spans="2:15" x14ac:dyDescent="0.2">
      <c r="B1816" s="50">
        <v>848</v>
      </c>
      <c r="C1816" s="51">
        <v>0.20352779460059545</v>
      </c>
      <c r="D1816" s="52">
        <v>222</v>
      </c>
      <c r="E1816" s="53">
        <v>0.76258992805755399</v>
      </c>
      <c r="G1816" s="2"/>
      <c r="L1816" s="5"/>
      <c r="O1816" s="2"/>
    </row>
    <row r="1817" spans="2:15" x14ac:dyDescent="0.2">
      <c r="B1817" s="50">
        <v>515</v>
      </c>
      <c r="C1817" s="51">
        <v>0.20488138215998852</v>
      </c>
      <c r="D1817" s="52">
        <v>222</v>
      </c>
      <c r="E1817" s="53">
        <v>0.76258992805755399</v>
      </c>
      <c r="G1817" s="2"/>
      <c r="L1817" s="5"/>
      <c r="O1817" s="2"/>
    </row>
    <row r="1818" spans="2:15" x14ac:dyDescent="0.2">
      <c r="B1818" s="50">
        <v>685</v>
      </c>
      <c r="C1818" s="51">
        <v>0.31201011714070093</v>
      </c>
      <c r="D1818" s="52">
        <v>222</v>
      </c>
      <c r="E1818" s="53">
        <v>0.67625899280575541</v>
      </c>
      <c r="G1818" s="2"/>
      <c r="L1818" s="5"/>
      <c r="O1818" s="2"/>
    </row>
    <row r="1819" spans="2:15" x14ac:dyDescent="0.2">
      <c r="B1819" s="50">
        <v>480</v>
      </c>
      <c r="C1819" s="51">
        <v>0.3130138470202749</v>
      </c>
      <c r="D1819" s="52">
        <v>222</v>
      </c>
      <c r="E1819" s="53">
        <v>0.40287769784172661</v>
      </c>
      <c r="G1819" s="2"/>
      <c r="L1819" s="5"/>
      <c r="O1819" s="2"/>
    </row>
    <row r="1820" spans="2:15" x14ac:dyDescent="0.2">
      <c r="B1820" s="50">
        <v>629</v>
      </c>
      <c r="C1820" s="51">
        <v>0.31391921813895651</v>
      </c>
      <c r="D1820" s="52">
        <v>222</v>
      </c>
      <c r="E1820" s="53">
        <v>0.6690647482014388</v>
      </c>
      <c r="G1820" s="2"/>
      <c r="L1820" s="5"/>
      <c r="O1820" s="2"/>
    </row>
    <row r="1821" spans="2:15" x14ac:dyDescent="0.2">
      <c r="B1821" s="50">
        <v>599</v>
      </c>
      <c r="C1821" s="51">
        <v>0.31489726793642836</v>
      </c>
      <c r="D1821" s="52">
        <v>222</v>
      </c>
      <c r="E1821" s="53">
        <v>0.37410071942446044</v>
      </c>
      <c r="G1821" s="2"/>
      <c r="L1821" s="5"/>
      <c r="O1821" s="2"/>
    </row>
    <row r="1822" spans="2:15" x14ac:dyDescent="0.2">
      <c r="B1822" s="50">
        <v>740</v>
      </c>
      <c r="C1822" s="51">
        <v>0.3150363276203817</v>
      </c>
      <c r="D1822" s="52">
        <v>222</v>
      </c>
      <c r="E1822" s="53">
        <v>0.6690647482014388</v>
      </c>
      <c r="G1822" s="2"/>
      <c r="L1822" s="5"/>
      <c r="O1822" s="2"/>
    </row>
    <row r="1823" spans="2:15" x14ac:dyDescent="0.2">
      <c r="B1823" s="50">
        <v>572</v>
      </c>
      <c r="C1823" s="51">
        <v>0.31508077958665515</v>
      </c>
      <c r="D1823" s="52">
        <v>222</v>
      </c>
      <c r="E1823" s="53">
        <v>0.6690647482014388</v>
      </c>
      <c r="G1823" s="2"/>
      <c r="L1823" s="5"/>
      <c r="O1823" s="2"/>
    </row>
    <row r="1824" spans="2:15" x14ac:dyDescent="0.2">
      <c r="B1824" s="50">
        <v>794</v>
      </c>
      <c r="C1824" s="51">
        <v>0.31514265778594652</v>
      </c>
      <c r="D1824" s="52">
        <v>222</v>
      </c>
      <c r="E1824" s="53">
        <v>0.6690647482014388</v>
      </c>
      <c r="G1824" s="2"/>
      <c r="L1824" s="5"/>
      <c r="O1824" s="2"/>
    </row>
    <row r="1825" spans="2:15" x14ac:dyDescent="0.2">
      <c r="B1825" s="50">
        <v>420</v>
      </c>
      <c r="C1825" s="51">
        <v>0.3153151550561718</v>
      </c>
      <c r="D1825" s="52">
        <v>222</v>
      </c>
      <c r="E1825" s="53">
        <v>0.4460431654676259</v>
      </c>
      <c r="G1825" s="2"/>
      <c r="L1825" s="5"/>
      <c r="O1825" s="2"/>
    </row>
    <row r="1826" spans="2:15" x14ac:dyDescent="0.2">
      <c r="B1826" s="50">
        <v>297</v>
      </c>
      <c r="C1826" s="51">
        <v>0.31833886228645247</v>
      </c>
      <c r="D1826" s="52">
        <v>222</v>
      </c>
      <c r="E1826" s="53">
        <v>0.4460431654676259</v>
      </c>
      <c r="G1826" s="2"/>
      <c r="L1826" s="5"/>
      <c r="O1826" s="2"/>
    </row>
    <row r="1827" spans="2:15" x14ac:dyDescent="0.2">
      <c r="B1827" s="50">
        <v>395</v>
      </c>
      <c r="C1827" s="51">
        <v>0.31951048154640649</v>
      </c>
      <c r="D1827" s="52">
        <v>222</v>
      </c>
      <c r="E1827" s="53">
        <v>0.6690647482014388</v>
      </c>
      <c r="G1827" s="2"/>
      <c r="L1827" s="5"/>
      <c r="O1827" s="2"/>
    </row>
    <row r="1828" spans="2:15" x14ac:dyDescent="0.2">
      <c r="B1828" s="50">
        <v>656</v>
      </c>
      <c r="C1828" s="51">
        <v>0.31970918941216053</v>
      </c>
      <c r="D1828" s="52">
        <v>222</v>
      </c>
      <c r="E1828" s="53">
        <v>0.37410071942446044</v>
      </c>
      <c r="G1828" s="2"/>
      <c r="L1828" s="5"/>
      <c r="O1828" s="2"/>
    </row>
    <row r="1829" spans="2:15" x14ac:dyDescent="0.2">
      <c r="B1829" s="50">
        <v>359</v>
      </c>
      <c r="C1829" s="51">
        <v>0.31995107047485249</v>
      </c>
      <c r="D1829" s="52">
        <v>222</v>
      </c>
      <c r="E1829" s="53">
        <v>0.4460431654676259</v>
      </c>
      <c r="G1829" s="2"/>
      <c r="L1829" s="5"/>
      <c r="O1829" s="2"/>
    </row>
    <row r="1830" spans="2:15" x14ac:dyDescent="0.2">
      <c r="B1830" s="50">
        <v>455</v>
      </c>
      <c r="C1830" s="51">
        <v>0.32111950301315029</v>
      </c>
      <c r="D1830" s="52">
        <v>222</v>
      </c>
      <c r="E1830" s="53">
        <v>0.66187050359712229</v>
      </c>
      <c r="G1830" s="2"/>
      <c r="L1830" s="5"/>
      <c r="O1830" s="2"/>
    </row>
    <row r="1831" spans="2:15" x14ac:dyDescent="0.2">
      <c r="B1831" s="50">
        <v>514</v>
      </c>
      <c r="C1831" s="51">
        <v>0.32202799659519232</v>
      </c>
      <c r="D1831" s="52">
        <v>222</v>
      </c>
      <c r="E1831" s="53">
        <v>0.66187050359712229</v>
      </c>
      <c r="G1831" s="2"/>
      <c r="L1831" s="5"/>
      <c r="O1831" s="2"/>
    </row>
    <row r="1832" spans="2:15" x14ac:dyDescent="0.2">
      <c r="B1832" s="50">
        <v>484</v>
      </c>
      <c r="C1832" s="51">
        <v>0.33606837153190072</v>
      </c>
      <c r="D1832" s="52">
        <v>222</v>
      </c>
      <c r="E1832" s="53">
        <v>0.41726618705035973</v>
      </c>
      <c r="G1832" s="2"/>
      <c r="L1832" s="5"/>
      <c r="O1832" s="2"/>
    </row>
    <row r="1833" spans="2:15" x14ac:dyDescent="0.2">
      <c r="B1833" s="50">
        <v>424</v>
      </c>
      <c r="C1833" s="51">
        <v>0.33665582794954341</v>
      </c>
      <c r="D1833" s="52">
        <v>222</v>
      </c>
      <c r="E1833" s="53">
        <v>0.41726618705035973</v>
      </c>
      <c r="G1833" s="2"/>
      <c r="L1833" s="5"/>
      <c r="O1833" s="2"/>
    </row>
    <row r="1834" spans="2:15" x14ac:dyDescent="0.2">
      <c r="B1834" s="50">
        <v>543</v>
      </c>
      <c r="C1834" s="51">
        <v>0.34517406405826156</v>
      </c>
      <c r="D1834" s="52">
        <v>222</v>
      </c>
      <c r="E1834" s="53">
        <v>0.41726618705035973</v>
      </c>
      <c r="G1834" s="2"/>
      <c r="L1834" s="5"/>
      <c r="O1834" s="2"/>
    </row>
    <row r="1835" spans="2:15" x14ac:dyDescent="0.2">
      <c r="B1835" s="50">
        <v>923</v>
      </c>
      <c r="C1835" s="51">
        <v>0.3529721253128717</v>
      </c>
      <c r="D1835" s="52">
        <v>222</v>
      </c>
      <c r="E1835" s="53">
        <v>0.48201438848920863</v>
      </c>
      <c r="G1835" s="2"/>
      <c r="L1835" s="5"/>
      <c r="O1835" s="2"/>
    </row>
    <row r="1836" spans="2:15" x14ac:dyDescent="0.2">
      <c r="B1836" s="50">
        <v>922</v>
      </c>
      <c r="C1836" s="51">
        <v>0.35396319552677213</v>
      </c>
      <c r="D1836" s="52">
        <v>222</v>
      </c>
      <c r="E1836" s="53">
        <v>0.5539568345323741</v>
      </c>
      <c r="G1836" s="2"/>
      <c r="L1836" s="5"/>
      <c r="O1836" s="2"/>
    </row>
    <row r="1837" spans="2:15" x14ac:dyDescent="0.2">
      <c r="B1837" s="50">
        <v>974</v>
      </c>
      <c r="C1837" s="51">
        <v>0.3576863238060467</v>
      </c>
      <c r="D1837" s="52">
        <v>222</v>
      </c>
      <c r="E1837" s="53">
        <v>0.48201438848920863</v>
      </c>
      <c r="G1837" s="2"/>
      <c r="L1837" s="5"/>
      <c r="O1837" s="2"/>
    </row>
    <row r="1838" spans="2:15" x14ac:dyDescent="0.2">
      <c r="B1838" s="50">
        <v>973</v>
      </c>
      <c r="C1838" s="51">
        <v>0.35789604015508392</v>
      </c>
      <c r="D1838" s="52">
        <v>222</v>
      </c>
      <c r="E1838" s="53">
        <v>0.5539568345323741</v>
      </c>
      <c r="G1838" s="2"/>
      <c r="L1838" s="5"/>
      <c r="O1838" s="2"/>
    </row>
    <row r="1839" spans="2:15" x14ac:dyDescent="0.2">
      <c r="B1839" s="50">
        <v>601</v>
      </c>
      <c r="C1839" s="51">
        <v>0.35854029400237053</v>
      </c>
      <c r="D1839" s="52">
        <v>222</v>
      </c>
      <c r="E1839" s="53">
        <v>0.42446043165467628</v>
      </c>
      <c r="G1839" s="2"/>
      <c r="L1839" s="5"/>
      <c r="O1839" s="2"/>
    </row>
    <row r="1840" spans="2:15" x14ac:dyDescent="0.2">
      <c r="B1840" s="50">
        <v>658</v>
      </c>
      <c r="C1840" s="51">
        <v>0.36419295015628983</v>
      </c>
      <c r="D1840" s="52">
        <v>222</v>
      </c>
      <c r="E1840" s="53">
        <v>0.43165467625899279</v>
      </c>
      <c r="G1840" s="2"/>
      <c r="L1840" s="5"/>
      <c r="O1840" s="2"/>
    </row>
    <row r="1841" spans="2:15" x14ac:dyDescent="0.2">
      <c r="B1841" s="50">
        <v>251</v>
      </c>
      <c r="C1841" s="51">
        <v>0.82190565713745678</v>
      </c>
      <c r="D1841" s="52">
        <v>222</v>
      </c>
      <c r="E1841" s="53">
        <v>0.20863309352517986</v>
      </c>
      <c r="G1841" s="2"/>
      <c r="L1841" s="5"/>
      <c r="O1841" s="2"/>
    </row>
    <row r="1842" spans="2:15" x14ac:dyDescent="0.2">
      <c r="B1842" s="50">
        <v>252</v>
      </c>
      <c r="C1842" s="51">
        <v>0.83481792334408567</v>
      </c>
      <c r="D1842" s="52">
        <v>222</v>
      </c>
      <c r="E1842" s="53">
        <v>0.20863309352517986</v>
      </c>
      <c r="G1842" s="2"/>
      <c r="L1842" s="5"/>
      <c r="O1842" s="2"/>
    </row>
    <row r="1843" spans="2:15" x14ac:dyDescent="0.2">
      <c r="B1843" s="50">
        <v>689</v>
      </c>
      <c r="C1843" s="51">
        <v>0.22291162509051732</v>
      </c>
      <c r="D1843" s="52">
        <v>223</v>
      </c>
      <c r="E1843" s="53">
        <v>0.75539568345323738</v>
      </c>
      <c r="G1843" s="2"/>
      <c r="L1843" s="5"/>
      <c r="O1843" s="2"/>
    </row>
    <row r="1844" spans="2:15" x14ac:dyDescent="0.2">
      <c r="B1844" s="50">
        <v>633</v>
      </c>
      <c r="C1844" s="51">
        <v>0.22423698320801111</v>
      </c>
      <c r="D1844" s="52">
        <v>223</v>
      </c>
      <c r="E1844" s="53">
        <v>0.75539568345323738</v>
      </c>
      <c r="G1844" s="2"/>
      <c r="L1844" s="5"/>
      <c r="O1844" s="2"/>
    </row>
    <row r="1845" spans="2:15" x14ac:dyDescent="0.2">
      <c r="B1845" s="50">
        <v>798</v>
      </c>
      <c r="C1845" s="51">
        <v>0.22504638988505887</v>
      </c>
      <c r="D1845" s="52">
        <v>223</v>
      </c>
      <c r="E1845" s="53">
        <v>0.74100719424460426</v>
      </c>
      <c r="G1845" s="2"/>
      <c r="L1845" s="5"/>
      <c r="O1845" s="2"/>
    </row>
    <row r="1846" spans="2:15" x14ac:dyDescent="0.2">
      <c r="B1846" s="50">
        <v>744</v>
      </c>
      <c r="C1846" s="51">
        <v>0.22505495309397527</v>
      </c>
      <c r="D1846" s="52">
        <v>223</v>
      </c>
      <c r="E1846" s="53">
        <v>0.74100719424460426</v>
      </c>
      <c r="G1846" s="2"/>
      <c r="L1846" s="5"/>
      <c r="O1846" s="2"/>
    </row>
    <row r="1847" spans="2:15" x14ac:dyDescent="0.2">
      <c r="B1847" s="50">
        <v>576</v>
      </c>
      <c r="C1847" s="51">
        <v>0.22535086168433227</v>
      </c>
      <c r="D1847" s="52">
        <v>223</v>
      </c>
      <c r="E1847" s="53">
        <v>0.74100719424460426</v>
      </c>
      <c r="G1847" s="2"/>
      <c r="L1847" s="5"/>
      <c r="O1847" s="2"/>
    </row>
    <row r="1848" spans="2:15" x14ac:dyDescent="0.2">
      <c r="B1848" s="50">
        <v>518</v>
      </c>
      <c r="C1848" s="51">
        <v>0.23035570174608266</v>
      </c>
      <c r="D1848" s="52">
        <v>223</v>
      </c>
      <c r="E1848" s="53">
        <v>0.74100719424460426</v>
      </c>
      <c r="G1848" s="2"/>
      <c r="L1848" s="5"/>
      <c r="O1848" s="2"/>
    </row>
    <row r="1849" spans="2:15" x14ac:dyDescent="0.2">
      <c r="B1849" s="50">
        <v>301</v>
      </c>
      <c r="C1849" s="51">
        <v>0.33070416296105232</v>
      </c>
      <c r="D1849" s="52">
        <v>223</v>
      </c>
      <c r="E1849" s="53">
        <v>0.33812949640287771</v>
      </c>
      <c r="G1849" s="2"/>
      <c r="L1849" s="5"/>
      <c r="O1849" s="2"/>
    </row>
    <row r="1850" spans="2:15" x14ac:dyDescent="0.2">
      <c r="B1850" s="50">
        <v>363</v>
      </c>
      <c r="C1850" s="51">
        <v>0.33333432578825428</v>
      </c>
      <c r="D1850" s="52">
        <v>223</v>
      </c>
      <c r="E1850" s="53">
        <v>0.33812949640287771</v>
      </c>
      <c r="G1850" s="2"/>
      <c r="L1850" s="5"/>
      <c r="O1850" s="2"/>
    </row>
    <row r="1851" spans="2:15" x14ac:dyDescent="0.2">
      <c r="B1851" s="50">
        <v>951</v>
      </c>
      <c r="C1851" s="51">
        <v>0.19292038490193453</v>
      </c>
      <c r="D1851" s="52">
        <v>224</v>
      </c>
      <c r="E1851" s="53">
        <v>0.76978417266187049</v>
      </c>
      <c r="G1851" s="2"/>
      <c r="L1851" s="5"/>
      <c r="O1851" s="2"/>
    </row>
    <row r="1852" spans="2:15" x14ac:dyDescent="0.2">
      <c r="B1852" s="50">
        <v>900</v>
      </c>
      <c r="C1852" s="51">
        <v>0.19582499768436201</v>
      </c>
      <c r="D1852" s="52">
        <v>224</v>
      </c>
      <c r="E1852" s="53">
        <v>0.76978417266187049</v>
      </c>
      <c r="G1852" s="2"/>
      <c r="L1852" s="5"/>
      <c r="O1852" s="2"/>
    </row>
    <row r="1853" spans="2:15" x14ac:dyDescent="0.2">
      <c r="B1853" s="50">
        <v>1153</v>
      </c>
      <c r="C1853" s="51">
        <v>0.38171473139390344</v>
      </c>
      <c r="D1853" s="52">
        <v>224</v>
      </c>
      <c r="E1853" s="53">
        <v>0.53956834532374098</v>
      </c>
      <c r="G1853" s="2"/>
      <c r="L1853" s="5"/>
      <c r="O1853" s="2"/>
    </row>
    <row r="1854" spans="2:15" x14ac:dyDescent="0.2">
      <c r="B1854" s="50">
        <v>854</v>
      </c>
      <c r="C1854" s="51">
        <v>0.38718341086114161</v>
      </c>
      <c r="D1854" s="52">
        <v>224</v>
      </c>
      <c r="E1854" s="53">
        <v>0.52517985611510787</v>
      </c>
      <c r="G1854" s="2"/>
      <c r="L1854" s="5"/>
      <c r="O1854" s="2"/>
    </row>
    <row r="1855" spans="2:15" x14ac:dyDescent="0.2">
      <c r="B1855" s="50">
        <v>856</v>
      </c>
      <c r="C1855" s="51">
        <v>0.40410101692124023</v>
      </c>
      <c r="D1855" s="52">
        <v>224</v>
      </c>
      <c r="E1855" s="53">
        <v>0.53956834532374098</v>
      </c>
      <c r="G1855" s="2"/>
      <c r="L1855" s="5"/>
      <c r="O1855" s="2"/>
    </row>
    <row r="1856" spans="2:15" x14ac:dyDescent="0.2">
      <c r="B1856" s="50">
        <v>287</v>
      </c>
      <c r="C1856" s="51">
        <v>0.15421157144442776</v>
      </c>
      <c r="D1856" s="52">
        <v>225</v>
      </c>
      <c r="E1856" s="53">
        <v>0.61870503597122306</v>
      </c>
      <c r="G1856" s="2"/>
      <c r="L1856" s="5"/>
      <c r="O1856" s="2"/>
    </row>
    <row r="1857" spans="2:15" x14ac:dyDescent="0.2">
      <c r="B1857" s="50">
        <v>349</v>
      </c>
      <c r="C1857" s="51">
        <v>0.15439082584600916</v>
      </c>
      <c r="D1857" s="52">
        <v>225</v>
      </c>
      <c r="E1857" s="53">
        <v>0.61870503597122306</v>
      </c>
      <c r="G1857" s="2"/>
      <c r="L1857" s="5"/>
      <c r="O1857" s="2"/>
    </row>
    <row r="1858" spans="2:15" x14ac:dyDescent="0.2">
      <c r="B1858" s="50">
        <v>288</v>
      </c>
      <c r="C1858" s="51">
        <v>0.16770167368385613</v>
      </c>
      <c r="D1858" s="52">
        <v>225</v>
      </c>
      <c r="E1858" s="53">
        <v>0.61151079136690645</v>
      </c>
      <c r="G1858" s="2"/>
      <c r="L1858" s="5"/>
      <c r="O1858" s="2"/>
    </row>
    <row r="1859" spans="2:15" x14ac:dyDescent="0.2">
      <c r="B1859" s="50">
        <v>350</v>
      </c>
      <c r="C1859" s="51">
        <v>0.16848168898885896</v>
      </c>
      <c r="D1859" s="52">
        <v>225</v>
      </c>
      <c r="E1859" s="53">
        <v>0.61151079136690645</v>
      </c>
      <c r="G1859" s="2"/>
      <c r="L1859" s="5"/>
      <c r="O1859" s="2"/>
    </row>
    <row r="1860" spans="2:15" x14ac:dyDescent="0.2">
      <c r="B1860" s="50">
        <v>289</v>
      </c>
      <c r="C1860" s="51">
        <v>0.17240007399169954</v>
      </c>
      <c r="D1860" s="52">
        <v>225</v>
      </c>
      <c r="E1860" s="53">
        <v>0.61870503597122306</v>
      </c>
      <c r="G1860" s="2"/>
      <c r="L1860" s="5"/>
      <c r="O1860" s="2"/>
    </row>
    <row r="1861" spans="2:15" x14ac:dyDescent="0.2">
      <c r="B1861" s="50">
        <v>351</v>
      </c>
      <c r="C1861" s="51">
        <v>0.17323960457090359</v>
      </c>
      <c r="D1861" s="52">
        <v>225</v>
      </c>
      <c r="E1861" s="53">
        <v>0.61870503597122306</v>
      </c>
      <c r="G1861" s="2"/>
      <c r="L1861" s="5"/>
      <c r="O1861" s="2"/>
    </row>
    <row r="1862" spans="2:15" x14ac:dyDescent="0.2">
      <c r="B1862" s="50">
        <v>290</v>
      </c>
      <c r="C1862" s="51">
        <v>0.17446578980940852</v>
      </c>
      <c r="D1862" s="52">
        <v>225</v>
      </c>
      <c r="E1862" s="53">
        <v>0.53956834532374098</v>
      </c>
      <c r="G1862" s="2"/>
      <c r="L1862" s="5"/>
      <c r="O1862" s="2"/>
    </row>
    <row r="1863" spans="2:15" x14ac:dyDescent="0.2">
      <c r="B1863" s="50">
        <v>352</v>
      </c>
      <c r="C1863" s="51">
        <v>0.1752211626152741</v>
      </c>
      <c r="D1863" s="52">
        <v>225</v>
      </c>
      <c r="E1863" s="53">
        <v>0.53956834532374098</v>
      </c>
      <c r="G1863" s="2"/>
      <c r="L1863" s="5"/>
      <c r="O1863" s="2"/>
    </row>
    <row r="1864" spans="2:15" x14ac:dyDescent="0.2">
      <c r="B1864" s="50">
        <v>954</v>
      </c>
      <c r="C1864" s="51">
        <v>0.21212639125761645</v>
      </c>
      <c r="D1864" s="52">
        <v>225</v>
      </c>
      <c r="E1864" s="53">
        <v>0.75539568345323738</v>
      </c>
      <c r="G1864" s="2"/>
      <c r="L1864" s="5"/>
      <c r="O1864" s="2"/>
    </row>
    <row r="1865" spans="2:15" x14ac:dyDescent="0.2">
      <c r="B1865" s="50">
        <v>903</v>
      </c>
      <c r="C1865" s="51">
        <v>0.21546571013950644</v>
      </c>
      <c r="D1865" s="52">
        <v>225</v>
      </c>
      <c r="E1865" s="53">
        <v>0.75539568345323738</v>
      </c>
      <c r="G1865" s="2"/>
      <c r="L1865" s="5"/>
      <c r="O1865" s="2"/>
    </row>
    <row r="1866" spans="2:15" x14ac:dyDescent="0.2">
      <c r="B1866" s="50">
        <v>291</v>
      </c>
      <c r="C1866" s="51">
        <v>0.21590610186936188</v>
      </c>
      <c r="D1866" s="52">
        <v>225</v>
      </c>
      <c r="E1866" s="53">
        <v>0.59712230215827333</v>
      </c>
      <c r="G1866" s="2"/>
      <c r="L1866" s="5"/>
      <c r="O1866" s="2"/>
    </row>
    <row r="1867" spans="2:15" x14ac:dyDescent="0.2">
      <c r="B1867" s="50">
        <v>353</v>
      </c>
      <c r="C1867" s="51">
        <v>0.21647823776733122</v>
      </c>
      <c r="D1867" s="52">
        <v>225</v>
      </c>
      <c r="E1867" s="53">
        <v>0.59712230215827333</v>
      </c>
      <c r="G1867" s="2"/>
      <c r="L1867" s="5"/>
      <c r="O1867" s="2"/>
    </row>
    <row r="1868" spans="2:15" x14ac:dyDescent="0.2">
      <c r="B1868" s="50">
        <v>292</v>
      </c>
      <c r="C1868" s="51">
        <v>0.23992043704914523</v>
      </c>
      <c r="D1868" s="52">
        <v>225</v>
      </c>
      <c r="E1868" s="53">
        <v>0.51079136690647486</v>
      </c>
      <c r="G1868" s="2"/>
      <c r="L1868" s="5"/>
      <c r="O1868" s="2"/>
    </row>
    <row r="1869" spans="2:15" x14ac:dyDescent="0.2">
      <c r="B1869" s="50">
        <v>354</v>
      </c>
      <c r="C1869" s="51">
        <v>0.24074882997352742</v>
      </c>
      <c r="D1869" s="52">
        <v>225</v>
      </c>
      <c r="E1869" s="53">
        <v>0.51079136690647486</v>
      </c>
      <c r="G1869" s="2"/>
      <c r="L1869" s="5"/>
      <c r="O1869" s="2"/>
    </row>
    <row r="1870" spans="2:15" x14ac:dyDescent="0.2">
      <c r="B1870" s="50">
        <v>293</v>
      </c>
      <c r="C1870" s="51">
        <v>0.28185866030401818</v>
      </c>
      <c r="D1870" s="52">
        <v>225</v>
      </c>
      <c r="E1870" s="53">
        <v>0.50359712230215825</v>
      </c>
      <c r="G1870" s="2"/>
      <c r="L1870" s="5"/>
      <c r="O1870" s="2"/>
    </row>
    <row r="1871" spans="2:15" x14ac:dyDescent="0.2">
      <c r="B1871" s="50">
        <v>355</v>
      </c>
      <c r="C1871" s="51">
        <v>0.28269023914883962</v>
      </c>
      <c r="D1871" s="52">
        <v>225</v>
      </c>
      <c r="E1871" s="53">
        <v>0.50359712230215825</v>
      </c>
      <c r="G1871" s="2"/>
      <c r="L1871" s="5"/>
      <c r="O1871" s="2"/>
    </row>
    <row r="1872" spans="2:15" x14ac:dyDescent="0.2">
      <c r="B1872" s="50">
        <v>853</v>
      </c>
      <c r="C1872" s="51">
        <v>0.39690506599055497</v>
      </c>
      <c r="D1872" s="52">
        <v>225</v>
      </c>
      <c r="E1872" s="53">
        <v>0.52517985611510787</v>
      </c>
      <c r="G1872" s="2"/>
      <c r="L1872" s="5"/>
      <c r="O1872" s="2"/>
    </row>
    <row r="1873" spans="2:15" x14ac:dyDescent="0.2">
      <c r="B1873" s="50">
        <v>855</v>
      </c>
      <c r="C1873" s="51">
        <v>0.41551935943198015</v>
      </c>
      <c r="D1873" s="52">
        <v>225</v>
      </c>
      <c r="E1873" s="53">
        <v>0.53956834532374098</v>
      </c>
      <c r="G1873" s="2"/>
      <c r="L1873" s="5"/>
      <c r="O1873" s="2"/>
    </row>
    <row r="1874" spans="2:15" x14ac:dyDescent="0.2">
      <c r="B1874" s="50">
        <v>83</v>
      </c>
      <c r="C1874" s="51">
        <v>0.17093034374886662</v>
      </c>
      <c r="D1874" s="52">
        <v>226</v>
      </c>
      <c r="E1874" s="53">
        <v>0.82733812949640284</v>
      </c>
      <c r="G1874" s="2"/>
      <c r="L1874" s="5"/>
      <c r="O1874" s="2"/>
    </row>
    <row r="1875" spans="2:15" x14ac:dyDescent="0.2">
      <c r="B1875" s="50">
        <v>2076</v>
      </c>
      <c r="C1875" s="51">
        <v>0.17093034374886662</v>
      </c>
      <c r="D1875" s="52">
        <v>226</v>
      </c>
      <c r="E1875" s="53">
        <v>0.82733812949640284</v>
      </c>
      <c r="G1875" s="2"/>
      <c r="L1875" s="5"/>
      <c r="O1875" s="2"/>
    </row>
    <row r="1876" spans="2:15" x14ac:dyDescent="0.2">
      <c r="B1876" s="50">
        <v>82</v>
      </c>
      <c r="C1876" s="51">
        <v>0.18279261403928948</v>
      </c>
      <c r="D1876" s="52">
        <v>226</v>
      </c>
      <c r="E1876" s="53">
        <v>0.82014388489208634</v>
      </c>
      <c r="G1876" s="2"/>
      <c r="L1876" s="5"/>
      <c r="O1876" s="2"/>
    </row>
    <row r="1877" spans="2:15" x14ac:dyDescent="0.2">
      <c r="B1877" s="50">
        <v>2092</v>
      </c>
      <c r="C1877" s="51">
        <v>0.18279261403928948</v>
      </c>
      <c r="D1877" s="52">
        <v>226</v>
      </c>
      <c r="E1877" s="53">
        <v>0.82014388489208634</v>
      </c>
      <c r="G1877" s="2"/>
      <c r="L1877" s="5"/>
      <c r="O1877" s="2"/>
    </row>
    <row r="1878" spans="2:15" x14ac:dyDescent="0.2">
      <c r="B1878" s="50">
        <v>275</v>
      </c>
      <c r="C1878" s="51">
        <v>0.21910716475492753</v>
      </c>
      <c r="D1878" s="52">
        <v>226</v>
      </c>
      <c r="E1878" s="53">
        <v>0.76258992805755399</v>
      </c>
      <c r="G1878" s="2"/>
      <c r="L1878" s="5"/>
      <c r="O1878" s="2"/>
    </row>
    <row r="1879" spans="2:15" x14ac:dyDescent="0.2">
      <c r="B1879" s="50">
        <v>337</v>
      </c>
      <c r="C1879" s="51">
        <v>0.21924013995264291</v>
      </c>
      <c r="D1879" s="52">
        <v>226</v>
      </c>
      <c r="E1879" s="53">
        <v>0.76258992805755399</v>
      </c>
      <c r="G1879" s="2"/>
      <c r="L1879" s="5"/>
      <c r="O1879" s="2"/>
    </row>
    <row r="1880" spans="2:15" x14ac:dyDescent="0.2">
      <c r="B1880" s="50">
        <v>398</v>
      </c>
      <c r="C1880" s="51">
        <v>0.22280725034741622</v>
      </c>
      <c r="D1880" s="52">
        <v>226</v>
      </c>
      <c r="E1880" s="53">
        <v>0.74820143884892087</v>
      </c>
      <c r="G1880" s="2"/>
      <c r="L1880" s="5"/>
      <c r="O1880" s="2"/>
    </row>
    <row r="1881" spans="2:15" x14ac:dyDescent="0.2">
      <c r="B1881" s="50">
        <v>274</v>
      </c>
      <c r="C1881" s="51">
        <v>0.23440000448186593</v>
      </c>
      <c r="D1881" s="52">
        <v>226</v>
      </c>
      <c r="E1881" s="53">
        <v>0.75539568345323738</v>
      </c>
      <c r="G1881" s="2"/>
      <c r="L1881" s="5"/>
      <c r="O1881" s="2"/>
    </row>
    <row r="1882" spans="2:15" x14ac:dyDescent="0.2">
      <c r="B1882" s="50">
        <v>336</v>
      </c>
      <c r="C1882" s="51">
        <v>0.23453672814048732</v>
      </c>
      <c r="D1882" s="52">
        <v>226</v>
      </c>
      <c r="E1882" s="53">
        <v>0.75539568345323738</v>
      </c>
      <c r="G1882" s="2"/>
      <c r="L1882" s="5"/>
      <c r="O1882" s="2"/>
    </row>
    <row r="1883" spans="2:15" x14ac:dyDescent="0.2">
      <c r="B1883" s="50">
        <v>246</v>
      </c>
      <c r="C1883" s="51">
        <v>0.72575539809030731</v>
      </c>
      <c r="D1883" s="52">
        <v>226</v>
      </c>
      <c r="E1883" s="53">
        <v>0.25899280575539568</v>
      </c>
      <c r="G1883" s="2"/>
      <c r="L1883" s="5"/>
      <c r="O1883" s="2"/>
    </row>
    <row r="1884" spans="2:15" x14ac:dyDescent="0.2">
      <c r="B1884" s="50">
        <v>247</v>
      </c>
      <c r="C1884" s="51">
        <v>0.73428922039295186</v>
      </c>
      <c r="D1884" s="52">
        <v>226</v>
      </c>
      <c r="E1884" s="53">
        <v>0.25179856115107913</v>
      </c>
      <c r="G1884" s="2"/>
      <c r="L1884" s="5"/>
      <c r="O1884" s="2"/>
    </row>
    <row r="1885" spans="2:15" x14ac:dyDescent="0.2">
      <c r="B1885" s="50">
        <v>248</v>
      </c>
      <c r="C1885" s="51">
        <v>0.75558108602470531</v>
      </c>
      <c r="D1885" s="52">
        <v>226</v>
      </c>
      <c r="E1885" s="53">
        <v>0.2446043165467626</v>
      </c>
      <c r="G1885" s="2"/>
      <c r="L1885" s="5"/>
      <c r="O1885" s="2"/>
    </row>
    <row r="1886" spans="2:15" x14ac:dyDescent="0.2">
      <c r="B1886" s="50">
        <v>249</v>
      </c>
      <c r="C1886" s="51">
        <v>0.7929965341369023</v>
      </c>
      <c r="D1886" s="52">
        <v>226</v>
      </c>
      <c r="E1886" s="53">
        <v>0.20863309352517986</v>
      </c>
      <c r="G1886" s="2"/>
      <c r="L1886" s="5"/>
      <c r="O1886" s="2"/>
    </row>
    <row r="1887" spans="2:15" x14ac:dyDescent="0.2">
      <c r="B1887" s="50">
        <v>250</v>
      </c>
      <c r="C1887" s="51">
        <v>0.8033743451362696</v>
      </c>
      <c r="D1887" s="52">
        <v>226</v>
      </c>
      <c r="E1887" s="53">
        <v>0.20863309352517986</v>
      </c>
      <c r="G1887" s="2"/>
      <c r="L1887" s="5"/>
      <c r="O1887" s="2"/>
    </row>
    <row r="1888" spans="2:15" x14ac:dyDescent="0.2">
      <c r="B1888" s="50">
        <v>1983</v>
      </c>
      <c r="C1888" s="51">
        <v>0.10877996161546577</v>
      </c>
      <c r="D1888" s="52">
        <v>227</v>
      </c>
      <c r="E1888" s="53">
        <v>0.82014388489208634</v>
      </c>
      <c r="G1888" s="2"/>
      <c r="L1888" s="5"/>
      <c r="O1888" s="2"/>
    </row>
    <row r="1889" spans="2:15" x14ac:dyDescent="0.2">
      <c r="B1889" s="50">
        <v>1961</v>
      </c>
      <c r="C1889" s="51">
        <v>0.11418351154919537</v>
      </c>
      <c r="D1889" s="52">
        <v>227</v>
      </c>
      <c r="E1889" s="53">
        <v>0.82014388489208634</v>
      </c>
      <c r="G1889" s="2"/>
      <c r="L1889" s="5"/>
      <c r="O1889" s="2"/>
    </row>
    <row r="1890" spans="2:15" x14ac:dyDescent="0.2">
      <c r="B1890" s="50">
        <v>2003</v>
      </c>
      <c r="C1890" s="51">
        <v>0.12345202183197557</v>
      </c>
      <c r="D1890" s="52">
        <v>227</v>
      </c>
      <c r="E1890" s="53">
        <v>0.82733812949640284</v>
      </c>
      <c r="G1890" s="2"/>
      <c r="L1890" s="5"/>
      <c r="O1890" s="2"/>
    </row>
    <row r="1891" spans="2:15" x14ac:dyDescent="0.2">
      <c r="B1891" s="50">
        <v>2023</v>
      </c>
      <c r="C1891" s="51">
        <v>0.13037566398886868</v>
      </c>
      <c r="D1891" s="52">
        <v>227</v>
      </c>
      <c r="E1891" s="53">
        <v>0.83453237410071945</v>
      </c>
      <c r="G1891" s="2"/>
      <c r="L1891" s="5"/>
      <c r="O1891" s="2"/>
    </row>
    <row r="1892" spans="2:15" x14ac:dyDescent="0.2">
      <c r="B1892" s="50">
        <v>2042</v>
      </c>
      <c r="C1892" s="51">
        <v>0.13717728711540933</v>
      </c>
      <c r="D1892" s="52">
        <v>227</v>
      </c>
      <c r="E1892" s="53">
        <v>0.83453237410071945</v>
      </c>
      <c r="G1892" s="2"/>
      <c r="L1892" s="5"/>
      <c r="O1892" s="2"/>
    </row>
    <row r="1893" spans="2:15" x14ac:dyDescent="0.2">
      <c r="B1893" s="50">
        <v>1960</v>
      </c>
      <c r="C1893" s="51">
        <v>0.1383369452709543</v>
      </c>
      <c r="D1893" s="52">
        <v>227</v>
      </c>
      <c r="E1893" s="53">
        <v>0.76258992805755399</v>
      </c>
      <c r="G1893" s="2"/>
      <c r="L1893" s="5"/>
      <c r="O1893" s="2"/>
    </row>
    <row r="1894" spans="2:15" x14ac:dyDescent="0.2">
      <c r="B1894" s="50">
        <v>2024</v>
      </c>
      <c r="C1894" s="51">
        <v>0.14490321002351558</v>
      </c>
      <c r="D1894" s="52">
        <v>227</v>
      </c>
      <c r="E1894" s="53">
        <v>0.83453237410071945</v>
      </c>
      <c r="G1894" s="2"/>
      <c r="L1894" s="5"/>
      <c r="O1894" s="2"/>
    </row>
    <row r="1895" spans="2:15" x14ac:dyDescent="0.2">
      <c r="B1895" s="50">
        <v>1982</v>
      </c>
      <c r="C1895" s="51">
        <v>0.14633369199380142</v>
      </c>
      <c r="D1895" s="52">
        <v>227</v>
      </c>
      <c r="E1895" s="53">
        <v>0.76258992805755399</v>
      </c>
      <c r="G1895" s="2"/>
      <c r="L1895" s="5"/>
      <c r="O1895" s="2"/>
    </row>
    <row r="1896" spans="2:15" x14ac:dyDescent="0.2">
      <c r="B1896" s="50">
        <v>2004</v>
      </c>
      <c r="C1896" s="51">
        <v>0.15069065328988152</v>
      </c>
      <c r="D1896" s="52">
        <v>227</v>
      </c>
      <c r="E1896" s="53">
        <v>0.83453237410071945</v>
      </c>
      <c r="G1896" s="2"/>
      <c r="L1896" s="5"/>
      <c r="O1896" s="2"/>
    </row>
    <row r="1897" spans="2:15" x14ac:dyDescent="0.2">
      <c r="B1897" s="50">
        <v>2043</v>
      </c>
      <c r="C1897" s="51">
        <v>0.1575433420187824</v>
      </c>
      <c r="D1897" s="52">
        <v>227</v>
      </c>
      <c r="E1897" s="53">
        <v>0.83453237410071945</v>
      </c>
      <c r="G1897" s="2"/>
      <c r="L1897" s="5"/>
      <c r="O1897" s="2"/>
    </row>
    <row r="1898" spans="2:15" x14ac:dyDescent="0.2">
      <c r="B1898" s="50">
        <v>824</v>
      </c>
      <c r="C1898" s="51">
        <v>0.39152711988155298</v>
      </c>
      <c r="D1898" s="52">
        <v>227</v>
      </c>
      <c r="E1898" s="53">
        <v>0.42446043165467628</v>
      </c>
      <c r="G1898" s="2"/>
      <c r="L1898" s="5"/>
      <c r="O1898" s="2"/>
    </row>
    <row r="1899" spans="2:15" x14ac:dyDescent="0.2">
      <c r="B1899" s="50">
        <v>245</v>
      </c>
      <c r="C1899" s="51">
        <v>0.59946654611196193</v>
      </c>
      <c r="D1899" s="52">
        <v>228</v>
      </c>
      <c r="E1899" s="53">
        <v>0.17985611510791366</v>
      </c>
      <c r="G1899" s="2"/>
      <c r="L1899" s="5"/>
      <c r="O1899" s="2"/>
    </row>
    <row r="1900" spans="2:15" x14ac:dyDescent="0.2">
      <c r="B1900" s="50">
        <v>544</v>
      </c>
      <c r="C1900" s="51">
        <v>0.35499703150162343</v>
      </c>
      <c r="D1900" s="52">
        <v>229</v>
      </c>
      <c r="E1900" s="53">
        <v>0.33093525179856115</v>
      </c>
      <c r="G1900" s="2"/>
      <c r="L1900" s="5"/>
      <c r="O1900" s="2"/>
    </row>
    <row r="1901" spans="2:15" x14ac:dyDescent="0.2">
      <c r="B1901" s="50">
        <v>602</v>
      </c>
      <c r="C1901" s="51">
        <v>0.37030059370384005</v>
      </c>
      <c r="D1901" s="52">
        <v>229</v>
      </c>
      <c r="E1901" s="53">
        <v>0.41007194244604317</v>
      </c>
      <c r="G1901" s="2"/>
      <c r="L1901" s="5"/>
      <c r="O1901" s="2"/>
    </row>
    <row r="1902" spans="2:15" x14ac:dyDescent="0.2">
      <c r="B1902" s="50">
        <v>659</v>
      </c>
      <c r="C1902" s="51">
        <v>0.37630044967606202</v>
      </c>
      <c r="D1902" s="52">
        <v>229</v>
      </c>
      <c r="E1902" s="53">
        <v>0.41007194244604317</v>
      </c>
      <c r="G1902" s="2"/>
      <c r="L1902" s="5"/>
      <c r="O1902" s="2"/>
    </row>
    <row r="1903" spans="2:15" x14ac:dyDescent="0.2">
      <c r="B1903" s="50">
        <v>715</v>
      </c>
      <c r="C1903" s="51">
        <v>0.38308503271553995</v>
      </c>
      <c r="D1903" s="52">
        <v>229</v>
      </c>
      <c r="E1903" s="53">
        <v>0.42446043165467628</v>
      </c>
      <c r="G1903" s="2"/>
      <c r="L1903" s="5"/>
      <c r="O1903" s="2"/>
    </row>
    <row r="1904" spans="2:15" x14ac:dyDescent="0.2">
      <c r="B1904" s="50">
        <v>770</v>
      </c>
      <c r="C1904" s="51">
        <v>0.38672041767229803</v>
      </c>
      <c r="D1904" s="52">
        <v>229</v>
      </c>
      <c r="E1904" s="53">
        <v>0.42446043165467628</v>
      </c>
      <c r="G1904" s="2"/>
      <c r="L1904" s="5"/>
      <c r="O1904" s="2"/>
    </row>
    <row r="1905" spans="2:15" x14ac:dyDescent="0.2">
      <c r="B1905" s="50">
        <v>808</v>
      </c>
      <c r="C1905" s="51">
        <v>0.19735156420279631</v>
      </c>
      <c r="D1905" s="52">
        <v>230</v>
      </c>
      <c r="E1905" s="53">
        <v>0.60431654676258995</v>
      </c>
      <c r="G1905" s="2"/>
      <c r="L1905" s="5"/>
      <c r="O1905" s="2"/>
    </row>
    <row r="1906" spans="2:15" x14ac:dyDescent="0.2">
      <c r="B1906" s="50">
        <v>699</v>
      </c>
      <c r="C1906" s="51">
        <v>0.19792469207283747</v>
      </c>
      <c r="D1906" s="52">
        <v>230</v>
      </c>
      <c r="E1906" s="53">
        <v>0.60431654676258995</v>
      </c>
      <c r="G1906" s="2"/>
      <c r="L1906" s="5"/>
      <c r="O1906" s="2"/>
    </row>
    <row r="1907" spans="2:15" x14ac:dyDescent="0.2">
      <c r="B1907" s="50">
        <v>754</v>
      </c>
      <c r="C1907" s="51">
        <v>0.19829770383198697</v>
      </c>
      <c r="D1907" s="52">
        <v>230</v>
      </c>
      <c r="E1907" s="53">
        <v>0.60431654676258995</v>
      </c>
      <c r="G1907" s="2"/>
      <c r="L1907" s="5"/>
      <c r="O1907" s="2"/>
    </row>
    <row r="1908" spans="2:15" x14ac:dyDescent="0.2">
      <c r="B1908" s="50">
        <v>643</v>
      </c>
      <c r="C1908" s="51">
        <v>0.20029930258319373</v>
      </c>
      <c r="D1908" s="52">
        <v>230</v>
      </c>
      <c r="E1908" s="53">
        <v>0.60431654676258995</v>
      </c>
      <c r="G1908" s="2"/>
      <c r="L1908" s="5"/>
      <c r="O1908" s="2"/>
    </row>
    <row r="1909" spans="2:15" x14ac:dyDescent="0.2">
      <c r="B1909" s="50">
        <v>586</v>
      </c>
      <c r="C1909" s="51">
        <v>0.20208287917113155</v>
      </c>
      <c r="D1909" s="52">
        <v>230</v>
      </c>
      <c r="E1909" s="53">
        <v>0.60431654676258995</v>
      </c>
      <c r="G1909" s="2"/>
      <c r="L1909" s="5"/>
      <c r="O1909" s="2"/>
    </row>
    <row r="1910" spans="2:15" x14ac:dyDescent="0.2">
      <c r="B1910" s="50">
        <v>528</v>
      </c>
      <c r="C1910" s="51">
        <v>0.20812913924254761</v>
      </c>
      <c r="D1910" s="52">
        <v>230</v>
      </c>
      <c r="E1910" s="53">
        <v>0.60431654676258995</v>
      </c>
      <c r="G1910" s="2"/>
      <c r="L1910" s="5"/>
      <c r="O1910" s="2"/>
    </row>
    <row r="1911" spans="2:15" x14ac:dyDescent="0.2">
      <c r="B1911" s="50">
        <v>409</v>
      </c>
      <c r="C1911" s="51">
        <v>0.21025228208081548</v>
      </c>
      <c r="D1911" s="52">
        <v>230</v>
      </c>
      <c r="E1911" s="53">
        <v>0.59712230215827333</v>
      </c>
      <c r="G1911" s="2"/>
      <c r="L1911" s="5"/>
      <c r="O1911" s="2"/>
    </row>
    <row r="1912" spans="2:15" x14ac:dyDescent="0.2">
      <c r="B1912" s="50">
        <v>469</v>
      </c>
      <c r="C1912" s="51">
        <v>0.21068898020672533</v>
      </c>
      <c r="D1912" s="52">
        <v>230</v>
      </c>
      <c r="E1912" s="53">
        <v>0.59712230215827333</v>
      </c>
      <c r="G1912" s="2"/>
      <c r="L1912" s="5"/>
      <c r="O1912" s="2"/>
    </row>
    <row r="1913" spans="2:15" x14ac:dyDescent="0.2">
      <c r="B1913" s="50">
        <v>348</v>
      </c>
      <c r="C1913" s="51">
        <v>0.21209165746192948</v>
      </c>
      <c r="D1913" s="52">
        <v>230</v>
      </c>
      <c r="E1913" s="53">
        <v>0.60431654676258995</v>
      </c>
      <c r="G1913" s="2"/>
      <c r="L1913" s="5"/>
      <c r="O1913" s="2"/>
    </row>
    <row r="1914" spans="2:15" x14ac:dyDescent="0.2">
      <c r="B1914" s="50">
        <v>807</v>
      </c>
      <c r="C1914" s="51">
        <v>0.21240143602234951</v>
      </c>
      <c r="D1914" s="52">
        <v>230</v>
      </c>
      <c r="E1914" s="53">
        <v>0.59712230215827333</v>
      </c>
      <c r="G1914" s="2"/>
      <c r="L1914" s="5"/>
      <c r="O1914" s="2"/>
    </row>
    <row r="1915" spans="2:15" x14ac:dyDescent="0.2">
      <c r="B1915" s="50">
        <v>698</v>
      </c>
      <c r="C1915" s="51">
        <v>0.21267737717823954</v>
      </c>
      <c r="D1915" s="52">
        <v>230</v>
      </c>
      <c r="E1915" s="53">
        <v>0.59712230215827333</v>
      </c>
      <c r="G1915" s="2"/>
      <c r="L1915" s="5"/>
      <c r="O1915" s="2"/>
    </row>
    <row r="1916" spans="2:15" x14ac:dyDescent="0.2">
      <c r="B1916" s="50">
        <v>286</v>
      </c>
      <c r="C1916" s="51">
        <v>0.21270958428690201</v>
      </c>
      <c r="D1916" s="52">
        <v>230</v>
      </c>
      <c r="E1916" s="53">
        <v>0.60431654676258995</v>
      </c>
      <c r="G1916" s="2"/>
      <c r="L1916" s="5"/>
      <c r="O1916" s="2"/>
    </row>
    <row r="1917" spans="2:15" x14ac:dyDescent="0.2">
      <c r="B1917" s="50">
        <v>753</v>
      </c>
      <c r="C1917" s="51">
        <v>0.21329690922020639</v>
      </c>
      <c r="D1917" s="52">
        <v>230</v>
      </c>
      <c r="E1917" s="53">
        <v>0.59712230215827333</v>
      </c>
      <c r="G1917" s="2"/>
      <c r="L1917" s="5"/>
      <c r="O1917" s="2"/>
    </row>
    <row r="1918" spans="2:15" x14ac:dyDescent="0.2">
      <c r="B1918" s="50">
        <v>642</v>
      </c>
      <c r="C1918" s="51">
        <v>0.21517232555693844</v>
      </c>
      <c r="D1918" s="52">
        <v>230</v>
      </c>
      <c r="E1918" s="53">
        <v>0.59712230215827333</v>
      </c>
      <c r="G1918" s="2"/>
      <c r="L1918" s="5"/>
      <c r="O1918" s="2"/>
    </row>
    <row r="1919" spans="2:15" x14ac:dyDescent="0.2">
      <c r="B1919" s="50">
        <v>585</v>
      </c>
      <c r="C1919" s="51">
        <v>0.21694620318084323</v>
      </c>
      <c r="D1919" s="52">
        <v>230</v>
      </c>
      <c r="E1919" s="53">
        <v>0.59712230215827333</v>
      </c>
      <c r="G1919" s="2"/>
      <c r="L1919" s="5"/>
      <c r="O1919" s="2"/>
    </row>
    <row r="1920" spans="2:15" x14ac:dyDescent="0.2">
      <c r="B1920" s="50">
        <v>527</v>
      </c>
      <c r="C1920" s="51">
        <v>0.22344703608221284</v>
      </c>
      <c r="D1920" s="52">
        <v>230</v>
      </c>
      <c r="E1920" s="53">
        <v>0.58992805755395683</v>
      </c>
      <c r="G1920" s="2"/>
      <c r="L1920" s="5"/>
      <c r="O1920" s="2"/>
    </row>
    <row r="1921" spans="2:15" x14ac:dyDescent="0.2">
      <c r="B1921" s="50">
        <v>468</v>
      </c>
      <c r="C1921" s="51">
        <v>0.22589941045985995</v>
      </c>
      <c r="D1921" s="52">
        <v>230</v>
      </c>
      <c r="E1921" s="53">
        <v>0.58992805755395683</v>
      </c>
      <c r="G1921" s="2"/>
      <c r="L1921" s="5"/>
      <c r="O1921" s="2"/>
    </row>
    <row r="1922" spans="2:15" x14ac:dyDescent="0.2">
      <c r="B1922" s="50">
        <v>806</v>
      </c>
      <c r="C1922" s="51">
        <v>0.27348192171707109</v>
      </c>
      <c r="D1922" s="52">
        <v>230</v>
      </c>
      <c r="E1922" s="53">
        <v>0.61870503597122306</v>
      </c>
      <c r="G1922" s="2"/>
      <c r="L1922" s="5"/>
      <c r="O1922" s="2"/>
    </row>
    <row r="1923" spans="2:15" x14ac:dyDescent="0.2">
      <c r="B1923" s="50">
        <v>697</v>
      </c>
      <c r="C1923" s="51">
        <v>0.27414948294580688</v>
      </c>
      <c r="D1923" s="52">
        <v>230</v>
      </c>
      <c r="E1923" s="53">
        <v>0.61870503597122306</v>
      </c>
      <c r="G1923" s="2"/>
      <c r="L1923" s="5"/>
      <c r="O1923" s="2"/>
    </row>
    <row r="1924" spans="2:15" x14ac:dyDescent="0.2">
      <c r="B1924" s="50">
        <v>752</v>
      </c>
      <c r="C1924" s="51">
        <v>0.27464290224932675</v>
      </c>
      <c r="D1924" s="52">
        <v>230</v>
      </c>
      <c r="E1924" s="53">
        <v>0.61870503597122306</v>
      </c>
      <c r="G1924" s="2"/>
      <c r="L1924" s="5"/>
      <c r="O1924" s="2"/>
    </row>
    <row r="1925" spans="2:15" x14ac:dyDescent="0.2">
      <c r="B1925" s="50">
        <v>641</v>
      </c>
      <c r="C1925" s="51">
        <v>0.27721754152901756</v>
      </c>
      <c r="D1925" s="52">
        <v>230</v>
      </c>
      <c r="E1925" s="53">
        <v>0.5467625899280576</v>
      </c>
      <c r="G1925" s="2"/>
      <c r="L1925" s="5"/>
      <c r="O1925" s="2"/>
    </row>
    <row r="1926" spans="2:15" x14ac:dyDescent="0.2">
      <c r="B1926" s="50">
        <v>584</v>
      </c>
      <c r="C1926" s="51">
        <v>0.27933113907171681</v>
      </c>
      <c r="D1926" s="52">
        <v>230</v>
      </c>
      <c r="E1926" s="53">
        <v>0.5467625899280576</v>
      </c>
      <c r="G1926" s="2"/>
      <c r="L1926" s="5"/>
      <c r="O1926" s="2"/>
    </row>
    <row r="1927" spans="2:15" x14ac:dyDescent="0.2">
      <c r="B1927" s="50">
        <v>526</v>
      </c>
      <c r="C1927" s="51">
        <v>0.2871541963076587</v>
      </c>
      <c r="D1927" s="52">
        <v>230</v>
      </c>
      <c r="E1927" s="53">
        <v>0.53956834532374098</v>
      </c>
      <c r="G1927" s="2"/>
      <c r="L1927" s="5"/>
      <c r="O1927" s="2"/>
    </row>
    <row r="1928" spans="2:15" x14ac:dyDescent="0.2">
      <c r="B1928" s="50">
        <v>407</v>
      </c>
      <c r="C1928" s="51">
        <v>0.29013325961887204</v>
      </c>
      <c r="D1928" s="52">
        <v>230</v>
      </c>
      <c r="E1928" s="53">
        <v>0.53956834532374098</v>
      </c>
      <c r="G1928" s="2"/>
      <c r="L1928" s="5"/>
      <c r="O1928" s="2"/>
    </row>
    <row r="1929" spans="2:15" x14ac:dyDescent="0.2">
      <c r="B1929" s="50">
        <v>467</v>
      </c>
      <c r="C1929" s="51">
        <v>0.29050491404860357</v>
      </c>
      <c r="D1929" s="52">
        <v>230</v>
      </c>
      <c r="E1929" s="53">
        <v>0.53956834532374098</v>
      </c>
      <c r="G1929" s="2"/>
      <c r="L1929" s="5"/>
      <c r="O1929" s="2"/>
    </row>
    <row r="1930" spans="2:15" x14ac:dyDescent="0.2">
      <c r="B1930" s="50">
        <v>804</v>
      </c>
      <c r="C1930" s="51">
        <v>0.31698840352812252</v>
      </c>
      <c r="D1930" s="52">
        <v>230</v>
      </c>
      <c r="E1930" s="53">
        <v>0.5467625899280576</v>
      </c>
      <c r="G1930" s="2"/>
      <c r="L1930" s="5"/>
      <c r="O1930" s="2"/>
    </row>
    <row r="1931" spans="2:15" x14ac:dyDescent="0.2">
      <c r="B1931" s="50">
        <v>695</v>
      </c>
      <c r="C1931" s="51">
        <v>0.31766118743077554</v>
      </c>
      <c r="D1931" s="52">
        <v>230</v>
      </c>
      <c r="E1931" s="53">
        <v>0.5467625899280576</v>
      </c>
      <c r="G1931" s="2"/>
      <c r="L1931" s="5"/>
      <c r="O1931" s="2"/>
    </row>
    <row r="1932" spans="2:15" x14ac:dyDescent="0.2">
      <c r="B1932" s="50">
        <v>750</v>
      </c>
      <c r="C1932" s="51">
        <v>0.3181675544719792</v>
      </c>
      <c r="D1932" s="52">
        <v>230</v>
      </c>
      <c r="E1932" s="53">
        <v>0.5467625899280576</v>
      </c>
      <c r="G1932" s="2"/>
      <c r="L1932" s="5"/>
      <c r="O1932" s="2"/>
    </row>
    <row r="1933" spans="2:15" x14ac:dyDescent="0.2">
      <c r="B1933" s="50">
        <v>639</v>
      </c>
      <c r="C1933" s="51">
        <v>0.32066565185149765</v>
      </c>
      <c r="D1933" s="52">
        <v>230</v>
      </c>
      <c r="E1933" s="53">
        <v>0.5467625899280576</v>
      </c>
      <c r="G1933" s="2"/>
      <c r="L1933" s="5"/>
      <c r="O1933" s="2"/>
    </row>
    <row r="1934" spans="2:15" x14ac:dyDescent="0.2">
      <c r="B1934" s="50">
        <v>582</v>
      </c>
      <c r="C1934" s="51">
        <v>0.32287826547366716</v>
      </c>
      <c r="D1934" s="52">
        <v>230</v>
      </c>
      <c r="E1934" s="53">
        <v>0.5467625899280576</v>
      </c>
      <c r="G1934" s="2"/>
      <c r="L1934" s="5"/>
      <c r="O1934" s="2"/>
    </row>
    <row r="1935" spans="2:15" x14ac:dyDescent="0.2">
      <c r="B1935" s="50">
        <v>524</v>
      </c>
      <c r="C1935" s="51">
        <v>0.33068399302495599</v>
      </c>
      <c r="D1935" s="52">
        <v>230</v>
      </c>
      <c r="E1935" s="53">
        <v>0.53956834532374098</v>
      </c>
      <c r="F1935" s="3"/>
    </row>
    <row r="1936" spans="2:15" x14ac:dyDescent="0.2">
      <c r="B1936" s="50">
        <v>405</v>
      </c>
      <c r="C1936" s="51">
        <v>0.33341834555261074</v>
      </c>
      <c r="D1936" s="52">
        <v>230</v>
      </c>
      <c r="E1936" s="53">
        <v>0.53956834532374098</v>
      </c>
      <c r="F1936" s="3"/>
    </row>
    <row r="1937" spans="2:6" x14ac:dyDescent="0.2">
      <c r="B1937" s="50">
        <v>465</v>
      </c>
      <c r="C1937" s="51">
        <v>0.3339423446391232</v>
      </c>
      <c r="D1937" s="52">
        <v>230</v>
      </c>
      <c r="E1937" s="53">
        <v>0.53956834532374098</v>
      </c>
      <c r="F1937" s="3"/>
    </row>
    <row r="1938" spans="2:6" x14ac:dyDescent="0.2">
      <c r="B1938" s="50">
        <v>805</v>
      </c>
      <c r="C1938" s="51">
        <v>0.33416904974644135</v>
      </c>
      <c r="D1938" s="52">
        <v>230</v>
      </c>
      <c r="E1938" s="53">
        <v>0.45323741007194246</v>
      </c>
      <c r="F1938" s="3"/>
    </row>
    <row r="1939" spans="2:6" x14ac:dyDescent="0.2">
      <c r="B1939" s="50">
        <v>696</v>
      </c>
      <c r="C1939" s="51">
        <v>0.33445909676216989</v>
      </c>
      <c r="D1939" s="52">
        <v>230</v>
      </c>
      <c r="E1939" s="53">
        <v>0.45323741007194246</v>
      </c>
      <c r="F1939" s="3"/>
    </row>
    <row r="1940" spans="2:6" x14ac:dyDescent="0.2">
      <c r="B1940" s="50">
        <v>751</v>
      </c>
      <c r="C1940" s="51">
        <v>0.33535641187259901</v>
      </c>
      <c r="D1940" s="52">
        <v>230</v>
      </c>
      <c r="E1940" s="53">
        <v>0.45323741007194246</v>
      </c>
      <c r="F1940" s="3"/>
    </row>
    <row r="1941" spans="2:6" x14ac:dyDescent="0.2">
      <c r="B1941" s="50">
        <v>302</v>
      </c>
      <c r="C1941" s="51">
        <v>0.33611477705377468</v>
      </c>
      <c r="D1941" s="52">
        <v>230</v>
      </c>
      <c r="E1941" s="53">
        <v>0.30215827338129497</v>
      </c>
      <c r="F1941" s="3"/>
    </row>
    <row r="1942" spans="2:6" x14ac:dyDescent="0.2">
      <c r="B1942" s="50">
        <v>640</v>
      </c>
      <c r="C1942" s="51">
        <v>0.337977577616974</v>
      </c>
      <c r="D1942" s="52">
        <v>230</v>
      </c>
      <c r="E1942" s="53">
        <v>0.45323741007194246</v>
      </c>
      <c r="F1942" s="3"/>
    </row>
    <row r="1943" spans="2:6" x14ac:dyDescent="0.2">
      <c r="B1943" s="50">
        <v>364</v>
      </c>
      <c r="C1943" s="51">
        <v>0.3389320583532146</v>
      </c>
      <c r="D1943" s="52">
        <v>230</v>
      </c>
      <c r="E1943" s="53">
        <v>0.30215827338129497</v>
      </c>
      <c r="F1943" s="3"/>
    </row>
    <row r="1944" spans="2:6" x14ac:dyDescent="0.2">
      <c r="B1944" s="50">
        <v>583</v>
      </c>
      <c r="C1944" s="51">
        <v>0.34025973762705464</v>
      </c>
      <c r="D1944" s="52">
        <v>230</v>
      </c>
      <c r="E1944" s="53">
        <v>0.45323741007194246</v>
      </c>
      <c r="F1944" s="3"/>
    </row>
    <row r="1945" spans="2:6" x14ac:dyDescent="0.2">
      <c r="B1945" s="50">
        <v>485</v>
      </c>
      <c r="C1945" s="51">
        <v>0.34444522764452923</v>
      </c>
      <c r="D1945" s="52">
        <v>230</v>
      </c>
      <c r="E1945" s="53">
        <v>0.33093525179856115</v>
      </c>
      <c r="F1945" s="3"/>
    </row>
    <row r="1946" spans="2:6" x14ac:dyDescent="0.2">
      <c r="B1946" s="50">
        <v>425</v>
      </c>
      <c r="C1946" s="51">
        <v>0.34453343999771646</v>
      </c>
      <c r="D1946" s="52">
        <v>230</v>
      </c>
      <c r="E1946" s="53">
        <v>0.33093525179856115</v>
      </c>
      <c r="F1946" s="3"/>
    </row>
    <row r="1947" spans="2:6" x14ac:dyDescent="0.2">
      <c r="B1947" s="50">
        <v>525</v>
      </c>
      <c r="C1947" s="51">
        <v>0.349464280953101</v>
      </c>
      <c r="D1947" s="52">
        <v>230</v>
      </c>
      <c r="E1947" s="53">
        <v>0.4460431654676259</v>
      </c>
      <c r="F1947" s="3"/>
    </row>
    <row r="1948" spans="2:6" x14ac:dyDescent="0.2">
      <c r="B1948" s="50">
        <v>406</v>
      </c>
      <c r="C1948" s="51">
        <v>0.35253010212509073</v>
      </c>
      <c r="D1948" s="52">
        <v>230</v>
      </c>
      <c r="E1948" s="53">
        <v>0.4460431654676259</v>
      </c>
      <c r="F1948" s="3"/>
    </row>
    <row r="1949" spans="2:6" x14ac:dyDescent="0.2">
      <c r="B1949" s="50">
        <v>466</v>
      </c>
      <c r="C1949" s="51">
        <v>0.35298899825592289</v>
      </c>
      <c r="D1949" s="52">
        <v>230</v>
      </c>
      <c r="E1949" s="53">
        <v>0.4460431654676259</v>
      </c>
      <c r="F1949" s="3"/>
    </row>
    <row r="1950" spans="2:6" x14ac:dyDescent="0.2">
      <c r="B1950" s="50">
        <v>65</v>
      </c>
      <c r="C1950" s="51">
        <v>1.1166900442383039</v>
      </c>
      <c r="D1950" s="52">
        <v>230</v>
      </c>
      <c r="E1950" s="53">
        <v>0.21582733812949639</v>
      </c>
      <c r="F1950" s="3"/>
    </row>
    <row r="1951" spans="2:6" x14ac:dyDescent="0.2">
      <c r="B1951" s="50">
        <v>131</v>
      </c>
      <c r="C1951" s="51">
        <v>1.1166900442383039</v>
      </c>
      <c r="D1951" s="52">
        <v>230</v>
      </c>
      <c r="E1951" s="53">
        <v>0.21582733812949639</v>
      </c>
      <c r="F1951" s="3"/>
    </row>
    <row r="1952" spans="2:6" x14ac:dyDescent="0.2">
      <c r="B1952" s="50">
        <v>132</v>
      </c>
      <c r="C1952" s="51">
        <v>1.1166900442383039</v>
      </c>
      <c r="D1952" s="52">
        <v>230</v>
      </c>
      <c r="E1952" s="53">
        <v>0.21582733812949639</v>
      </c>
      <c r="F1952" s="3"/>
    </row>
    <row r="1953" spans="2:6" x14ac:dyDescent="0.2">
      <c r="B1953" s="50">
        <v>66</v>
      </c>
      <c r="C1953" s="51">
        <v>1.1348157710377369</v>
      </c>
      <c r="D1953" s="52">
        <v>230</v>
      </c>
      <c r="E1953" s="53">
        <v>0.22302158273381295</v>
      </c>
      <c r="F1953" s="3"/>
    </row>
    <row r="1954" spans="2:6" x14ac:dyDescent="0.2">
      <c r="B1954" s="50">
        <v>479</v>
      </c>
      <c r="C1954" s="51">
        <v>0.31023321729830156</v>
      </c>
      <c r="D1954" s="52">
        <v>231</v>
      </c>
      <c r="E1954" s="53">
        <v>0.43884892086330934</v>
      </c>
      <c r="F1954" s="3"/>
    </row>
    <row r="1955" spans="2:6" x14ac:dyDescent="0.2">
      <c r="B1955" s="50">
        <v>477</v>
      </c>
      <c r="C1955" s="51">
        <v>0.31236195317729276</v>
      </c>
      <c r="D1955" s="52">
        <v>231</v>
      </c>
      <c r="E1955" s="53">
        <v>0.48201438848920863</v>
      </c>
      <c r="F1955" s="3"/>
    </row>
    <row r="1956" spans="2:6" x14ac:dyDescent="0.2">
      <c r="B1956" s="50">
        <v>538</v>
      </c>
      <c r="C1956" s="51">
        <v>0.31242975822648567</v>
      </c>
      <c r="D1956" s="52">
        <v>231</v>
      </c>
      <c r="E1956" s="53">
        <v>0.4460431654676259</v>
      </c>
      <c r="F1956" s="3"/>
    </row>
    <row r="1957" spans="2:6" x14ac:dyDescent="0.2">
      <c r="B1957" s="50">
        <v>419</v>
      </c>
      <c r="C1957" s="51">
        <v>0.31263322904625901</v>
      </c>
      <c r="D1957" s="52">
        <v>231</v>
      </c>
      <c r="E1957" s="53">
        <v>0.48201438848920863</v>
      </c>
      <c r="F1957" s="3"/>
    </row>
    <row r="1958" spans="2:6" x14ac:dyDescent="0.2">
      <c r="B1958" s="50">
        <v>478</v>
      </c>
      <c r="C1958" s="51">
        <v>0.31312648901678664</v>
      </c>
      <c r="D1958" s="52">
        <v>231</v>
      </c>
      <c r="E1958" s="53">
        <v>0.48920863309352519</v>
      </c>
      <c r="F1958" s="3"/>
    </row>
    <row r="1959" spans="2:6" x14ac:dyDescent="0.2">
      <c r="B1959" s="50">
        <v>536</v>
      </c>
      <c r="C1959" s="51">
        <v>0.31440946178090512</v>
      </c>
      <c r="D1959" s="52">
        <v>231</v>
      </c>
      <c r="E1959" s="53">
        <v>0.48201438848920863</v>
      </c>
      <c r="F1959" s="3"/>
    </row>
    <row r="1960" spans="2:6" x14ac:dyDescent="0.2">
      <c r="B1960" s="50">
        <v>417</v>
      </c>
      <c r="C1960" s="51">
        <v>0.31457791969807136</v>
      </c>
      <c r="D1960" s="52">
        <v>231</v>
      </c>
      <c r="E1960" s="53">
        <v>0.48201438848920863</v>
      </c>
      <c r="F1960" s="3"/>
    </row>
    <row r="1961" spans="2:6" x14ac:dyDescent="0.2">
      <c r="B1961" s="50">
        <v>418</v>
      </c>
      <c r="C1961" s="51">
        <v>0.31531881360180825</v>
      </c>
      <c r="D1961" s="52">
        <v>231</v>
      </c>
      <c r="E1961" s="53">
        <v>0.48920863309352519</v>
      </c>
      <c r="F1961" s="3"/>
    </row>
    <row r="1962" spans="2:6" x14ac:dyDescent="0.2">
      <c r="B1962" s="50">
        <v>537</v>
      </c>
      <c r="C1962" s="51">
        <v>0.31568946788256602</v>
      </c>
      <c r="D1962" s="52">
        <v>231</v>
      </c>
      <c r="E1962" s="53">
        <v>0.48920863309352519</v>
      </c>
      <c r="F1962" s="3"/>
    </row>
    <row r="1963" spans="2:6" x14ac:dyDescent="0.2">
      <c r="B1963" s="50">
        <v>294</v>
      </c>
      <c r="C1963" s="51">
        <v>0.31928378864815288</v>
      </c>
      <c r="D1963" s="52">
        <v>231</v>
      </c>
      <c r="E1963" s="53">
        <v>0.48201438848920863</v>
      </c>
      <c r="F1963" s="3"/>
    </row>
    <row r="1964" spans="2:6" x14ac:dyDescent="0.2">
      <c r="B1964" s="50">
        <v>356</v>
      </c>
      <c r="C1964" s="51">
        <v>0.32050750501936476</v>
      </c>
      <c r="D1964" s="52">
        <v>231</v>
      </c>
      <c r="E1964" s="53">
        <v>0.48201438848920863</v>
      </c>
      <c r="F1964" s="3"/>
    </row>
    <row r="1965" spans="2:6" x14ac:dyDescent="0.2">
      <c r="B1965" s="50">
        <v>596</v>
      </c>
      <c r="C1965" s="51">
        <v>0.32151271203865783</v>
      </c>
      <c r="D1965" s="52">
        <v>231</v>
      </c>
      <c r="E1965" s="53">
        <v>0.48920863309352519</v>
      </c>
      <c r="F1965" s="3"/>
    </row>
    <row r="1966" spans="2:6" x14ac:dyDescent="0.2">
      <c r="B1966" s="50">
        <v>595</v>
      </c>
      <c r="C1966" s="51">
        <v>0.32361501302006457</v>
      </c>
      <c r="D1966" s="52">
        <v>231</v>
      </c>
      <c r="E1966" s="53">
        <v>0.48920863309352519</v>
      </c>
      <c r="F1966" s="3"/>
    </row>
    <row r="1967" spans="2:6" x14ac:dyDescent="0.2">
      <c r="B1967" s="50">
        <v>653</v>
      </c>
      <c r="C1967" s="51">
        <v>0.32515377792164835</v>
      </c>
      <c r="D1967" s="52">
        <v>231</v>
      </c>
      <c r="E1967" s="53">
        <v>0.48920863309352519</v>
      </c>
      <c r="F1967" s="3"/>
    </row>
    <row r="1968" spans="2:6" x14ac:dyDescent="0.2">
      <c r="B1968" s="50">
        <v>764</v>
      </c>
      <c r="C1968" s="51">
        <v>0.32687166877757456</v>
      </c>
      <c r="D1968" s="52">
        <v>231</v>
      </c>
      <c r="E1968" s="53">
        <v>0.48920863309352519</v>
      </c>
      <c r="F1968" s="3"/>
    </row>
    <row r="1969" spans="2:6" x14ac:dyDescent="0.2">
      <c r="B1969" s="50">
        <v>652</v>
      </c>
      <c r="C1969" s="51">
        <v>0.32719432013038163</v>
      </c>
      <c r="D1969" s="52">
        <v>231</v>
      </c>
      <c r="E1969" s="53">
        <v>0.48920863309352519</v>
      </c>
      <c r="F1969" s="3"/>
    </row>
    <row r="1970" spans="2:6" x14ac:dyDescent="0.2">
      <c r="B1970" s="50">
        <v>709</v>
      </c>
      <c r="C1970" s="51">
        <v>0.32752942274919117</v>
      </c>
      <c r="D1970" s="52">
        <v>231</v>
      </c>
      <c r="E1970" s="53">
        <v>0.48920863309352519</v>
      </c>
      <c r="F1970" s="3"/>
    </row>
    <row r="1971" spans="2:6" x14ac:dyDescent="0.2">
      <c r="B1971" s="50">
        <v>816</v>
      </c>
      <c r="C1971" s="51">
        <v>0.32806804141407353</v>
      </c>
      <c r="D1971" s="52">
        <v>231</v>
      </c>
      <c r="E1971" s="53">
        <v>0.5467625899280576</v>
      </c>
      <c r="F1971" s="3"/>
    </row>
    <row r="1972" spans="2:6" x14ac:dyDescent="0.2">
      <c r="B1972" s="50">
        <v>818</v>
      </c>
      <c r="C1972" s="51">
        <v>0.32844333914312251</v>
      </c>
      <c r="D1972" s="52">
        <v>231</v>
      </c>
      <c r="E1972" s="53">
        <v>0.48920863309352519</v>
      </c>
      <c r="F1972" s="3"/>
    </row>
    <row r="1973" spans="2:6" x14ac:dyDescent="0.2">
      <c r="B1973" s="50">
        <v>763</v>
      </c>
      <c r="C1973" s="51">
        <v>0.32923056025647046</v>
      </c>
      <c r="D1973" s="52">
        <v>231</v>
      </c>
      <c r="E1973" s="53">
        <v>0.48201438848920863</v>
      </c>
      <c r="F1973" s="3"/>
    </row>
    <row r="1974" spans="2:6" x14ac:dyDescent="0.2">
      <c r="B1974" s="50">
        <v>817</v>
      </c>
      <c r="C1974" s="51">
        <v>0.33091221843060326</v>
      </c>
      <c r="D1974" s="52">
        <v>231</v>
      </c>
      <c r="E1974" s="53">
        <v>0.48201438848920863</v>
      </c>
      <c r="F1974" s="3"/>
    </row>
    <row r="1975" spans="2:6" x14ac:dyDescent="0.2">
      <c r="B1975" s="50">
        <v>692</v>
      </c>
      <c r="C1975" s="51">
        <v>0.39166280201970616</v>
      </c>
      <c r="D1975" s="52">
        <v>231</v>
      </c>
      <c r="E1975" s="53">
        <v>0.52517985611510787</v>
      </c>
      <c r="F1975" s="3"/>
    </row>
    <row r="1976" spans="2:6" x14ac:dyDescent="0.2">
      <c r="B1976" s="50">
        <v>963</v>
      </c>
      <c r="C1976" s="51">
        <v>0.19387215652395351</v>
      </c>
      <c r="D1976" s="52">
        <v>232</v>
      </c>
      <c r="E1976" s="53">
        <v>0.64028776978417268</v>
      </c>
      <c r="F1976" s="3"/>
    </row>
    <row r="1977" spans="2:6" x14ac:dyDescent="0.2">
      <c r="B1977" s="50">
        <v>912</v>
      </c>
      <c r="C1977" s="51">
        <v>0.19790464143840558</v>
      </c>
      <c r="D1977" s="52">
        <v>232</v>
      </c>
      <c r="E1977" s="53">
        <v>0.64028776978417268</v>
      </c>
      <c r="F1977" s="3"/>
    </row>
    <row r="1978" spans="2:6" x14ac:dyDescent="0.2">
      <c r="B1978" s="50">
        <v>962</v>
      </c>
      <c r="C1978" s="51">
        <v>0.25120779673900306</v>
      </c>
      <c r="D1978" s="52">
        <v>232</v>
      </c>
      <c r="E1978" s="53">
        <v>0.66187050359712229</v>
      </c>
      <c r="F1978" s="3"/>
    </row>
    <row r="1979" spans="2:6" x14ac:dyDescent="0.2">
      <c r="B1979" s="50">
        <v>911</v>
      </c>
      <c r="C1979" s="51">
        <v>0.25598796117345557</v>
      </c>
      <c r="D1979" s="52">
        <v>232</v>
      </c>
      <c r="E1979" s="53">
        <v>0.61870503597122306</v>
      </c>
      <c r="F1979" s="3"/>
    </row>
    <row r="1980" spans="2:6" x14ac:dyDescent="0.2">
      <c r="B1980" s="50">
        <v>960</v>
      </c>
      <c r="C1980" s="51">
        <v>0.2939235928322308</v>
      </c>
      <c r="D1980" s="52">
        <v>232</v>
      </c>
      <c r="E1980" s="53">
        <v>0.58273381294964033</v>
      </c>
      <c r="F1980" s="3"/>
    </row>
    <row r="1981" spans="2:6" x14ac:dyDescent="0.2">
      <c r="B1981" s="50">
        <v>909</v>
      </c>
      <c r="C1981" s="51">
        <v>0.29880246176254421</v>
      </c>
      <c r="D1981" s="52">
        <v>232</v>
      </c>
      <c r="E1981" s="53">
        <v>0.58992805755395683</v>
      </c>
      <c r="F1981" s="3"/>
    </row>
    <row r="1982" spans="2:6" x14ac:dyDescent="0.2">
      <c r="B1982" s="50">
        <v>910</v>
      </c>
      <c r="C1982" s="51">
        <v>0.3145086469888777</v>
      </c>
      <c r="D1982" s="52">
        <v>232</v>
      </c>
      <c r="E1982" s="53">
        <v>0.53237410071942448</v>
      </c>
      <c r="F1982" s="3"/>
    </row>
    <row r="1983" spans="2:6" x14ac:dyDescent="0.2">
      <c r="B1983" s="50">
        <v>691</v>
      </c>
      <c r="C1983" s="51">
        <v>0.40167202327764484</v>
      </c>
      <c r="D1983" s="52">
        <v>232</v>
      </c>
      <c r="E1983" s="53">
        <v>0.52517985611510787</v>
      </c>
      <c r="F1983" s="3"/>
    </row>
    <row r="1984" spans="2:6" x14ac:dyDescent="0.2">
      <c r="B1984" s="50">
        <v>690</v>
      </c>
      <c r="C1984" s="51">
        <v>0.4203066263604287</v>
      </c>
      <c r="D1984" s="52">
        <v>232</v>
      </c>
      <c r="E1984" s="53">
        <v>0.52517985611510787</v>
      </c>
      <c r="F1984" s="3"/>
    </row>
    <row r="1985" spans="2:6" x14ac:dyDescent="0.2">
      <c r="B1985" s="50">
        <v>745</v>
      </c>
      <c r="C1985" s="51">
        <v>0.42146733808203041</v>
      </c>
      <c r="D1985" s="52">
        <v>232</v>
      </c>
      <c r="E1985" s="53">
        <v>0.51798561151079137</v>
      </c>
      <c r="F1985" s="3"/>
    </row>
    <row r="1986" spans="2:6" x14ac:dyDescent="0.2">
      <c r="B1986" s="50">
        <v>125</v>
      </c>
      <c r="C1986" s="51">
        <v>0.8344568423337273</v>
      </c>
      <c r="D1986" s="52">
        <v>232</v>
      </c>
      <c r="E1986" s="53">
        <v>0.15827338129496402</v>
      </c>
      <c r="F1986" s="3"/>
    </row>
    <row r="1987" spans="2:6" x14ac:dyDescent="0.2">
      <c r="B1987" s="50">
        <v>501</v>
      </c>
      <c r="C1987" s="51">
        <v>0.8344568423337273</v>
      </c>
      <c r="D1987" s="52">
        <v>232</v>
      </c>
      <c r="E1987" s="53">
        <v>0.15827338129496402</v>
      </c>
      <c r="F1987" s="3"/>
    </row>
    <row r="1988" spans="2:6" x14ac:dyDescent="0.2">
      <c r="B1988" s="50">
        <v>126</v>
      </c>
      <c r="C1988" s="51">
        <v>0.87273517162735503</v>
      </c>
      <c r="D1988" s="52">
        <v>232</v>
      </c>
      <c r="E1988" s="53">
        <v>0.22302158273381295</v>
      </c>
      <c r="F1988" s="3"/>
    </row>
    <row r="1989" spans="2:6" x14ac:dyDescent="0.2">
      <c r="B1989" s="50">
        <v>442</v>
      </c>
      <c r="C1989" s="51">
        <v>0.87273517162735503</v>
      </c>
      <c r="D1989" s="52">
        <v>232</v>
      </c>
      <c r="E1989" s="53">
        <v>0.22302158273381295</v>
      </c>
      <c r="F1989" s="3"/>
    </row>
    <row r="1990" spans="2:6" x14ac:dyDescent="0.2">
      <c r="B1990" s="50">
        <v>127</v>
      </c>
      <c r="C1990" s="51">
        <v>0.88327465327159294</v>
      </c>
      <c r="D1990" s="52">
        <v>232</v>
      </c>
      <c r="E1990" s="53">
        <v>0.21582733812949639</v>
      </c>
      <c r="F1990" s="3"/>
    </row>
    <row r="1991" spans="2:6" x14ac:dyDescent="0.2">
      <c r="B1991" s="50">
        <v>382</v>
      </c>
      <c r="C1991" s="51">
        <v>0.88327465327159294</v>
      </c>
      <c r="D1991" s="52">
        <v>232</v>
      </c>
      <c r="E1991" s="53">
        <v>0.21582733812949639</v>
      </c>
      <c r="F1991" s="3"/>
    </row>
    <row r="1992" spans="2:6" x14ac:dyDescent="0.2">
      <c r="B1992" s="50">
        <v>273</v>
      </c>
      <c r="C1992" s="51">
        <v>0.19621685248949783</v>
      </c>
      <c r="D1992" s="52">
        <v>233</v>
      </c>
      <c r="E1992" s="53">
        <v>0.74820143884892087</v>
      </c>
      <c r="F1992" s="3"/>
    </row>
    <row r="1993" spans="2:6" x14ac:dyDescent="0.2">
      <c r="B1993" s="50">
        <v>335</v>
      </c>
      <c r="C1993" s="51">
        <v>0.19655472519576567</v>
      </c>
      <c r="D1993" s="52">
        <v>233</v>
      </c>
      <c r="E1993" s="53">
        <v>0.74820143884892087</v>
      </c>
      <c r="F1993" s="3"/>
    </row>
    <row r="1994" spans="2:6" x14ac:dyDescent="0.2">
      <c r="B1994" s="50">
        <v>272</v>
      </c>
      <c r="C1994" s="51">
        <v>0.31638401760951884</v>
      </c>
      <c r="D1994" s="52">
        <v>233</v>
      </c>
      <c r="E1994" s="53">
        <v>0.6690647482014388</v>
      </c>
      <c r="F1994" s="3"/>
    </row>
    <row r="1995" spans="2:6" x14ac:dyDescent="0.2">
      <c r="B1995" s="50">
        <v>334</v>
      </c>
      <c r="C1995" s="51">
        <v>0.3163970913056392</v>
      </c>
      <c r="D1995" s="52">
        <v>233</v>
      </c>
      <c r="E1995" s="53">
        <v>0.6690647482014388</v>
      </c>
      <c r="F1995" s="3"/>
    </row>
    <row r="1996" spans="2:6" x14ac:dyDescent="0.2">
      <c r="B1996" s="50">
        <v>296</v>
      </c>
      <c r="C1996" s="51">
        <v>0.31699545094520387</v>
      </c>
      <c r="D1996" s="52">
        <v>233</v>
      </c>
      <c r="E1996" s="53">
        <v>0.48201438848920863</v>
      </c>
      <c r="F1996" s="3"/>
    </row>
    <row r="1997" spans="2:6" x14ac:dyDescent="0.2">
      <c r="B1997" s="50">
        <v>295</v>
      </c>
      <c r="C1997" s="51">
        <v>0.31939598375982203</v>
      </c>
      <c r="D1997" s="52">
        <v>233</v>
      </c>
      <c r="E1997" s="53">
        <v>0.48920863309352519</v>
      </c>
      <c r="F1997" s="3"/>
    </row>
    <row r="1998" spans="2:6" x14ac:dyDescent="0.2">
      <c r="B1998" s="50">
        <v>957</v>
      </c>
      <c r="C1998" s="51">
        <v>0.36499321241315941</v>
      </c>
      <c r="D1998" s="52">
        <v>233</v>
      </c>
      <c r="E1998" s="53">
        <v>0.52517985611510787</v>
      </c>
      <c r="F1998" s="3"/>
    </row>
    <row r="1999" spans="2:6" x14ac:dyDescent="0.2">
      <c r="B1999" s="50">
        <v>906</v>
      </c>
      <c r="C1999" s="51">
        <v>0.37091564073660666</v>
      </c>
      <c r="D1999" s="52">
        <v>233</v>
      </c>
      <c r="E1999" s="53">
        <v>0.52517985611510787</v>
      </c>
      <c r="F1999" s="3"/>
    </row>
    <row r="2000" spans="2:6" x14ac:dyDescent="0.2">
      <c r="B2000" s="50">
        <v>959</v>
      </c>
      <c r="C2000" s="51">
        <v>0.38109836067234792</v>
      </c>
      <c r="D2000" s="52">
        <v>233</v>
      </c>
      <c r="E2000" s="53">
        <v>0.53956834532374098</v>
      </c>
      <c r="F2000" s="3"/>
    </row>
    <row r="2001" spans="2:6" x14ac:dyDescent="0.2">
      <c r="B2001" s="50">
        <v>908</v>
      </c>
      <c r="C2001" s="51">
        <v>0.38729336899174083</v>
      </c>
      <c r="D2001" s="52">
        <v>233</v>
      </c>
      <c r="E2001" s="53">
        <v>0.53956834532374098</v>
      </c>
      <c r="F2001" s="3"/>
    </row>
    <row r="2002" spans="2:6" x14ac:dyDescent="0.2">
      <c r="B2002" s="50">
        <v>130</v>
      </c>
      <c r="C2002" s="51">
        <v>1.0126264213883223</v>
      </c>
      <c r="D2002" s="52">
        <v>233</v>
      </c>
      <c r="E2002" s="53">
        <v>0.18705035971223022</v>
      </c>
      <c r="F2002" s="3"/>
    </row>
    <row r="2003" spans="2:6" x14ac:dyDescent="0.2">
      <c r="B2003" s="50">
        <v>196</v>
      </c>
      <c r="C2003" s="51">
        <v>1.0126264213883223</v>
      </c>
      <c r="D2003" s="52">
        <v>233</v>
      </c>
      <c r="E2003" s="53">
        <v>0.18705035971223022</v>
      </c>
      <c r="F2003" s="3"/>
    </row>
    <row r="2004" spans="2:6" x14ac:dyDescent="0.2">
      <c r="B2004" s="50">
        <v>195</v>
      </c>
      <c r="C2004" s="51">
        <v>1.0140772818333714</v>
      </c>
      <c r="D2004" s="52">
        <v>233</v>
      </c>
      <c r="E2004" s="53">
        <v>0.20143884892086331</v>
      </c>
      <c r="F2004" s="3"/>
    </row>
    <row r="2005" spans="2:6" x14ac:dyDescent="0.2">
      <c r="B2005" s="50">
        <v>84</v>
      </c>
      <c r="C2005" s="51">
        <v>0.18457501124248821</v>
      </c>
      <c r="D2005" s="52">
        <v>234</v>
      </c>
      <c r="E2005" s="53">
        <v>0.82014388489208634</v>
      </c>
      <c r="F2005" s="3"/>
    </row>
    <row r="2006" spans="2:6" x14ac:dyDescent="0.2">
      <c r="B2006" s="50">
        <v>2059</v>
      </c>
      <c r="C2006" s="51">
        <v>0.18457501124248821</v>
      </c>
      <c r="D2006" s="52">
        <v>234</v>
      </c>
      <c r="E2006" s="53">
        <v>0.82014388489208634</v>
      </c>
      <c r="F2006" s="3"/>
    </row>
    <row r="2007" spans="2:6" x14ac:dyDescent="0.2">
      <c r="B2007" s="50">
        <v>276</v>
      </c>
      <c r="C2007" s="51">
        <v>0.22507693144331531</v>
      </c>
      <c r="D2007" s="52">
        <v>234</v>
      </c>
      <c r="E2007" s="53">
        <v>0.75539568345323738</v>
      </c>
      <c r="F2007" s="3"/>
    </row>
    <row r="2008" spans="2:6" x14ac:dyDescent="0.2">
      <c r="B2008" s="50">
        <v>338</v>
      </c>
      <c r="C2008" s="51">
        <v>0.22511188869263887</v>
      </c>
      <c r="D2008" s="52">
        <v>234</v>
      </c>
      <c r="E2008" s="53">
        <v>0.75539568345323738</v>
      </c>
      <c r="F2008" s="3"/>
    </row>
    <row r="2009" spans="2:6" x14ac:dyDescent="0.2">
      <c r="B2009" s="50">
        <v>399</v>
      </c>
      <c r="C2009" s="51">
        <v>0.22816774770469528</v>
      </c>
      <c r="D2009" s="52">
        <v>234</v>
      </c>
      <c r="E2009" s="53">
        <v>0.75539568345323738</v>
      </c>
      <c r="F2009" s="3"/>
    </row>
    <row r="2010" spans="2:6" x14ac:dyDescent="0.2">
      <c r="B2010" s="50">
        <v>459</v>
      </c>
      <c r="C2010" s="51">
        <v>0.22961997175238957</v>
      </c>
      <c r="D2010" s="52">
        <v>234</v>
      </c>
      <c r="E2010" s="53">
        <v>0.74100719424460426</v>
      </c>
      <c r="F2010" s="3"/>
    </row>
    <row r="2011" spans="2:6" x14ac:dyDescent="0.2">
      <c r="B2011" s="50">
        <v>956</v>
      </c>
      <c r="C2011" s="51">
        <v>0.37418811858741674</v>
      </c>
      <c r="D2011" s="52">
        <v>234</v>
      </c>
      <c r="E2011" s="53">
        <v>0.52517985611510787</v>
      </c>
      <c r="F2011" s="3"/>
    </row>
    <row r="2012" spans="2:6" x14ac:dyDescent="0.2">
      <c r="B2012" s="50">
        <v>905</v>
      </c>
      <c r="C2012" s="51">
        <v>0.38022385532327707</v>
      </c>
      <c r="D2012" s="52">
        <v>234</v>
      </c>
      <c r="E2012" s="53">
        <v>0.52517985611510787</v>
      </c>
      <c r="F2012" s="3"/>
    </row>
    <row r="2013" spans="2:6" x14ac:dyDescent="0.2">
      <c r="B2013" s="50">
        <v>958</v>
      </c>
      <c r="C2013" s="51">
        <v>0.39182867702647539</v>
      </c>
      <c r="D2013" s="52">
        <v>234</v>
      </c>
      <c r="E2013" s="53">
        <v>0.53956834532374098</v>
      </c>
      <c r="F2013" s="3"/>
    </row>
    <row r="2014" spans="2:6" x14ac:dyDescent="0.2">
      <c r="B2014" s="50">
        <v>955</v>
      </c>
      <c r="C2014" s="51">
        <v>0.39197040376360803</v>
      </c>
      <c r="D2014" s="52">
        <v>234</v>
      </c>
      <c r="E2014" s="53">
        <v>0.52517985611510787</v>
      </c>
      <c r="F2014" s="3"/>
    </row>
    <row r="2015" spans="2:6" x14ac:dyDescent="0.2">
      <c r="B2015" s="50">
        <v>907</v>
      </c>
      <c r="C2015" s="51">
        <v>0.39818029276839162</v>
      </c>
      <c r="D2015" s="52">
        <v>234</v>
      </c>
      <c r="E2015" s="53">
        <v>0.53956834532374098</v>
      </c>
      <c r="F2015" s="3"/>
    </row>
    <row r="2016" spans="2:6" x14ac:dyDescent="0.2">
      <c r="B2016" s="50">
        <v>904</v>
      </c>
      <c r="C2016" s="51">
        <v>0.39824426917681754</v>
      </c>
      <c r="D2016" s="52">
        <v>234</v>
      </c>
      <c r="E2016" s="53">
        <v>0.52517985611510787</v>
      </c>
      <c r="F2016" s="3"/>
    </row>
    <row r="2017" spans="2:6" x14ac:dyDescent="0.2">
      <c r="B2017" s="50">
        <v>124</v>
      </c>
      <c r="C2017" s="51">
        <v>0.82136967230342073</v>
      </c>
      <c r="D2017" s="52">
        <v>234</v>
      </c>
      <c r="E2017" s="53">
        <v>0.15827338129496402</v>
      </c>
      <c r="F2017" s="3"/>
    </row>
    <row r="2018" spans="2:6" x14ac:dyDescent="0.2">
      <c r="B2018" s="50">
        <v>559</v>
      </c>
      <c r="C2018" s="51">
        <v>0.82136967230342073</v>
      </c>
      <c r="D2018" s="52">
        <v>234</v>
      </c>
      <c r="E2018" s="53">
        <v>0.15827338129496402</v>
      </c>
      <c r="F2018" s="3"/>
    </row>
    <row r="2019" spans="2:6" x14ac:dyDescent="0.2">
      <c r="B2019" s="50">
        <v>128</v>
      </c>
      <c r="C2019" s="51">
        <v>0.93749671506895538</v>
      </c>
      <c r="D2019" s="52">
        <v>234</v>
      </c>
      <c r="E2019" s="53">
        <v>0.15107913669064749</v>
      </c>
      <c r="F2019" s="3"/>
    </row>
    <row r="2020" spans="2:6" x14ac:dyDescent="0.2">
      <c r="B2020" s="50">
        <v>321</v>
      </c>
      <c r="C2020" s="51">
        <v>0.93749671506895538</v>
      </c>
      <c r="D2020" s="52">
        <v>234</v>
      </c>
      <c r="E2020" s="53">
        <v>0.15107913669064749</v>
      </c>
      <c r="F2020" s="3"/>
    </row>
    <row r="2021" spans="2:6" x14ac:dyDescent="0.2">
      <c r="B2021" s="50">
        <v>129</v>
      </c>
      <c r="C2021" s="51">
        <v>0.94487326681899342</v>
      </c>
      <c r="D2021" s="52">
        <v>234</v>
      </c>
      <c r="E2021" s="53">
        <v>0.15107913669064749</v>
      </c>
      <c r="F2021" s="3"/>
    </row>
    <row r="2022" spans="2:6" x14ac:dyDescent="0.2">
      <c r="B2022" s="50">
        <v>259</v>
      </c>
      <c r="C2022" s="51">
        <v>0.94487326681899342</v>
      </c>
      <c r="D2022" s="52">
        <v>234</v>
      </c>
      <c r="E2022" s="53">
        <v>0.15107913669064749</v>
      </c>
      <c r="F2022" s="3"/>
    </row>
    <row r="2023" spans="2:6" x14ac:dyDescent="0.2">
      <c r="B2023" s="50">
        <v>961</v>
      </c>
      <c r="C2023" s="51">
        <v>0.30888441742287764</v>
      </c>
      <c r="D2023" s="52">
        <v>235</v>
      </c>
      <c r="E2023" s="53">
        <v>0.53237410071942448</v>
      </c>
      <c r="F2023" s="3"/>
    </row>
    <row r="2024" spans="2:6" x14ac:dyDescent="0.2">
      <c r="B2024" s="50">
        <v>95</v>
      </c>
      <c r="C2024" s="51">
        <v>0.16046850076479768</v>
      </c>
      <c r="D2024" s="52">
        <v>236</v>
      </c>
      <c r="E2024" s="53">
        <v>0.61870503597122306</v>
      </c>
      <c r="F2024" s="3"/>
    </row>
    <row r="2025" spans="2:6" x14ac:dyDescent="0.2">
      <c r="B2025" s="50">
        <v>1806</v>
      </c>
      <c r="C2025" s="51">
        <v>0.16046850076479768</v>
      </c>
      <c r="D2025" s="52">
        <v>236</v>
      </c>
      <c r="E2025" s="53">
        <v>0.61870503597122306</v>
      </c>
      <c r="F2025" s="3"/>
    </row>
    <row r="2026" spans="2:6" x14ac:dyDescent="0.2">
      <c r="B2026" s="50">
        <v>97</v>
      </c>
      <c r="C2026" s="51">
        <v>0.16609077502380254</v>
      </c>
      <c r="D2026" s="52">
        <v>236</v>
      </c>
      <c r="E2026" s="53">
        <v>0.61870503597122306</v>
      </c>
      <c r="F2026" s="3"/>
    </row>
    <row r="2027" spans="2:6" x14ac:dyDescent="0.2">
      <c r="B2027" s="50">
        <v>1747</v>
      </c>
      <c r="C2027" s="51">
        <v>0.16609077502380254</v>
      </c>
      <c r="D2027" s="52">
        <v>236</v>
      </c>
      <c r="E2027" s="53">
        <v>0.61870503597122306</v>
      </c>
      <c r="F2027" s="3"/>
    </row>
    <row r="2028" spans="2:6" x14ac:dyDescent="0.2">
      <c r="B2028" s="50">
        <v>96</v>
      </c>
      <c r="C2028" s="51">
        <v>0.16812048657032874</v>
      </c>
      <c r="D2028" s="52">
        <v>236</v>
      </c>
      <c r="E2028" s="53">
        <v>0.61151079136690645</v>
      </c>
      <c r="F2028" s="3"/>
    </row>
    <row r="2029" spans="2:6" x14ac:dyDescent="0.2">
      <c r="B2029" s="50">
        <v>1777</v>
      </c>
      <c r="C2029" s="51">
        <v>0.16812048657032874</v>
      </c>
      <c r="D2029" s="52">
        <v>236</v>
      </c>
      <c r="E2029" s="53">
        <v>0.61151079136690645</v>
      </c>
      <c r="F2029" s="3"/>
    </row>
    <row r="2030" spans="2:6" x14ac:dyDescent="0.2">
      <c r="B2030" s="50">
        <v>98</v>
      </c>
      <c r="C2030" s="51">
        <v>0.17398655339402747</v>
      </c>
      <c r="D2030" s="52">
        <v>236</v>
      </c>
      <c r="E2030" s="53">
        <v>0.53956834532374098</v>
      </c>
      <c r="F2030" s="3"/>
    </row>
    <row r="2031" spans="2:6" x14ac:dyDescent="0.2">
      <c r="B2031" s="50">
        <v>1716</v>
      </c>
      <c r="C2031" s="51">
        <v>0.17398655339402747</v>
      </c>
      <c r="D2031" s="52">
        <v>236</v>
      </c>
      <c r="E2031" s="53">
        <v>0.53956834532374098</v>
      </c>
      <c r="F2031" s="3"/>
    </row>
    <row r="2032" spans="2:6" x14ac:dyDescent="0.2">
      <c r="B2032" s="50">
        <v>100</v>
      </c>
      <c r="C2032" s="51">
        <v>0.22117784461447876</v>
      </c>
      <c r="D2032" s="52">
        <v>236</v>
      </c>
      <c r="E2032" s="53">
        <v>0.43165467625899279</v>
      </c>
      <c r="F2032" s="3"/>
    </row>
    <row r="2033" spans="2:6" x14ac:dyDescent="0.2">
      <c r="B2033" s="50">
        <v>1651</v>
      </c>
      <c r="C2033" s="51">
        <v>0.22117784461447876</v>
      </c>
      <c r="D2033" s="52">
        <v>236</v>
      </c>
      <c r="E2033" s="53">
        <v>0.43165467625899279</v>
      </c>
      <c r="F2033" s="3"/>
    </row>
    <row r="2034" spans="2:6" x14ac:dyDescent="0.2">
      <c r="B2034" s="50">
        <v>99</v>
      </c>
      <c r="C2034" s="51">
        <v>0.22310591201628083</v>
      </c>
      <c r="D2034" s="52">
        <v>236</v>
      </c>
      <c r="E2034" s="53">
        <v>0.59712230215827333</v>
      </c>
      <c r="F2034" s="3"/>
    </row>
    <row r="2035" spans="2:6" x14ac:dyDescent="0.2">
      <c r="B2035" s="50">
        <v>1684</v>
      </c>
      <c r="C2035" s="51">
        <v>0.22310591201628083</v>
      </c>
      <c r="D2035" s="52">
        <v>236</v>
      </c>
      <c r="E2035" s="53">
        <v>0.59712230215827333</v>
      </c>
      <c r="F2035" s="3"/>
    </row>
    <row r="2036" spans="2:6" x14ac:dyDescent="0.2">
      <c r="B2036" s="50">
        <v>711</v>
      </c>
      <c r="C2036" s="51">
        <v>0.30386697215988623</v>
      </c>
      <c r="D2036" s="52">
        <v>236</v>
      </c>
      <c r="E2036" s="53">
        <v>0.43165467625899279</v>
      </c>
      <c r="F2036" s="3"/>
    </row>
    <row r="2037" spans="2:6" x14ac:dyDescent="0.2">
      <c r="B2037" s="50">
        <v>766</v>
      </c>
      <c r="C2037" s="51">
        <v>0.30511351682618526</v>
      </c>
      <c r="D2037" s="52">
        <v>236</v>
      </c>
      <c r="E2037" s="53">
        <v>0.43165467625899279</v>
      </c>
      <c r="F2037" s="3"/>
    </row>
    <row r="2038" spans="2:6" x14ac:dyDescent="0.2">
      <c r="B2038" s="50">
        <v>820</v>
      </c>
      <c r="C2038" s="51">
        <v>0.30846580098446186</v>
      </c>
      <c r="D2038" s="52">
        <v>236</v>
      </c>
      <c r="E2038" s="53">
        <v>0.43165467625899279</v>
      </c>
      <c r="F2038" s="3"/>
    </row>
    <row r="2039" spans="2:6" x14ac:dyDescent="0.2">
      <c r="B2039" s="50">
        <v>190</v>
      </c>
      <c r="C2039" s="51">
        <v>0.83380725010916135</v>
      </c>
      <c r="D2039" s="52">
        <v>236</v>
      </c>
      <c r="E2039" s="53">
        <v>0.15827338129496402</v>
      </c>
      <c r="F2039" s="3"/>
    </row>
    <row r="2040" spans="2:6" x14ac:dyDescent="0.2">
      <c r="B2040" s="50">
        <v>191</v>
      </c>
      <c r="C2040" s="51">
        <v>0.87068818564395289</v>
      </c>
      <c r="D2040" s="52">
        <v>236</v>
      </c>
      <c r="E2040" s="53">
        <v>0.22302158273381295</v>
      </c>
      <c r="F2040" s="3"/>
    </row>
    <row r="2041" spans="2:6" x14ac:dyDescent="0.2">
      <c r="B2041" s="50">
        <v>192</v>
      </c>
      <c r="C2041" s="51">
        <v>0.88109059695269842</v>
      </c>
      <c r="D2041" s="52">
        <v>236</v>
      </c>
      <c r="E2041" s="53">
        <v>0.21582733812949639</v>
      </c>
      <c r="F2041" s="3"/>
    </row>
    <row r="2042" spans="2:6" x14ac:dyDescent="0.2">
      <c r="B2042" s="50">
        <v>193</v>
      </c>
      <c r="C2042" s="51">
        <v>0.93850787498056576</v>
      </c>
      <c r="D2042" s="52">
        <v>236</v>
      </c>
      <c r="E2042" s="53">
        <v>0.15107913669064749</v>
      </c>
      <c r="F2042" s="3"/>
    </row>
    <row r="2043" spans="2:6" x14ac:dyDescent="0.2">
      <c r="B2043" s="50">
        <v>194</v>
      </c>
      <c r="C2043" s="51">
        <v>0.9452966222340341</v>
      </c>
      <c r="D2043" s="52">
        <v>236</v>
      </c>
      <c r="E2043" s="53">
        <v>0.15107913669064749</v>
      </c>
      <c r="F2043" s="3"/>
    </row>
    <row r="2044" spans="2:6" x14ac:dyDescent="0.2">
      <c r="B2044" s="50">
        <v>298</v>
      </c>
      <c r="C2044" s="51">
        <v>0.26765084946764039</v>
      </c>
      <c r="D2044" s="52">
        <v>238</v>
      </c>
      <c r="E2044" s="53">
        <v>0.33812949640287771</v>
      </c>
      <c r="F2044" s="3"/>
    </row>
    <row r="2045" spans="2:6" x14ac:dyDescent="0.2">
      <c r="B2045" s="50">
        <v>360</v>
      </c>
      <c r="C2045" s="51">
        <v>0.27016404843474917</v>
      </c>
      <c r="D2045" s="52">
        <v>238</v>
      </c>
      <c r="E2045" s="53">
        <v>0.33812949640287771</v>
      </c>
      <c r="F2045" s="3"/>
    </row>
    <row r="2046" spans="2:6" x14ac:dyDescent="0.2">
      <c r="B2046" s="50">
        <v>481</v>
      </c>
      <c r="C2046" s="51">
        <v>0.27101033292112797</v>
      </c>
      <c r="D2046" s="52">
        <v>238</v>
      </c>
      <c r="E2046" s="53">
        <v>0.41726618705035973</v>
      </c>
      <c r="F2046" s="3"/>
    </row>
    <row r="2047" spans="2:6" x14ac:dyDescent="0.2">
      <c r="B2047" s="50">
        <v>421</v>
      </c>
      <c r="C2047" s="51">
        <v>0.27205759077372138</v>
      </c>
      <c r="D2047" s="52">
        <v>238</v>
      </c>
      <c r="E2047" s="53">
        <v>0.41726618705035973</v>
      </c>
      <c r="F2047" s="3"/>
    </row>
    <row r="2048" spans="2:6" x14ac:dyDescent="0.2">
      <c r="B2048" s="50">
        <v>540</v>
      </c>
      <c r="C2048" s="51">
        <v>0.27861744593004401</v>
      </c>
      <c r="D2048" s="52">
        <v>238</v>
      </c>
      <c r="E2048" s="53">
        <v>0.41726618705035973</v>
      </c>
      <c r="F2048" s="3"/>
    </row>
    <row r="2049" spans="2:6" x14ac:dyDescent="0.2">
      <c r="B2049" s="50">
        <v>598</v>
      </c>
      <c r="C2049" s="51">
        <v>0.2931608110411289</v>
      </c>
      <c r="D2049" s="52">
        <v>238</v>
      </c>
      <c r="E2049" s="53">
        <v>0.42446043165467628</v>
      </c>
      <c r="F2049" s="3"/>
    </row>
    <row r="2050" spans="2:6" x14ac:dyDescent="0.2">
      <c r="B2050" s="50">
        <v>655</v>
      </c>
      <c r="C2050" s="51">
        <v>0.29838462095408191</v>
      </c>
      <c r="D2050" s="52">
        <v>238</v>
      </c>
      <c r="E2050" s="53">
        <v>0.42446043165467628</v>
      </c>
      <c r="F2050" s="3"/>
    </row>
    <row r="2051" spans="2:6" x14ac:dyDescent="0.2">
      <c r="B2051" s="50">
        <v>122</v>
      </c>
      <c r="C2051" s="51">
        <v>0.80008671394244191</v>
      </c>
      <c r="D2051" s="52">
        <v>238</v>
      </c>
      <c r="E2051" s="53">
        <v>0.15827338129496402</v>
      </c>
      <c r="F2051" s="3"/>
    </row>
    <row r="2052" spans="2:6" x14ac:dyDescent="0.2">
      <c r="B2052" s="50">
        <v>672</v>
      </c>
      <c r="C2052" s="51">
        <v>0.80008671394244191</v>
      </c>
      <c r="D2052" s="52">
        <v>238</v>
      </c>
      <c r="E2052" s="53">
        <v>0.15827338129496402</v>
      </c>
      <c r="F2052" s="3"/>
    </row>
    <row r="2053" spans="2:6" x14ac:dyDescent="0.2">
      <c r="B2053" s="50">
        <v>123</v>
      </c>
      <c r="C2053" s="51">
        <v>0.81240193771249647</v>
      </c>
      <c r="D2053" s="52">
        <v>238</v>
      </c>
      <c r="E2053" s="53">
        <v>0.15827338129496402</v>
      </c>
      <c r="F2053" s="3"/>
    </row>
    <row r="2054" spans="2:6" x14ac:dyDescent="0.2">
      <c r="B2054" s="50">
        <v>616</v>
      </c>
      <c r="C2054" s="51">
        <v>0.81240193771249647</v>
      </c>
      <c r="D2054" s="52">
        <v>238</v>
      </c>
      <c r="E2054" s="53">
        <v>0.15827338129496402</v>
      </c>
      <c r="F2054" s="3"/>
    </row>
    <row r="2055" spans="2:6" x14ac:dyDescent="0.2">
      <c r="B2055" s="50">
        <v>189</v>
      </c>
      <c r="C2055" s="51">
        <v>0.82107444542258134</v>
      </c>
      <c r="D2055" s="52">
        <v>238</v>
      </c>
      <c r="E2055" s="53">
        <v>0.15827338129496402</v>
      </c>
      <c r="F2055" s="3"/>
    </row>
    <row r="2056" spans="2:6" x14ac:dyDescent="0.2">
      <c r="B2056" s="50">
        <v>358</v>
      </c>
      <c r="C2056" s="51">
        <v>0.31838283200474693</v>
      </c>
      <c r="D2056" s="52">
        <v>240</v>
      </c>
      <c r="E2056" s="53">
        <v>0.48201438848920863</v>
      </c>
      <c r="F2056" s="3"/>
    </row>
    <row r="2057" spans="2:6" x14ac:dyDescent="0.2">
      <c r="B2057" s="50">
        <v>357</v>
      </c>
      <c r="C2057" s="51">
        <v>0.32076099847193895</v>
      </c>
      <c r="D2057" s="52">
        <v>240</v>
      </c>
      <c r="E2057" s="53">
        <v>0.48920863309352519</v>
      </c>
      <c r="F2057" s="3"/>
    </row>
    <row r="2058" spans="2:6" x14ac:dyDescent="0.2">
      <c r="B2058" s="50">
        <v>408</v>
      </c>
      <c r="C2058" s="51">
        <v>0.22541522714305051</v>
      </c>
      <c r="D2058" s="52">
        <v>241</v>
      </c>
      <c r="E2058" s="53">
        <v>0.58992805755395683</v>
      </c>
      <c r="F2058" s="3"/>
    </row>
    <row r="2059" spans="2:6" x14ac:dyDescent="0.2">
      <c r="B2059" s="50">
        <v>347</v>
      </c>
      <c r="C2059" s="51">
        <v>0.22717445811219439</v>
      </c>
      <c r="D2059" s="52">
        <v>241</v>
      </c>
      <c r="E2059" s="53">
        <v>0.58992805755395683</v>
      </c>
      <c r="F2059" s="3"/>
    </row>
    <row r="2060" spans="2:6" x14ac:dyDescent="0.2">
      <c r="B2060" s="50">
        <v>285</v>
      </c>
      <c r="C2060" s="51">
        <v>0.22779666564191892</v>
      </c>
      <c r="D2060" s="52">
        <v>241</v>
      </c>
      <c r="E2060" s="53">
        <v>0.58992805755395683</v>
      </c>
      <c r="F2060" s="3"/>
    </row>
    <row r="2061" spans="2:6" x14ac:dyDescent="0.2">
      <c r="B2061" s="50">
        <v>346</v>
      </c>
      <c r="C2061" s="51">
        <v>0.29288560338038583</v>
      </c>
      <c r="D2061" s="52">
        <v>241</v>
      </c>
      <c r="E2061" s="53">
        <v>0.53956834532374098</v>
      </c>
      <c r="F2061" s="3"/>
    </row>
    <row r="2062" spans="2:6" x14ac:dyDescent="0.2">
      <c r="B2062" s="50">
        <v>284</v>
      </c>
      <c r="C2062" s="51">
        <v>0.29374125890344716</v>
      </c>
      <c r="D2062" s="52">
        <v>241</v>
      </c>
      <c r="E2062" s="53">
        <v>0.53956834532374098</v>
      </c>
      <c r="F2062" s="3"/>
    </row>
    <row r="2063" spans="2:6" x14ac:dyDescent="0.2">
      <c r="B2063" s="50">
        <v>344</v>
      </c>
      <c r="C2063" s="51">
        <v>0.33562709699531146</v>
      </c>
      <c r="D2063" s="52">
        <v>241</v>
      </c>
      <c r="E2063" s="53">
        <v>0.5467625899280576</v>
      </c>
      <c r="F2063" s="3"/>
    </row>
    <row r="2064" spans="2:6" x14ac:dyDescent="0.2">
      <c r="B2064" s="50">
        <v>282</v>
      </c>
      <c r="C2064" s="51">
        <v>0.33646027797683831</v>
      </c>
      <c r="D2064" s="52">
        <v>241</v>
      </c>
      <c r="E2064" s="53">
        <v>0.53956834532374098</v>
      </c>
      <c r="F2064" s="3"/>
    </row>
    <row r="2065" spans="2:6" x14ac:dyDescent="0.2">
      <c r="B2065" s="50">
        <v>345</v>
      </c>
      <c r="C2065" s="51">
        <v>0.35547811868190704</v>
      </c>
      <c r="D2065" s="52">
        <v>241</v>
      </c>
      <c r="E2065" s="53">
        <v>0.4460431654676259</v>
      </c>
      <c r="F2065" s="3"/>
    </row>
    <row r="2066" spans="2:6" x14ac:dyDescent="0.2">
      <c r="B2066" s="50">
        <v>283</v>
      </c>
      <c r="C2066" s="51">
        <v>0.35642978120811253</v>
      </c>
      <c r="D2066" s="52">
        <v>241</v>
      </c>
      <c r="E2066" s="53">
        <v>0.4460431654676259</v>
      </c>
      <c r="F2066" s="3"/>
    </row>
    <row r="2067" spans="2:6" x14ac:dyDescent="0.2">
      <c r="B2067" s="50">
        <v>801</v>
      </c>
      <c r="C2067" s="51">
        <v>0.39164144873140783</v>
      </c>
      <c r="D2067" s="52">
        <v>242</v>
      </c>
      <c r="E2067" s="53">
        <v>0.52517985611510787</v>
      </c>
      <c r="F2067" s="3"/>
    </row>
    <row r="2068" spans="2:6" x14ac:dyDescent="0.2">
      <c r="B2068" s="50">
        <v>747</v>
      </c>
      <c r="C2068" s="51">
        <v>0.39279203334858048</v>
      </c>
      <c r="D2068" s="52">
        <v>242</v>
      </c>
      <c r="E2068" s="53">
        <v>0.52517985611510787</v>
      </c>
      <c r="F2068" s="3"/>
    </row>
    <row r="2069" spans="2:6" x14ac:dyDescent="0.2">
      <c r="B2069" s="50">
        <v>636</v>
      </c>
      <c r="C2069" s="51">
        <v>0.39512237276890794</v>
      </c>
      <c r="D2069" s="52">
        <v>242</v>
      </c>
      <c r="E2069" s="53">
        <v>0.52517985611510787</v>
      </c>
      <c r="F2069" s="3"/>
    </row>
    <row r="2070" spans="2:6" x14ac:dyDescent="0.2">
      <c r="B2070" s="50">
        <v>579</v>
      </c>
      <c r="C2070" s="51">
        <v>0.39751072079060246</v>
      </c>
      <c r="D2070" s="52">
        <v>242</v>
      </c>
      <c r="E2070" s="53">
        <v>0.51798561151079137</v>
      </c>
      <c r="F2070" s="3"/>
    </row>
    <row r="2071" spans="2:6" x14ac:dyDescent="0.2">
      <c r="B2071" s="50">
        <v>521</v>
      </c>
      <c r="C2071" s="51">
        <v>0.40697438258979501</v>
      </c>
      <c r="D2071" s="52">
        <v>242</v>
      </c>
      <c r="E2071" s="53">
        <v>0.51798561151079137</v>
      </c>
      <c r="F2071" s="3"/>
    </row>
    <row r="2072" spans="2:6" x14ac:dyDescent="0.2">
      <c r="B2072" s="50">
        <v>803</v>
      </c>
      <c r="C2072" s="51">
        <v>0.40912318726881725</v>
      </c>
      <c r="D2072" s="52">
        <v>242</v>
      </c>
      <c r="E2072" s="53">
        <v>0.53956834532374098</v>
      </c>
      <c r="F2072" s="3"/>
    </row>
    <row r="2073" spans="2:6" x14ac:dyDescent="0.2">
      <c r="B2073" s="50">
        <v>694</v>
      </c>
      <c r="C2073" s="51">
        <v>0.40939441816731958</v>
      </c>
      <c r="D2073" s="52">
        <v>242</v>
      </c>
      <c r="E2073" s="53">
        <v>0.53956834532374098</v>
      </c>
      <c r="F2073" s="3"/>
    </row>
    <row r="2074" spans="2:6" x14ac:dyDescent="0.2">
      <c r="B2074" s="50">
        <v>402</v>
      </c>
      <c r="C2074" s="51">
        <v>0.40948074686865965</v>
      </c>
      <c r="D2074" s="52">
        <v>242</v>
      </c>
      <c r="E2074" s="53">
        <v>0.51798561151079137</v>
      </c>
      <c r="F2074" s="3"/>
    </row>
    <row r="2075" spans="2:6" x14ac:dyDescent="0.2">
      <c r="B2075" s="50">
        <v>462</v>
      </c>
      <c r="C2075" s="51">
        <v>0.41020893430835492</v>
      </c>
      <c r="D2075" s="52">
        <v>242</v>
      </c>
      <c r="E2075" s="53">
        <v>0.51798561151079137</v>
      </c>
      <c r="F2075" s="3"/>
    </row>
    <row r="2076" spans="2:6" x14ac:dyDescent="0.2">
      <c r="B2076" s="50">
        <v>749</v>
      </c>
      <c r="C2076" s="51">
        <v>0.4104053776469756</v>
      </c>
      <c r="D2076" s="52">
        <v>242</v>
      </c>
      <c r="E2076" s="53">
        <v>0.53237410071942448</v>
      </c>
      <c r="F2076" s="3"/>
    </row>
    <row r="2077" spans="2:6" x14ac:dyDescent="0.2">
      <c r="B2077" s="50">
        <v>279</v>
      </c>
      <c r="C2077" s="51">
        <v>0.41226843724058693</v>
      </c>
      <c r="D2077" s="52">
        <v>242</v>
      </c>
      <c r="E2077" s="53">
        <v>0.51798561151079137</v>
      </c>
      <c r="F2077" s="3"/>
    </row>
    <row r="2078" spans="2:6" x14ac:dyDescent="0.2">
      <c r="B2078" s="50">
        <v>638</v>
      </c>
      <c r="C2078" s="51">
        <v>0.41313899279081101</v>
      </c>
      <c r="D2078" s="52">
        <v>242</v>
      </c>
      <c r="E2078" s="53">
        <v>0.53237410071942448</v>
      </c>
      <c r="F2078" s="3"/>
    </row>
    <row r="2079" spans="2:6" x14ac:dyDescent="0.2">
      <c r="B2079" s="50">
        <v>581</v>
      </c>
      <c r="C2079" s="51">
        <v>0.41565389499867367</v>
      </c>
      <c r="D2079" s="52">
        <v>242</v>
      </c>
      <c r="E2079" s="53">
        <v>0.53237410071942448</v>
      </c>
      <c r="F2079" s="3"/>
    </row>
    <row r="2080" spans="2:6" x14ac:dyDescent="0.2">
      <c r="B2080" s="50">
        <v>523</v>
      </c>
      <c r="C2080" s="51">
        <v>0.42567550936535892</v>
      </c>
      <c r="D2080" s="52">
        <v>242</v>
      </c>
      <c r="E2080" s="53">
        <v>0.53237410071942448</v>
      </c>
      <c r="F2080" s="3"/>
    </row>
    <row r="2081" spans="2:6" x14ac:dyDescent="0.2">
      <c r="B2081" s="50">
        <v>404</v>
      </c>
      <c r="C2081" s="51">
        <v>0.42882336732451798</v>
      </c>
      <c r="D2081" s="52">
        <v>242</v>
      </c>
      <c r="E2081" s="53">
        <v>0.53237410071942448</v>
      </c>
      <c r="F2081" s="3"/>
    </row>
    <row r="2082" spans="2:6" x14ac:dyDescent="0.2">
      <c r="B2082" s="50">
        <v>464</v>
      </c>
      <c r="C2082" s="51">
        <v>0.42941929263551737</v>
      </c>
      <c r="D2082" s="52">
        <v>242</v>
      </c>
      <c r="E2082" s="53">
        <v>0.52517985611510787</v>
      </c>
      <c r="F2082" s="3"/>
    </row>
    <row r="2083" spans="2:6" x14ac:dyDescent="0.2">
      <c r="B2083" s="50">
        <v>281</v>
      </c>
      <c r="C2083" s="51">
        <v>0.43251777407904535</v>
      </c>
      <c r="D2083" s="52">
        <v>242</v>
      </c>
      <c r="E2083" s="53">
        <v>0.53237410071942448</v>
      </c>
      <c r="F2083" s="3"/>
    </row>
    <row r="2084" spans="2:6" x14ac:dyDescent="0.2">
      <c r="B2084" s="50">
        <v>120</v>
      </c>
      <c r="C2084" s="51">
        <v>0.76823452532361025</v>
      </c>
      <c r="D2084" s="52">
        <v>242</v>
      </c>
      <c r="E2084" s="53">
        <v>0.15827338129496402</v>
      </c>
      <c r="F2084" s="3"/>
    </row>
    <row r="2085" spans="2:6" x14ac:dyDescent="0.2">
      <c r="B2085" s="50">
        <v>781</v>
      </c>
      <c r="C2085" s="51">
        <v>0.76823452532361025</v>
      </c>
      <c r="D2085" s="52">
        <v>242</v>
      </c>
      <c r="E2085" s="53">
        <v>0.15827338129496402</v>
      </c>
      <c r="F2085" s="3"/>
    </row>
    <row r="2086" spans="2:6" x14ac:dyDescent="0.2">
      <c r="B2086" s="50">
        <v>121</v>
      </c>
      <c r="C2086" s="51">
        <v>0.77943313791999225</v>
      </c>
      <c r="D2086" s="52">
        <v>242</v>
      </c>
      <c r="E2086" s="53">
        <v>0.15827338129496402</v>
      </c>
      <c r="F2086" s="3"/>
    </row>
    <row r="2087" spans="2:6" x14ac:dyDescent="0.2">
      <c r="B2087" s="50">
        <v>727</v>
      </c>
      <c r="C2087" s="51">
        <v>0.77943313791999225</v>
      </c>
      <c r="D2087" s="52">
        <v>242</v>
      </c>
      <c r="E2087" s="53">
        <v>0.15827338129496402</v>
      </c>
      <c r="F2087" s="3"/>
    </row>
    <row r="2088" spans="2:6" x14ac:dyDescent="0.2">
      <c r="B2088" s="50">
        <v>187</v>
      </c>
      <c r="C2088" s="51">
        <v>0.79964299619488799</v>
      </c>
      <c r="D2088" s="52">
        <v>242</v>
      </c>
      <c r="E2088" s="53">
        <v>0.15827338129496402</v>
      </c>
      <c r="F2088" s="3"/>
    </row>
    <row r="2089" spans="2:6" x14ac:dyDescent="0.2">
      <c r="B2089" s="50">
        <v>188</v>
      </c>
      <c r="C2089" s="51">
        <v>0.81225138933578434</v>
      </c>
      <c r="D2089" s="52">
        <v>242</v>
      </c>
      <c r="E2089" s="53">
        <v>0.15827338129496402</v>
      </c>
      <c r="F2089" s="3"/>
    </row>
    <row r="2090" spans="2:6" x14ac:dyDescent="0.2">
      <c r="B2090" s="50">
        <v>101</v>
      </c>
      <c r="C2090" s="51">
        <v>0.25944990334602325</v>
      </c>
      <c r="D2090" s="52">
        <v>243</v>
      </c>
      <c r="E2090" s="53">
        <v>0.42446043165467628</v>
      </c>
      <c r="F2090" s="3"/>
    </row>
    <row r="2091" spans="2:6" x14ac:dyDescent="0.2">
      <c r="B2091" s="50">
        <v>1617</v>
      </c>
      <c r="C2091" s="51">
        <v>0.25944990334602325</v>
      </c>
      <c r="D2091" s="52">
        <v>243</v>
      </c>
      <c r="E2091" s="53">
        <v>0.42446043165467628</v>
      </c>
      <c r="F2091" s="3"/>
    </row>
    <row r="2092" spans="2:6" x14ac:dyDescent="0.2">
      <c r="B2092" s="50">
        <v>800</v>
      </c>
      <c r="C2092" s="51">
        <v>0.40153747159972952</v>
      </c>
      <c r="D2092" s="52">
        <v>243</v>
      </c>
      <c r="E2092" s="53">
        <v>0.52517985611510787</v>
      </c>
      <c r="F2092" s="3"/>
    </row>
    <row r="2093" spans="2:6" x14ac:dyDescent="0.2">
      <c r="B2093" s="50">
        <v>746</v>
      </c>
      <c r="C2093" s="51">
        <v>0.4027445488589505</v>
      </c>
      <c r="D2093" s="52">
        <v>243</v>
      </c>
      <c r="E2093" s="53">
        <v>0.52517985611510787</v>
      </c>
      <c r="F2093" s="3"/>
    </row>
    <row r="2094" spans="2:6" x14ac:dyDescent="0.2">
      <c r="B2094" s="50">
        <v>635</v>
      </c>
      <c r="C2094" s="51">
        <v>0.40520574877043047</v>
      </c>
      <c r="D2094" s="52">
        <v>243</v>
      </c>
      <c r="E2094" s="53">
        <v>0.52517985611510787</v>
      </c>
      <c r="F2094" s="3"/>
    </row>
    <row r="2095" spans="2:6" x14ac:dyDescent="0.2">
      <c r="B2095" s="50">
        <v>578</v>
      </c>
      <c r="C2095" s="51">
        <v>0.40766733809084421</v>
      </c>
      <c r="D2095" s="52">
        <v>243</v>
      </c>
      <c r="E2095" s="53">
        <v>0.51798561151079137</v>
      </c>
      <c r="F2095" s="3"/>
    </row>
    <row r="2096" spans="2:6" x14ac:dyDescent="0.2">
      <c r="B2096" s="50">
        <v>520</v>
      </c>
      <c r="C2096" s="51">
        <v>0.41729708401352983</v>
      </c>
      <c r="D2096" s="52">
        <v>243</v>
      </c>
      <c r="E2096" s="53">
        <v>0.51798561151079137</v>
      </c>
      <c r="F2096" s="3"/>
    </row>
    <row r="2097" spans="2:6" x14ac:dyDescent="0.2">
      <c r="B2097" s="50">
        <v>401</v>
      </c>
      <c r="C2097" s="51">
        <v>0.41996844670609423</v>
      </c>
      <c r="D2097" s="52">
        <v>243</v>
      </c>
      <c r="E2097" s="53">
        <v>0.51798561151079137</v>
      </c>
      <c r="F2097" s="3"/>
    </row>
    <row r="2098" spans="2:6" x14ac:dyDescent="0.2">
      <c r="B2098" s="50">
        <v>799</v>
      </c>
      <c r="C2098" s="51">
        <v>0.42024030026355774</v>
      </c>
      <c r="D2098" s="52">
        <v>243</v>
      </c>
      <c r="E2098" s="53">
        <v>0.52517985611510787</v>
      </c>
      <c r="F2098" s="3"/>
    </row>
    <row r="2099" spans="2:6" x14ac:dyDescent="0.2">
      <c r="B2099" s="50">
        <v>461</v>
      </c>
      <c r="C2099" s="51">
        <v>0.42069128959383073</v>
      </c>
      <c r="D2099" s="52">
        <v>243</v>
      </c>
      <c r="E2099" s="53">
        <v>0.51798561151079137</v>
      </c>
      <c r="F2099" s="3"/>
    </row>
    <row r="2100" spans="2:6" x14ac:dyDescent="0.2">
      <c r="B2100" s="50">
        <v>802</v>
      </c>
      <c r="C2100" s="51">
        <v>0.42078542525394513</v>
      </c>
      <c r="D2100" s="52">
        <v>243</v>
      </c>
      <c r="E2100" s="53">
        <v>0.53956834532374098</v>
      </c>
      <c r="F2100" s="3"/>
    </row>
    <row r="2101" spans="2:6" x14ac:dyDescent="0.2">
      <c r="B2101" s="50">
        <v>693</v>
      </c>
      <c r="C2101" s="51">
        <v>0.42120321787941228</v>
      </c>
      <c r="D2101" s="52">
        <v>243</v>
      </c>
      <c r="E2101" s="53">
        <v>0.53956834532374098</v>
      </c>
      <c r="F2101" s="3"/>
    </row>
    <row r="2102" spans="2:6" x14ac:dyDescent="0.2">
      <c r="B2102" s="50">
        <v>748</v>
      </c>
      <c r="C2102" s="51">
        <v>0.42214296884259628</v>
      </c>
      <c r="D2102" s="52">
        <v>243</v>
      </c>
      <c r="E2102" s="53">
        <v>0.53956834532374098</v>
      </c>
      <c r="F2102" s="3"/>
    </row>
    <row r="2103" spans="2:6" x14ac:dyDescent="0.2">
      <c r="B2103" s="50">
        <v>278</v>
      </c>
      <c r="C2103" s="51">
        <v>0.42289466831529265</v>
      </c>
      <c r="D2103" s="52">
        <v>243</v>
      </c>
      <c r="E2103" s="53">
        <v>0.51798561151079137</v>
      </c>
      <c r="F2103" s="3"/>
    </row>
    <row r="2104" spans="2:6" x14ac:dyDescent="0.2">
      <c r="B2104" s="50">
        <v>634</v>
      </c>
      <c r="C2104" s="51">
        <v>0.42396729590538784</v>
      </c>
      <c r="D2104" s="52">
        <v>243</v>
      </c>
      <c r="E2104" s="53">
        <v>0.51798561151079137</v>
      </c>
      <c r="F2104" s="3"/>
    </row>
    <row r="2105" spans="2:6" x14ac:dyDescent="0.2">
      <c r="B2105" s="50">
        <v>637</v>
      </c>
      <c r="C2105" s="51">
        <v>0.42505824609483756</v>
      </c>
      <c r="D2105" s="52">
        <v>243</v>
      </c>
      <c r="E2105" s="53">
        <v>0.53237410071942448</v>
      </c>
      <c r="F2105" s="3"/>
    </row>
    <row r="2106" spans="2:6" x14ac:dyDescent="0.2">
      <c r="B2106" s="50">
        <v>577</v>
      </c>
      <c r="C2106" s="51">
        <v>0.42648632856786961</v>
      </c>
      <c r="D2106" s="52">
        <v>243</v>
      </c>
      <c r="E2106" s="53">
        <v>0.51798561151079137</v>
      </c>
      <c r="F2106" s="3"/>
    </row>
    <row r="2107" spans="2:6" x14ac:dyDescent="0.2">
      <c r="B2107" s="50">
        <v>580</v>
      </c>
      <c r="C2107" s="51">
        <v>0.42766927970817237</v>
      </c>
      <c r="D2107" s="52">
        <v>243</v>
      </c>
      <c r="E2107" s="53">
        <v>0.53237410071942448</v>
      </c>
      <c r="F2107" s="3"/>
    </row>
    <row r="2108" spans="2:6" x14ac:dyDescent="0.2">
      <c r="B2108" s="50">
        <v>519</v>
      </c>
      <c r="C2108" s="51">
        <v>0.43650739239084613</v>
      </c>
      <c r="D2108" s="52">
        <v>243</v>
      </c>
      <c r="E2108" s="53">
        <v>0.51798561151079137</v>
      </c>
      <c r="F2108" s="3"/>
    </row>
    <row r="2109" spans="2:6" x14ac:dyDescent="0.2">
      <c r="B2109" s="50">
        <v>522</v>
      </c>
      <c r="C2109" s="51">
        <v>0.437936800993178</v>
      </c>
      <c r="D2109" s="52">
        <v>243</v>
      </c>
      <c r="E2109" s="53">
        <v>0.53237410071942448</v>
      </c>
      <c r="F2109" s="3"/>
    </row>
    <row r="2110" spans="2:6" x14ac:dyDescent="0.2">
      <c r="B2110" s="50">
        <v>400</v>
      </c>
      <c r="C2110" s="51">
        <v>0.43924046342499767</v>
      </c>
      <c r="D2110" s="52">
        <v>243</v>
      </c>
      <c r="E2110" s="53">
        <v>0.51798561151079137</v>
      </c>
      <c r="F2110" s="3"/>
    </row>
    <row r="2111" spans="2:6" x14ac:dyDescent="0.2">
      <c r="B2111" s="50">
        <v>460</v>
      </c>
      <c r="C2111" s="51">
        <v>0.43998323631676206</v>
      </c>
      <c r="D2111" s="52">
        <v>243</v>
      </c>
      <c r="E2111" s="53">
        <v>0.51798561151079137</v>
      </c>
      <c r="F2111" s="3"/>
    </row>
    <row r="2112" spans="2:6" x14ac:dyDescent="0.2">
      <c r="B2112" s="50">
        <v>403</v>
      </c>
      <c r="C2112" s="51">
        <v>0.44132733747719144</v>
      </c>
      <c r="D2112" s="52">
        <v>243</v>
      </c>
      <c r="E2112" s="53">
        <v>0.53237410071942448</v>
      </c>
      <c r="F2112" s="3"/>
    </row>
    <row r="2113" spans="2:6" x14ac:dyDescent="0.2">
      <c r="B2113" s="50">
        <v>463</v>
      </c>
      <c r="C2113" s="51">
        <v>0.44190701047546732</v>
      </c>
      <c r="D2113" s="52">
        <v>243</v>
      </c>
      <c r="E2113" s="53">
        <v>0.53237410071942448</v>
      </c>
      <c r="F2113" s="3"/>
    </row>
    <row r="2114" spans="2:6" x14ac:dyDescent="0.2">
      <c r="B2114" s="50">
        <v>277</v>
      </c>
      <c r="C2114" s="51">
        <v>0.44224166398979603</v>
      </c>
      <c r="D2114" s="52">
        <v>243</v>
      </c>
      <c r="E2114" s="53">
        <v>0.51798561151079137</v>
      </c>
      <c r="F2114" s="3"/>
    </row>
    <row r="2115" spans="2:6" x14ac:dyDescent="0.2">
      <c r="B2115" s="50">
        <v>280</v>
      </c>
      <c r="C2115" s="51">
        <v>0.44525812966838307</v>
      </c>
      <c r="D2115" s="52">
        <v>243</v>
      </c>
      <c r="E2115" s="53">
        <v>0.53237410071942448</v>
      </c>
      <c r="F2115" s="3"/>
    </row>
    <row r="2116" spans="2:6" x14ac:dyDescent="0.2">
      <c r="B2116" s="50">
        <v>116</v>
      </c>
      <c r="C2116" s="51">
        <v>0.57151824299822473</v>
      </c>
      <c r="D2116" s="52">
        <v>243</v>
      </c>
      <c r="E2116" s="53">
        <v>0.12949640287769784</v>
      </c>
      <c r="F2116" s="3"/>
    </row>
    <row r="2117" spans="2:6" x14ac:dyDescent="0.2">
      <c r="B2117" s="50">
        <v>987</v>
      </c>
      <c r="C2117" s="51">
        <v>0.57151824299822473</v>
      </c>
      <c r="D2117" s="52">
        <v>243</v>
      </c>
      <c r="E2117" s="53">
        <v>0.12949640287769784</v>
      </c>
      <c r="F2117" s="3"/>
    </row>
    <row r="2118" spans="2:6" x14ac:dyDescent="0.2">
      <c r="B2118" s="50">
        <v>226</v>
      </c>
      <c r="C2118" s="51">
        <v>0.17025213143471674</v>
      </c>
      <c r="D2118" s="52">
        <v>244</v>
      </c>
      <c r="E2118" s="53">
        <v>0.61151079136690645</v>
      </c>
      <c r="F2118" s="3"/>
    </row>
    <row r="2119" spans="2:6" x14ac:dyDescent="0.2">
      <c r="B2119" s="50">
        <v>236</v>
      </c>
      <c r="C2119" s="51">
        <v>0.23842897440449062</v>
      </c>
      <c r="D2119" s="52">
        <v>244</v>
      </c>
      <c r="E2119" s="53">
        <v>0.23021582733812951</v>
      </c>
      <c r="F2119" s="3"/>
    </row>
    <row r="2120" spans="2:6" x14ac:dyDescent="0.2">
      <c r="B2120" s="50">
        <v>237</v>
      </c>
      <c r="C2120" s="51">
        <v>0.29000853213720235</v>
      </c>
      <c r="D2120" s="52">
        <v>244</v>
      </c>
      <c r="E2120" s="53">
        <v>0.23021582733812951</v>
      </c>
      <c r="F2120" s="3"/>
    </row>
    <row r="2121" spans="2:6" x14ac:dyDescent="0.2">
      <c r="B2121" s="50">
        <v>244</v>
      </c>
      <c r="C2121" s="51">
        <v>0.54483548172362928</v>
      </c>
      <c r="D2121" s="52">
        <v>244</v>
      </c>
      <c r="E2121" s="53">
        <v>0.15107913669064749</v>
      </c>
      <c r="F2121" s="3"/>
    </row>
    <row r="2122" spans="2:6" x14ac:dyDescent="0.2">
      <c r="B2122" s="50">
        <v>229</v>
      </c>
      <c r="C2122" s="51">
        <v>0.21407470619868485</v>
      </c>
      <c r="D2122" s="52">
        <v>245</v>
      </c>
      <c r="E2122" s="53">
        <v>0.43165467625899279</v>
      </c>
      <c r="F2122" s="3"/>
    </row>
    <row r="2123" spans="2:6" x14ac:dyDescent="0.2">
      <c r="B2123" s="50">
        <v>230</v>
      </c>
      <c r="C2123" s="51">
        <v>0.25808775368098236</v>
      </c>
      <c r="D2123" s="52">
        <v>245</v>
      </c>
      <c r="E2123" s="53">
        <v>0.42446043165467628</v>
      </c>
      <c r="F2123" s="3"/>
    </row>
    <row r="2124" spans="2:6" x14ac:dyDescent="0.2">
      <c r="B2124" s="50">
        <v>231</v>
      </c>
      <c r="C2124" s="51">
        <v>0.30168612129532191</v>
      </c>
      <c r="D2124" s="52">
        <v>245</v>
      </c>
      <c r="E2124" s="53">
        <v>0.43165467625899279</v>
      </c>
      <c r="F2124" s="3"/>
    </row>
    <row r="2125" spans="2:6" x14ac:dyDescent="0.2">
      <c r="B2125" s="50">
        <v>240</v>
      </c>
      <c r="C2125" s="51">
        <v>0.48060229509507468</v>
      </c>
      <c r="D2125" s="52">
        <v>245</v>
      </c>
      <c r="E2125" s="53">
        <v>0.23021582733812951</v>
      </c>
      <c r="F2125" s="3"/>
    </row>
    <row r="2126" spans="2:6" x14ac:dyDescent="0.2">
      <c r="B2126" s="50">
        <v>241</v>
      </c>
      <c r="C2126" s="51">
        <v>0.4914553239894266</v>
      </c>
      <c r="D2126" s="52">
        <v>245</v>
      </c>
      <c r="E2126" s="53">
        <v>0.20863309352517986</v>
      </c>
      <c r="F2126" s="3"/>
    </row>
    <row r="2127" spans="2:6" x14ac:dyDescent="0.2">
      <c r="B2127" s="50">
        <v>242</v>
      </c>
      <c r="C2127" s="51">
        <v>0.50183177601858653</v>
      </c>
      <c r="D2127" s="52">
        <v>245</v>
      </c>
      <c r="E2127" s="53">
        <v>0.15827338129496402</v>
      </c>
      <c r="F2127" s="3"/>
    </row>
    <row r="2128" spans="2:6" x14ac:dyDescent="0.2">
      <c r="B2128" s="50">
        <v>243</v>
      </c>
      <c r="C2128" s="51">
        <v>0.51518591687062287</v>
      </c>
      <c r="D2128" s="52">
        <v>245</v>
      </c>
      <c r="E2128" s="53">
        <v>0.15827338129496402</v>
      </c>
      <c r="F2128" s="3"/>
    </row>
    <row r="2129" spans="2:6" x14ac:dyDescent="0.2">
      <c r="B2129" s="50">
        <v>119</v>
      </c>
      <c r="C2129" s="51">
        <v>0.72974739250517984</v>
      </c>
      <c r="D2129" s="52">
        <v>245</v>
      </c>
      <c r="E2129" s="53">
        <v>0.19424460431654678</v>
      </c>
      <c r="F2129" s="3"/>
    </row>
    <row r="2130" spans="2:6" x14ac:dyDescent="0.2">
      <c r="B2130" s="50">
        <v>834</v>
      </c>
      <c r="C2130" s="51">
        <v>0.72974739250517984</v>
      </c>
      <c r="D2130" s="52">
        <v>245</v>
      </c>
      <c r="E2130" s="53">
        <v>0.19424460431654678</v>
      </c>
      <c r="F2130" s="3"/>
    </row>
    <row r="2131" spans="2:6" x14ac:dyDescent="0.2">
      <c r="B2131" s="50">
        <v>225</v>
      </c>
      <c r="C2131" s="51">
        <v>0.17145058703024874</v>
      </c>
      <c r="D2131" s="52">
        <v>246</v>
      </c>
      <c r="E2131" s="53">
        <v>0.60431654676258995</v>
      </c>
      <c r="F2131" s="3"/>
    </row>
    <row r="2132" spans="2:6" x14ac:dyDescent="0.2">
      <c r="B2132" s="50">
        <v>224</v>
      </c>
      <c r="C2132" s="51">
        <v>0.17271997724789045</v>
      </c>
      <c r="D2132" s="52">
        <v>246</v>
      </c>
      <c r="E2132" s="53">
        <v>0.60431654676258995</v>
      </c>
      <c r="F2132" s="3"/>
    </row>
    <row r="2133" spans="2:6" x14ac:dyDescent="0.2">
      <c r="B2133" s="50">
        <v>234</v>
      </c>
      <c r="C2133" s="51">
        <v>0.28659547871883861</v>
      </c>
      <c r="D2133" s="52">
        <v>246</v>
      </c>
      <c r="E2133" s="53">
        <v>0.2446043165467626</v>
      </c>
      <c r="F2133" s="3"/>
    </row>
    <row r="2134" spans="2:6" x14ac:dyDescent="0.2">
      <c r="B2134" s="50">
        <v>185</v>
      </c>
      <c r="C2134" s="51">
        <v>0.76844459211580862</v>
      </c>
      <c r="D2134" s="52">
        <v>246</v>
      </c>
      <c r="E2134" s="53">
        <v>0.15827338129496402</v>
      </c>
      <c r="F2134" s="3"/>
    </row>
    <row r="2135" spans="2:6" x14ac:dyDescent="0.2">
      <c r="B2135" s="50">
        <v>186</v>
      </c>
      <c r="C2135" s="51">
        <v>0.77945535479968475</v>
      </c>
      <c r="D2135" s="52">
        <v>246</v>
      </c>
      <c r="E2135" s="53">
        <v>0.15827338129496402</v>
      </c>
      <c r="F2135" s="3"/>
    </row>
    <row r="2136" spans="2:6" x14ac:dyDescent="0.2">
      <c r="B2136" s="50">
        <v>238</v>
      </c>
      <c r="C2136" s="51">
        <v>0.28327291210362215</v>
      </c>
      <c r="D2136" s="52">
        <v>247</v>
      </c>
      <c r="E2136" s="53">
        <v>0.25179856115107913</v>
      </c>
      <c r="F2136" s="3"/>
    </row>
    <row r="2137" spans="2:6" x14ac:dyDescent="0.2">
      <c r="B2137" s="50">
        <v>181</v>
      </c>
      <c r="C2137" s="51">
        <v>0.56629992957357533</v>
      </c>
      <c r="D2137" s="52">
        <v>247</v>
      </c>
      <c r="E2137" s="53">
        <v>0.12949640287769784</v>
      </c>
      <c r="F2137" s="3"/>
    </row>
    <row r="2138" spans="2:6" x14ac:dyDescent="0.2">
      <c r="B2138" s="50">
        <v>117</v>
      </c>
      <c r="C2138" s="51">
        <v>0.68866267844999496</v>
      </c>
      <c r="D2138" s="52">
        <v>247</v>
      </c>
      <c r="E2138" s="53">
        <v>0.20143884892086331</v>
      </c>
      <c r="F2138" s="3"/>
    </row>
    <row r="2139" spans="2:6" x14ac:dyDescent="0.2">
      <c r="B2139" s="50">
        <v>937</v>
      </c>
      <c r="C2139" s="51">
        <v>0.68866267844999496</v>
      </c>
      <c r="D2139" s="52">
        <v>247</v>
      </c>
      <c r="E2139" s="53">
        <v>0.20143884892086331</v>
      </c>
      <c r="F2139" s="3"/>
    </row>
    <row r="2140" spans="2:6" x14ac:dyDescent="0.2">
      <c r="B2140" s="50">
        <v>182</v>
      </c>
      <c r="C2140" s="51">
        <v>0.69196730412187513</v>
      </c>
      <c r="D2140" s="52">
        <v>247</v>
      </c>
      <c r="E2140" s="53">
        <v>0.20143884892086331</v>
      </c>
      <c r="F2140" s="3"/>
    </row>
    <row r="2141" spans="2:6" x14ac:dyDescent="0.2">
      <c r="B2141" s="50">
        <v>118</v>
      </c>
      <c r="C2141" s="51">
        <v>0.6983202288993724</v>
      </c>
      <c r="D2141" s="52">
        <v>247</v>
      </c>
      <c r="E2141" s="53">
        <v>0.20143884892086331</v>
      </c>
      <c r="F2141" s="3"/>
    </row>
    <row r="2142" spans="2:6" x14ac:dyDescent="0.2">
      <c r="B2142" s="50">
        <v>886</v>
      </c>
      <c r="C2142" s="51">
        <v>0.6983202288993724</v>
      </c>
      <c r="D2142" s="52">
        <v>247</v>
      </c>
      <c r="E2142" s="53">
        <v>0.20143884892086331</v>
      </c>
      <c r="F2142" s="3"/>
    </row>
    <row r="2143" spans="2:6" x14ac:dyDescent="0.2">
      <c r="B2143" s="50">
        <v>183</v>
      </c>
      <c r="C2143" s="51">
        <v>0.70148623754942419</v>
      </c>
      <c r="D2143" s="52">
        <v>247</v>
      </c>
      <c r="E2143" s="53">
        <v>0.20143884892086331</v>
      </c>
      <c r="F2143" s="3"/>
    </row>
    <row r="2144" spans="2:6" x14ac:dyDescent="0.2">
      <c r="B2144" s="50">
        <v>184</v>
      </c>
      <c r="C2144" s="51">
        <v>0.73009848303904379</v>
      </c>
      <c r="D2144" s="52">
        <v>247</v>
      </c>
      <c r="E2144" s="53">
        <v>0.19424460431654678</v>
      </c>
      <c r="F2144" s="3"/>
    </row>
    <row r="2145" spans="2:6" x14ac:dyDescent="0.2">
      <c r="B2145" s="50">
        <v>227</v>
      </c>
      <c r="C2145" s="51">
        <v>0.16873600400450495</v>
      </c>
      <c r="D2145" s="52">
        <v>248</v>
      </c>
      <c r="E2145" s="53">
        <v>0.52517985611510787</v>
      </c>
      <c r="F2145" s="3"/>
    </row>
    <row r="2146" spans="2:6" x14ac:dyDescent="0.2">
      <c r="B2146" s="50">
        <v>228</v>
      </c>
      <c r="C2146" s="51">
        <v>0.18315903368435549</v>
      </c>
      <c r="D2146" s="52">
        <v>248</v>
      </c>
      <c r="E2146" s="53">
        <v>0.51079136690647486</v>
      </c>
      <c r="F2146" s="3"/>
    </row>
    <row r="2147" spans="2:6" x14ac:dyDescent="0.2">
      <c r="B2147" s="50">
        <v>212</v>
      </c>
      <c r="C2147" s="51">
        <v>0.23985131833648832</v>
      </c>
      <c r="D2147" s="52">
        <v>249</v>
      </c>
      <c r="E2147" s="53">
        <v>0.74820143884892087</v>
      </c>
      <c r="F2147" s="3"/>
    </row>
    <row r="2148" spans="2:6" x14ac:dyDescent="0.2">
      <c r="B2148" s="50">
        <v>211</v>
      </c>
      <c r="C2148" s="51">
        <v>0.25725828722454214</v>
      </c>
      <c r="D2148" s="52">
        <v>249</v>
      </c>
      <c r="E2148" s="53">
        <v>0.73381294964028776</v>
      </c>
      <c r="F2148" s="3"/>
    </row>
    <row r="2149" spans="2:6" x14ac:dyDescent="0.2">
      <c r="B2149" s="50">
        <v>341</v>
      </c>
      <c r="C2149" s="51">
        <v>0.41133628702580616</v>
      </c>
      <c r="D2149" s="52">
        <v>249</v>
      </c>
      <c r="E2149" s="53">
        <v>0.51798561151079137</v>
      </c>
      <c r="F2149" s="3"/>
    </row>
    <row r="2150" spans="2:6" x14ac:dyDescent="0.2">
      <c r="B2150" s="50">
        <v>343</v>
      </c>
      <c r="C2150" s="51">
        <v>0.43146480764570727</v>
      </c>
      <c r="D2150" s="52">
        <v>249</v>
      </c>
      <c r="E2150" s="53">
        <v>0.53237410071942448</v>
      </c>
      <c r="F2150" s="3"/>
    </row>
    <row r="2151" spans="2:6" x14ac:dyDescent="0.2">
      <c r="B2151" s="50">
        <v>340</v>
      </c>
      <c r="C2151" s="51">
        <v>0.42192566745809168</v>
      </c>
      <c r="D2151" s="52">
        <v>250</v>
      </c>
      <c r="E2151" s="53">
        <v>0.51798561151079137</v>
      </c>
      <c r="F2151" s="3"/>
    </row>
    <row r="2152" spans="2:6" x14ac:dyDescent="0.2">
      <c r="B2152" s="50">
        <v>339</v>
      </c>
      <c r="C2152" s="51">
        <v>0.4412347862276651</v>
      </c>
      <c r="D2152" s="52">
        <v>250</v>
      </c>
      <c r="E2152" s="53">
        <v>0.51798561151079137</v>
      </c>
      <c r="F2152" s="3"/>
    </row>
    <row r="2153" spans="2:6" x14ac:dyDescent="0.2">
      <c r="B2153" s="50">
        <v>342</v>
      </c>
      <c r="C2153" s="51">
        <v>0.44415059865282613</v>
      </c>
      <c r="D2153" s="52">
        <v>250</v>
      </c>
      <c r="E2153" s="53">
        <v>0.53237410071942448</v>
      </c>
      <c r="F2153" s="3"/>
    </row>
    <row r="2154" spans="2:6" x14ac:dyDescent="0.2">
      <c r="B2154" s="50">
        <v>94</v>
      </c>
      <c r="C2154" s="51">
        <v>0.23338425024185316</v>
      </c>
      <c r="D2154" s="52">
        <v>252</v>
      </c>
      <c r="E2154" s="53">
        <v>0.58992805755395683</v>
      </c>
      <c r="F2154" s="3"/>
    </row>
    <row r="2155" spans="2:6" x14ac:dyDescent="0.2">
      <c r="B2155" s="50">
        <v>1834</v>
      </c>
      <c r="C2155" s="51">
        <v>0.23338425024185316</v>
      </c>
      <c r="D2155" s="52">
        <v>252</v>
      </c>
      <c r="E2155" s="53">
        <v>0.58992805755395683</v>
      </c>
      <c r="F2155" s="3"/>
    </row>
    <row r="2156" spans="2:6" x14ac:dyDescent="0.2">
      <c r="B2156" s="50">
        <v>104</v>
      </c>
      <c r="C2156" s="51">
        <v>0.26530937877901228</v>
      </c>
      <c r="D2156" s="52">
        <v>252</v>
      </c>
      <c r="E2156" s="53">
        <v>0.23021582733812951</v>
      </c>
      <c r="F2156" s="3"/>
    </row>
    <row r="2157" spans="2:6" x14ac:dyDescent="0.2">
      <c r="B2157" s="50">
        <v>1509</v>
      </c>
      <c r="C2157" s="51">
        <v>0.26530937877901228</v>
      </c>
      <c r="D2157" s="52">
        <v>252</v>
      </c>
      <c r="E2157" s="53">
        <v>0.23021582733812951</v>
      </c>
      <c r="F2157" s="3"/>
    </row>
    <row r="2158" spans="2:6" x14ac:dyDescent="0.2">
      <c r="B2158" s="50">
        <v>103</v>
      </c>
      <c r="C2158" s="51">
        <v>0.26810079258866693</v>
      </c>
      <c r="D2158" s="52">
        <v>252</v>
      </c>
      <c r="E2158" s="53">
        <v>0.41007194244604317</v>
      </c>
      <c r="F2158" s="3"/>
    </row>
    <row r="2159" spans="2:6" x14ac:dyDescent="0.2">
      <c r="B2159" s="50">
        <v>1546</v>
      </c>
      <c r="C2159" s="51">
        <v>0.26810079258866693</v>
      </c>
      <c r="D2159" s="52">
        <v>252</v>
      </c>
      <c r="E2159" s="53">
        <v>0.41007194244604317</v>
      </c>
      <c r="F2159" s="3"/>
    </row>
    <row r="2160" spans="2:6" x14ac:dyDescent="0.2">
      <c r="B2160" s="50">
        <v>102</v>
      </c>
      <c r="C2160" s="51">
        <v>0.27521324399436153</v>
      </c>
      <c r="D2160" s="52">
        <v>252</v>
      </c>
      <c r="E2160" s="53">
        <v>0.41726618705035973</v>
      </c>
      <c r="F2160" s="3"/>
    </row>
    <row r="2161" spans="2:6" x14ac:dyDescent="0.2">
      <c r="B2161" s="50">
        <v>1582</v>
      </c>
      <c r="C2161" s="51">
        <v>0.27521324399436153</v>
      </c>
      <c r="D2161" s="52">
        <v>252</v>
      </c>
      <c r="E2161" s="53">
        <v>0.41726618705035973</v>
      </c>
      <c r="F2161" s="3"/>
    </row>
    <row r="2162" spans="2:6" x14ac:dyDescent="0.2">
      <c r="B2162" s="50">
        <v>239</v>
      </c>
      <c r="C2162" s="51">
        <v>0.27926285067451107</v>
      </c>
      <c r="D2162" s="52">
        <v>253</v>
      </c>
      <c r="E2162" s="53">
        <v>0.22302158273381295</v>
      </c>
      <c r="F2162" s="3"/>
    </row>
    <row r="2163" spans="2:6" x14ac:dyDescent="0.2">
      <c r="B2163" s="50">
        <v>233</v>
      </c>
      <c r="C2163" s="51">
        <v>0.2916324407456552</v>
      </c>
      <c r="D2163" s="52">
        <v>253</v>
      </c>
      <c r="E2163" s="53">
        <v>0.41726618705035973</v>
      </c>
      <c r="F2163" s="3"/>
    </row>
    <row r="2164" spans="2:6" x14ac:dyDescent="0.2">
      <c r="B2164" s="50">
        <v>232</v>
      </c>
      <c r="C2164" s="51">
        <v>0.29937568111959012</v>
      </c>
      <c r="D2164" s="52">
        <v>253</v>
      </c>
      <c r="E2164" s="53">
        <v>0.42446043165467628</v>
      </c>
      <c r="F2164" s="3"/>
    </row>
    <row r="2165" spans="2:6" x14ac:dyDescent="0.2">
      <c r="B2165" s="50">
        <v>164</v>
      </c>
      <c r="C2165" s="51">
        <v>0.16778800780445469</v>
      </c>
      <c r="D2165" s="52">
        <v>254</v>
      </c>
      <c r="E2165" s="53">
        <v>0.34532374100719426</v>
      </c>
      <c r="F2165" s="3"/>
    </row>
    <row r="2166" spans="2:6" x14ac:dyDescent="0.2">
      <c r="B2166" s="50">
        <v>163</v>
      </c>
      <c r="C2166" s="51">
        <v>0.19093655971821855</v>
      </c>
      <c r="D2166" s="52">
        <v>254</v>
      </c>
      <c r="E2166" s="53">
        <v>0.35971223021582732</v>
      </c>
      <c r="F2166" s="3"/>
    </row>
    <row r="2167" spans="2:6" x14ac:dyDescent="0.2">
      <c r="B2167" s="50">
        <v>165</v>
      </c>
      <c r="C2167" s="51">
        <v>0.19152064627237708</v>
      </c>
      <c r="D2167" s="52">
        <v>254</v>
      </c>
      <c r="E2167" s="53">
        <v>0.39568345323741005</v>
      </c>
      <c r="F2167" s="3"/>
    </row>
    <row r="2168" spans="2:6" x14ac:dyDescent="0.2">
      <c r="B2168" s="50">
        <v>162</v>
      </c>
      <c r="C2168" s="51">
        <v>0.19164349137952541</v>
      </c>
      <c r="D2168" s="52">
        <v>254</v>
      </c>
      <c r="E2168" s="53">
        <v>0.51079136690647486</v>
      </c>
      <c r="F2168" s="3"/>
    </row>
    <row r="2169" spans="2:6" x14ac:dyDescent="0.2">
      <c r="B2169" s="50">
        <v>161</v>
      </c>
      <c r="C2169" s="51">
        <v>0.19258604234105925</v>
      </c>
      <c r="D2169" s="52">
        <v>254</v>
      </c>
      <c r="E2169" s="53">
        <v>0.50359712230215825</v>
      </c>
      <c r="F2169" s="3"/>
    </row>
    <row r="2170" spans="2:6" x14ac:dyDescent="0.2">
      <c r="B2170" s="50">
        <v>160</v>
      </c>
      <c r="C2170" s="51">
        <v>0.19336480656847721</v>
      </c>
      <c r="D2170" s="52">
        <v>254</v>
      </c>
      <c r="E2170" s="53">
        <v>0.58273381294964033</v>
      </c>
      <c r="F2170" s="3"/>
    </row>
    <row r="2171" spans="2:6" x14ac:dyDescent="0.2">
      <c r="B2171" s="50">
        <v>166</v>
      </c>
      <c r="C2171" s="51">
        <v>0.23638222392075492</v>
      </c>
      <c r="D2171" s="52">
        <v>254</v>
      </c>
      <c r="E2171" s="53">
        <v>0.41007194244604317</v>
      </c>
      <c r="F2171" s="3"/>
    </row>
    <row r="2172" spans="2:6" x14ac:dyDescent="0.2">
      <c r="B2172" s="50">
        <v>169</v>
      </c>
      <c r="C2172" s="51">
        <v>0.26094396477267923</v>
      </c>
      <c r="D2172" s="52">
        <v>254</v>
      </c>
      <c r="E2172" s="53">
        <v>0.23021582733812951</v>
      </c>
      <c r="F2172" s="3"/>
    </row>
    <row r="2173" spans="2:6" x14ac:dyDescent="0.2">
      <c r="B2173" s="50">
        <v>168</v>
      </c>
      <c r="C2173" s="51">
        <v>0.27141930922733259</v>
      </c>
      <c r="D2173" s="52">
        <v>254</v>
      </c>
      <c r="E2173" s="53">
        <v>0.41726618705035973</v>
      </c>
      <c r="F2173" s="3"/>
    </row>
    <row r="2174" spans="2:6" x14ac:dyDescent="0.2">
      <c r="B2174" s="50">
        <v>167</v>
      </c>
      <c r="C2174" s="51">
        <v>0.27692629074715314</v>
      </c>
      <c r="D2174" s="52">
        <v>254</v>
      </c>
      <c r="E2174" s="53">
        <v>0.41726618705035973</v>
      </c>
      <c r="F2174" s="3"/>
    </row>
    <row r="2175" spans="2:6" x14ac:dyDescent="0.2">
      <c r="B2175" s="50">
        <v>148</v>
      </c>
      <c r="C2175" s="51">
        <v>0.25386174419746244</v>
      </c>
      <c r="D2175" s="52">
        <v>255</v>
      </c>
      <c r="E2175" s="53">
        <v>0.72661870503597126</v>
      </c>
      <c r="F2175" s="3"/>
    </row>
    <row r="2176" spans="2:6" x14ac:dyDescent="0.2">
      <c r="B2176" s="50">
        <v>147</v>
      </c>
      <c r="C2176" s="51">
        <v>0.27280044387349522</v>
      </c>
      <c r="D2176" s="52">
        <v>255</v>
      </c>
      <c r="E2176" s="53">
        <v>0.6690647482014388</v>
      </c>
      <c r="F2176" s="3"/>
    </row>
    <row r="2177" spans="2:6" x14ac:dyDescent="0.2">
      <c r="B2177" s="50">
        <v>210</v>
      </c>
      <c r="C2177" s="51">
        <v>0.21440924219142166</v>
      </c>
      <c r="D2177" s="52">
        <v>256</v>
      </c>
      <c r="E2177" s="53">
        <v>0.76258992805755399</v>
      </c>
      <c r="F2177" s="3"/>
    </row>
    <row r="2178" spans="2:6" x14ac:dyDescent="0.2">
      <c r="B2178" s="50">
        <v>209</v>
      </c>
      <c r="C2178" s="51">
        <v>0.35028537124311609</v>
      </c>
      <c r="D2178" s="52">
        <v>256</v>
      </c>
      <c r="E2178" s="53">
        <v>0.63309352517985606</v>
      </c>
      <c r="F2178" s="3"/>
    </row>
    <row r="2179" spans="2:6" x14ac:dyDescent="0.2">
      <c r="B2179" s="50">
        <v>213</v>
      </c>
      <c r="C2179" s="51">
        <v>0.24631648261918315</v>
      </c>
      <c r="D2179" s="52">
        <v>257</v>
      </c>
      <c r="E2179" s="53">
        <v>0.75539568345323738</v>
      </c>
      <c r="F2179" s="3"/>
    </row>
    <row r="2180" spans="2:6" x14ac:dyDescent="0.2">
      <c r="B2180" s="50">
        <v>223</v>
      </c>
      <c r="C2180" s="51">
        <v>0.24078351041958101</v>
      </c>
      <c r="D2180" s="52">
        <v>259</v>
      </c>
      <c r="E2180" s="53">
        <v>0.51798561151079137</v>
      </c>
      <c r="F2180" s="3"/>
    </row>
    <row r="2181" spans="2:6" x14ac:dyDescent="0.2">
      <c r="B2181" s="50">
        <v>93</v>
      </c>
      <c r="C2181" s="51">
        <v>0.24486328522987688</v>
      </c>
      <c r="D2181" s="52">
        <v>259</v>
      </c>
      <c r="E2181" s="53">
        <v>0.58273381294964033</v>
      </c>
      <c r="F2181" s="3"/>
    </row>
    <row r="2182" spans="2:6" x14ac:dyDescent="0.2">
      <c r="B2182" s="50">
        <v>1861</v>
      </c>
      <c r="C2182" s="51">
        <v>0.24486328522987688</v>
      </c>
      <c r="D2182" s="52">
        <v>259</v>
      </c>
      <c r="E2182" s="53">
        <v>0.58273381294964033</v>
      </c>
      <c r="F2182" s="3"/>
    </row>
    <row r="2183" spans="2:6" x14ac:dyDescent="0.2">
      <c r="B2183" s="50">
        <v>90</v>
      </c>
      <c r="C2183" s="51">
        <v>0.35705640516426085</v>
      </c>
      <c r="D2183" s="52">
        <v>259</v>
      </c>
      <c r="E2183" s="53">
        <v>0.53956834532374098</v>
      </c>
      <c r="F2183" s="3"/>
    </row>
    <row r="2184" spans="2:6" x14ac:dyDescent="0.2">
      <c r="B2184" s="50">
        <v>1936</v>
      </c>
      <c r="C2184" s="51">
        <v>0.35705640516426085</v>
      </c>
      <c r="D2184" s="52">
        <v>259</v>
      </c>
      <c r="E2184" s="53">
        <v>0.53956834532374098</v>
      </c>
      <c r="F2184" s="3"/>
    </row>
    <row r="2185" spans="2:6" x14ac:dyDescent="0.2">
      <c r="B2185" s="50">
        <v>115</v>
      </c>
      <c r="C2185" s="51">
        <v>0.50503889211900088</v>
      </c>
      <c r="D2185" s="52">
        <v>259</v>
      </c>
      <c r="E2185" s="53">
        <v>0.10071942446043165</v>
      </c>
      <c r="F2185" s="3"/>
    </row>
    <row r="2186" spans="2:6" x14ac:dyDescent="0.2">
      <c r="B2186" s="50">
        <v>1036</v>
      </c>
      <c r="C2186" s="51">
        <v>0.50503889211900088</v>
      </c>
      <c r="D2186" s="52">
        <v>259</v>
      </c>
      <c r="E2186" s="53">
        <v>0.10071942446043165</v>
      </c>
      <c r="F2186" s="3"/>
    </row>
    <row r="2187" spans="2:6" x14ac:dyDescent="0.2">
      <c r="B2187" s="50">
        <v>235</v>
      </c>
      <c r="C2187" s="51">
        <v>0.22868177837126802</v>
      </c>
      <c r="D2187" s="52">
        <v>260</v>
      </c>
      <c r="E2187" s="53">
        <v>0.23021582733812951</v>
      </c>
      <c r="F2187" s="3"/>
    </row>
    <row r="2188" spans="2:6" x14ac:dyDescent="0.2">
      <c r="B2188" s="50">
        <v>108</v>
      </c>
      <c r="C2188" s="51">
        <v>0.23897573938116334</v>
      </c>
      <c r="D2188" s="52">
        <v>260</v>
      </c>
      <c r="E2188" s="53">
        <v>0.22302158273381295</v>
      </c>
      <c r="F2188" s="3"/>
    </row>
    <row r="2189" spans="2:6" x14ac:dyDescent="0.2">
      <c r="B2189" s="50">
        <v>1351</v>
      </c>
      <c r="C2189" s="51">
        <v>0.23897573938116334</v>
      </c>
      <c r="D2189" s="52">
        <v>260</v>
      </c>
      <c r="E2189" s="53">
        <v>0.22302158273381295</v>
      </c>
      <c r="F2189" s="3"/>
    </row>
    <row r="2190" spans="2:6" x14ac:dyDescent="0.2">
      <c r="B2190" s="50">
        <v>107</v>
      </c>
      <c r="C2190" s="51">
        <v>0.24657737941836022</v>
      </c>
      <c r="D2190" s="52">
        <v>260</v>
      </c>
      <c r="E2190" s="53">
        <v>0.22302158273381295</v>
      </c>
      <c r="F2190" s="3"/>
    </row>
    <row r="2191" spans="2:6" x14ac:dyDescent="0.2">
      <c r="B2191" s="50">
        <v>1392</v>
      </c>
      <c r="C2191" s="51">
        <v>0.24657737941836022</v>
      </c>
      <c r="D2191" s="52">
        <v>260</v>
      </c>
      <c r="E2191" s="53">
        <v>0.22302158273381295</v>
      </c>
      <c r="F2191" s="3"/>
    </row>
    <row r="2192" spans="2:6" x14ac:dyDescent="0.2">
      <c r="B2192" s="50">
        <v>111</v>
      </c>
      <c r="C2192" s="51">
        <v>0.42367550490903017</v>
      </c>
      <c r="D2192" s="52">
        <v>260</v>
      </c>
      <c r="E2192" s="53">
        <v>0.20143884892086331</v>
      </c>
      <c r="F2192" s="3"/>
    </row>
    <row r="2193" spans="2:6" x14ac:dyDescent="0.2">
      <c r="B2193" s="50">
        <v>1222</v>
      </c>
      <c r="C2193" s="51">
        <v>0.42367550490903017</v>
      </c>
      <c r="D2193" s="52">
        <v>260</v>
      </c>
      <c r="E2193" s="53">
        <v>0.20143884892086331</v>
      </c>
      <c r="F2193" s="3"/>
    </row>
    <row r="2194" spans="2:6" x14ac:dyDescent="0.2">
      <c r="B2194" s="50">
        <v>87</v>
      </c>
      <c r="C2194" s="51">
        <v>0.42514651644920098</v>
      </c>
      <c r="D2194" s="52">
        <v>260</v>
      </c>
      <c r="E2194" s="53">
        <v>0.51798561151079137</v>
      </c>
      <c r="F2194" s="3"/>
    </row>
    <row r="2195" spans="2:6" x14ac:dyDescent="0.2">
      <c r="B2195" s="50">
        <v>2002</v>
      </c>
      <c r="C2195" s="51">
        <v>0.42514651644920098</v>
      </c>
      <c r="D2195" s="52">
        <v>260</v>
      </c>
      <c r="E2195" s="53">
        <v>0.51798561151079137</v>
      </c>
      <c r="F2195" s="3"/>
    </row>
    <row r="2196" spans="2:6" x14ac:dyDescent="0.2">
      <c r="B2196" s="50">
        <v>86</v>
      </c>
      <c r="C2196" s="51">
        <v>0.43656175088432858</v>
      </c>
      <c r="D2196" s="52">
        <v>261</v>
      </c>
      <c r="E2196" s="53">
        <v>0.51798561151079137</v>
      </c>
      <c r="F2196" s="3"/>
    </row>
    <row r="2197" spans="2:6" x14ac:dyDescent="0.2">
      <c r="B2197" s="50">
        <v>2022</v>
      </c>
      <c r="C2197" s="51">
        <v>0.43656175088432858</v>
      </c>
      <c r="D2197" s="52">
        <v>261</v>
      </c>
      <c r="E2197" s="53">
        <v>0.51798561151079137</v>
      </c>
      <c r="F2197" s="3"/>
    </row>
    <row r="2198" spans="2:6" x14ac:dyDescent="0.2">
      <c r="B2198" s="50">
        <v>85</v>
      </c>
      <c r="C2198" s="51">
        <v>0.45536822446962089</v>
      </c>
      <c r="D2198" s="52">
        <v>261</v>
      </c>
      <c r="E2198" s="53">
        <v>0.51798561151079137</v>
      </c>
      <c r="F2198" s="3"/>
    </row>
    <row r="2199" spans="2:6" x14ac:dyDescent="0.2">
      <c r="B2199" s="50">
        <v>2041</v>
      </c>
      <c r="C2199" s="51">
        <v>0.45536822446962089</v>
      </c>
      <c r="D2199" s="52">
        <v>261</v>
      </c>
      <c r="E2199" s="53">
        <v>0.51798561151079137</v>
      </c>
      <c r="F2199" s="3"/>
    </row>
    <row r="2200" spans="2:6" x14ac:dyDescent="0.2">
      <c r="B2200" s="50">
        <v>114</v>
      </c>
      <c r="C2200" s="51">
        <v>0.47251062700919433</v>
      </c>
      <c r="D2200" s="52">
        <v>261</v>
      </c>
      <c r="E2200" s="53">
        <v>0.1079136690647482</v>
      </c>
      <c r="F2200" s="3"/>
    </row>
    <row r="2201" spans="2:6" x14ac:dyDescent="0.2">
      <c r="B2201" s="50">
        <v>1084</v>
      </c>
      <c r="C2201" s="51">
        <v>0.47251062700919433</v>
      </c>
      <c r="D2201" s="52">
        <v>261</v>
      </c>
      <c r="E2201" s="53">
        <v>0.1079136690647482</v>
      </c>
      <c r="F2201" s="3"/>
    </row>
    <row r="2202" spans="2:6" x14ac:dyDescent="0.2">
      <c r="B2202" s="50">
        <v>146</v>
      </c>
      <c r="C2202" s="51">
        <v>0.22488281678366051</v>
      </c>
      <c r="D2202" s="52">
        <v>262</v>
      </c>
      <c r="E2202" s="53">
        <v>0.69784172661870503</v>
      </c>
      <c r="F2202" s="3"/>
    </row>
    <row r="2203" spans="2:6" x14ac:dyDescent="0.2">
      <c r="B2203" s="50">
        <v>109</v>
      </c>
      <c r="C2203" s="51">
        <v>0.24719698830919257</v>
      </c>
      <c r="D2203" s="52">
        <v>262</v>
      </c>
      <c r="E2203" s="53">
        <v>0.22302158273381295</v>
      </c>
      <c r="F2203" s="3"/>
    </row>
    <row r="2204" spans="2:6" x14ac:dyDescent="0.2">
      <c r="B2204" s="50">
        <v>1309</v>
      </c>
      <c r="C2204" s="51">
        <v>0.24719698830919257</v>
      </c>
      <c r="D2204" s="52">
        <v>262</v>
      </c>
      <c r="E2204" s="53">
        <v>0.22302158273381295</v>
      </c>
      <c r="F2204" s="3"/>
    </row>
    <row r="2205" spans="2:6" x14ac:dyDescent="0.2">
      <c r="B2205" s="50">
        <v>105</v>
      </c>
      <c r="C2205" s="51">
        <v>0.25159047380621724</v>
      </c>
      <c r="D2205" s="52">
        <v>262</v>
      </c>
      <c r="E2205" s="53">
        <v>0.21582733812949639</v>
      </c>
      <c r="F2205" s="3"/>
    </row>
    <row r="2206" spans="2:6" x14ac:dyDescent="0.2">
      <c r="B2206" s="50">
        <v>1471</v>
      </c>
      <c r="C2206" s="51">
        <v>0.25159047380621724</v>
      </c>
      <c r="D2206" s="52">
        <v>262</v>
      </c>
      <c r="E2206" s="53">
        <v>0.21582733812949639</v>
      </c>
      <c r="F2206" s="3"/>
    </row>
    <row r="2207" spans="2:6" x14ac:dyDescent="0.2">
      <c r="B2207" s="50">
        <v>145</v>
      </c>
      <c r="C2207" s="51">
        <v>0.37539964775439272</v>
      </c>
      <c r="D2207" s="52">
        <v>262</v>
      </c>
      <c r="E2207" s="53">
        <v>0.56834532374100721</v>
      </c>
      <c r="F2207" s="3"/>
    </row>
    <row r="2208" spans="2:6" x14ac:dyDescent="0.2">
      <c r="B2208" s="50">
        <v>222</v>
      </c>
      <c r="C2208" s="51">
        <v>0.25866867710597652</v>
      </c>
      <c r="D2208" s="52">
        <v>263</v>
      </c>
      <c r="E2208" s="53">
        <v>0.51079136690647486</v>
      </c>
      <c r="F2208" s="3"/>
    </row>
    <row r="2209" spans="2:6" x14ac:dyDescent="0.2">
      <c r="B2209" s="50">
        <v>149</v>
      </c>
      <c r="C2209" s="51">
        <v>0.26150546542260422</v>
      </c>
      <c r="D2209" s="52">
        <v>263</v>
      </c>
      <c r="E2209" s="53">
        <v>0.72661870503597126</v>
      </c>
      <c r="F2209" s="3"/>
    </row>
    <row r="2210" spans="2:6" x14ac:dyDescent="0.2">
      <c r="B2210" s="50">
        <v>221</v>
      </c>
      <c r="C2210" s="51">
        <v>0.33187254056219861</v>
      </c>
      <c r="D2210" s="52">
        <v>263</v>
      </c>
      <c r="E2210" s="53">
        <v>0.51798561151079137</v>
      </c>
      <c r="F2210" s="3"/>
    </row>
    <row r="2211" spans="2:6" x14ac:dyDescent="0.2">
      <c r="B2211" s="50">
        <v>219</v>
      </c>
      <c r="C2211" s="51">
        <v>0.37356704672519159</v>
      </c>
      <c r="D2211" s="52">
        <v>263</v>
      </c>
      <c r="E2211" s="53">
        <v>0.53237410071942448</v>
      </c>
      <c r="F2211" s="3"/>
    </row>
    <row r="2212" spans="2:6" x14ac:dyDescent="0.2">
      <c r="B2212" s="50">
        <v>180</v>
      </c>
      <c r="C2212" s="51">
        <v>0.50386366204784327</v>
      </c>
      <c r="D2212" s="52">
        <v>263</v>
      </c>
      <c r="E2212" s="53">
        <v>0.10071942446043165</v>
      </c>
      <c r="F2212" s="3"/>
    </row>
    <row r="2213" spans="2:6" x14ac:dyDescent="0.2">
      <c r="B2213" s="50">
        <v>173</v>
      </c>
      <c r="C2213" s="51">
        <v>0.2386131335342353</v>
      </c>
      <c r="D2213" s="52">
        <v>264</v>
      </c>
      <c r="E2213" s="53">
        <v>0.22302158273381295</v>
      </c>
      <c r="F2213" s="3"/>
    </row>
    <row r="2214" spans="2:6" x14ac:dyDescent="0.2">
      <c r="B2214" s="50">
        <v>174</v>
      </c>
      <c r="C2214" s="51">
        <v>0.24315554064050759</v>
      </c>
      <c r="D2214" s="52">
        <v>264</v>
      </c>
      <c r="E2214" s="53">
        <v>0.22302158273381295</v>
      </c>
      <c r="F2214" s="3"/>
    </row>
    <row r="2215" spans="2:6" x14ac:dyDescent="0.2">
      <c r="B2215" s="50">
        <v>172</v>
      </c>
      <c r="C2215" s="51">
        <v>0.25103448918246196</v>
      </c>
      <c r="D2215" s="52">
        <v>264</v>
      </c>
      <c r="E2215" s="53">
        <v>0.17266187050359713</v>
      </c>
      <c r="F2215" s="3"/>
    </row>
    <row r="2216" spans="2:6" x14ac:dyDescent="0.2">
      <c r="B2216" s="50">
        <v>220</v>
      </c>
      <c r="C2216" s="51">
        <v>0.40272971459805373</v>
      </c>
      <c r="D2216" s="52">
        <v>264</v>
      </c>
      <c r="E2216" s="53">
        <v>0.33093525179856115</v>
      </c>
      <c r="F2216" s="3"/>
    </row>
    <row r="2217" spans="2:6" x14ac:dyDescent="0.2">
      <c r="B2217" s="50">
        <v>113</v>
      </c>
      <c r="C2217" s="51">
        <v>0.4564408489568279</v>
      </c>
      <c r="D2217" s="52">
        <v>264</v>
      </c>
      <c r="E2217" s="53">
        <v>0.10071942446043165</v>
      </c>
      <c r="F2217" s="3"/>
    </row>
    <row r="2218" spans="2:6" x14ac:dyDescent="0.2">
      <c r="B2218" s="50">
        <v>1131</v>
      </c>
      <c r="C2218" s="51">
        <v>0.4564408489568279</v>
      </c>
      <c r="D2218" s="52">
        <v>264</v>
      </c>
      <c r="E2218" s="53">
        <v>0.10071942446043165</v>
      </c>
      <c r="F2218" s="3"/>
    </row>
    <row r="2219" spans="2:6" x14ac:dyDescent="0.2">
      <c r="B2219" s="50">
        <v>216</v>
      </c>
      <c r="C2219" s="51">
        <v>0.45857225155093639</v>
      </c>
      <c r="D2219" s="52">
        <v>264</v>
      </c>
      <c r="E2219" s="53">
        <v>0.50359712230215825</v>
      </c>
      <c r="F2219" s="3"/>
    </row>
    <row r="2220" spans="2:6" x14ac:dyDescent="0.2">
      <c r="B2220" s="50">
        <v>218</v>
      </c>
      <c r="C2220" s="51">
        <v>0.48239259226555298</v>
      </c>
      <c r="D2220" s="52">
        <v>264</v>
      </c>
      <c r="E2220" s="53">
        <v>0.43884892086330934</v>
      </c>
      <c r="F2220" s="3"/>
    </row>
    <row r="2221" spans="2:6" x14ac:dyDescent="0.2">
      <c r="B2221" s="50">
        <v>215</v>
      </c>
      <c r="C2221" s="51">
        <v>0.4699307714978509</v>
      </c>
      <c r="D2221" s="52">
        <v>265</v>
      </c>
      <c r="E2221" s="53">
        <v>0.50359712230215825</v>
      </c>
      <c r="F2221" s="3"/>
    </row>
    <row r="2222" spans="2:6" x14ac:dyDescent="0.2">
      <c r="B2222" s="50">
        <v>179</v>
      </c>
      <c r="C2222" s="51">
        <v>0.47268378752257467</v>
      </c>
      <c r="D2222" s="52">
        <v>265</v>
      </c>
      <c r="E2222" s="53">
        <v>0.1079136690647482</v>
      </c>
      <c r="F2222" s="3"/>
    </row>
    <row r="2223" spans="2:6" x14ac:dyDescent="0.2">
      <c r="B2223" s="50">
        <v>217</v>
      </c>
      <c r="C2223" s="51">
        <v>0.49631049935213412</v>
      </c>
      <c r="D2223" s="52">
        <v>265</v>
      </c>
      <c r="E2223" s="53">
        <v>0.43884892086330934</v>
      </c>
      <c r="F2223" s="3"/>
    </row>
    <row r="2224" spans="2:6" x14ac:dyDescent="0.2">
      <c r="B2224" s="50">
        <v>170</v>
      </c>
      <c r="C2224" s="51">
        <v>0.2497834569446683</v>
      </c>
      <c r="D2224" s="52">
        <v>266</v>
      </c>
      <c r="E2224" s="53">
        <v>0.21582733812949639</v>
      </c>
      <c r="F2224" s="3"/>
    </row>
    <row r="2225" spans="2:6" x14ac:dyDescent="0.2">
      <c r="B2225" s="50">
        <v>92</v>
      </c>
      <c r="C2225" s="51">
        <v>0.32150955813326254</v>
      </c>
      <c r="D2225" s="52">
        <v>266</v>
      </c>
      <c r="E2225" s="53">
        <v>0.53237410071942448</v>
      </c>
      <c r="F2225" s="3"/>
    </row>
    <row r="2226" spans="2:6" x14ac:dyDescent="0.2">
      <c r="B2226" s="50">
        <v>1887</v>
      </c>
      <c r="C2226" s="51">
        <v>0.32150955813326254</v>
      </c>
      <c r="D2226" s="52">
        <v>266</v>
      </c>
      <c r="E2226" s="53">
        <v>0.53237410071942448</v>
      </c>
      <c r="F2226" s="3"/>
    </row>
    <row r="2227" spans="2:6" x14ac:dyDescent="0.2">
      <c r="B2227" s="50">
        <v>91</v>
      </c>
      <c r="C2227" s="51">
        <v>0.38185013638944176</v>
      </c>
      <c r="D2227" s="52">
        <v>266</v>
      </c>
      <c r="E2227" s="53">
        <v>0.43884892086330934</v>
      </c>
      <c r="F2227" s="3"/>
    </row>
    <row r="2228" spans="2:6" x14ac:dyDescent="0.2">
      <c r="B2228" s="50">
        <v>1912</v>
      </c>
      <c r="C2228" s="51">
        <v>0.38185013638944176</v>
      </c>
      <c r="D2228" s="52">
        <v>266</v>
      </c>
      <c r="E2228" s="53">
        <v>0.43884892086330934</v>
      </c>
      <c r="F2228" s="3"/>
    </row>
    <row r="2229" spans="2:6" x14ac:dyDescent="0.2">
      <c r="B2229" s="50">
        <v>176</v>
      </c>
      <c r="C2229" s="51">
        <v>0.43169726370803552</v>
      </c>
      <c r="D2229" s="52">
        <v>266</v>
      </c>
      <c r="E2229" s="53">
        <v>0.20143884892086331</v>
      </c>
      <c r="F2229" s="3"/>
    </row>
    <row r="2230" spans="2:6" x14ac:dyDescent="0.2">
      <c r="B2230" s="50">
        <v>112</v>
      </c>
      <c r="C2230" s="51">
        <v>0.43653915372197094</v>
      </c>
      <c r="D2230" s="52">
        <v>266</v>
      </c>
      <c r="E2230" s="53">
        <v>0.15107913669064749</v>
      </c>
      <c r="F2230" s="3"/>
    </row>
    <row r="2231" spans="2:6" x14ac:dyDescent="0.2">
      <c r="B2231" s="50">
        <v>1177</v>
      </c>
      <c r="C2231" s="51">
        <v>0.43653915372197094</v>
      </c>
      <c r="D2231" s="52">
        <v>266</v>
      </c>
      <c r="E2231" s="53">
        <v>0.15107913669064749</v>
      </c>
      <c r="F2231" s="3"/>
    </row>
    <row r="2232" spans="2:6" x14ac:dyDescent="0.2">
      <c r="B2232" s="50">
        <v>177</v>
      </c>
      <c r="C2232" s="51">
        <v>0.44308499741614138</v>
      </c>
      <c r="D2232" s="52">
        <v>266</v>
      </c>
      <c r="E2232" s="53">
        <v>0.20143884892086331</v>
      </c>
      <c r="F2232" s="3"/>
    </row>
    <row r="2233" spans="2:6" x14ac:dyDescent="0.2">
      <c r="B2233" s="50">
        <v>178</v>
      </c>
      <c r="C2233" s="51">
        <v>0.4579261869890825</v>
      </c>
      <c r="D2233" s="52">
        <v>266</v>
      </c>
      <c r="E2233" s="53">
        <v>0.10071942446043165</v>
      </c>
      <c r="F2233" s="3"/>
    </row>
    <row r="2234" spans="2:6" x14ac:dyDescent="0.2">
      <c r="B2234" s="50">
        <v>214</v>
      </c>
      <c r="C2234" s="51">
        <v>0.49150019403482459</v>
      </c>
      <c r="D2234" s="52">
        <v>266</v>
      </c>
      <c r="E2234" s="53">
        <v>0.50359712230215825</v>
      </c>
      <c r="F2234" s="3"/>
    </row>
    <row r="2235" spans="2:6" x14ac:dyDescent="0.2">
      <c r="B2235" s="50">
        <v>89</v>
      </c>
      <c r="C2235" s="51">
        <v>0.45420516700475833</v>
      </c>
      <c r="D2235" s="52">
        <v>267</v>
      </c>
      <c r="E2235" s="53">
        <v>0.45323741007194246</v>
      </c>
      <c r="F2235" s="3"/>
    </row>
    <row r="2236" spans="2:6" x14ac:dyDescent="0.2">
      <c r="B2236" s="50">
        <v>1959</v>
      </c>
      <c r="C2236" s="51">
        <v>0.45420516700475833</v>
      </c>
      <c r="D2236" s="52">
        <v>267</v>
      </c>
      <c r="E2236" s="53">
        <v>0.45323741007194246</v>
      </c>
      <c r="F2236" s="3"/>
    </row>
    <row r="2237" spans="2:6" x14ac:dyDescent="0.2">
      <c r="B2237" s="50">
        <v>88</v>
      </c>
      <c r="C2237" s="51">
        <v>0.46890065482243559</v>
      </c>
      <c r="D2237" s="52">
        <v>268</v>
      </c>
      <c r="E2237" s="53">
        <v>0.45323741007194246</v>
      </c>
      <c r="F2237" s="3"/>
    </row>
    <row r="2238" spans="2:6" x14ac:dyDescent="0.2">
      <c r="B2238" s="50">
        <v>1981</v>
      </c>
      <c r="C2238" s="51">
        <v>0.46890065482243559</v>
      </c>
      <c r="D2238" s="52">
        <v>268</v>
      </c>
      <c r="E2238" s="53">
        <v>0.45323741007194246</v>
      </c>
      <c r="F2238" s="3"/>
    </row>
    <row r="2239" spans="2:6" x14ac:dyDescent="0.2">
      <c r="B2239" s="50">
        <v>159</v>
      </c>
      <c r="C2239" s="51">
        <v>0.26738190977018084</v>
      </c>
      <c r="D2239" s="52">
        <v>270</v>
      </c>
      <c r="E2239" s="53">
        <v>0.50359712230215825</v>
      </c>
      <c r="F2239" s="3"/>
    </row>
    <row r="2240" spans="2:6" x14ac:dyDescent="0.2">
      <c r="B2240" s="50">
        <v>158</v>
      </c>
      <c r="C2240" s="51">
        <v>0.2869437003290578</v>
      </c>
      <c r="D2240" s="52">
        <v>270</v>
      </c>
      <c r="E2240" s="53">
        <v>0.39568345323741005</v>
      </c>
      <c r="F2240" s="3"/>
    </row>
    <row r="2241" spans="2:6" x14ac:dyDescent="0.2">
      <c r="B2241" s="50">
        <v>157</v>
      </c>
      <c r="C2241" s="51">
        <v>0.36755834100698659</v>
      </c>
      <c r="D2241" s="52">
        <v>270</v>
      </c>
      <c r="E2241" s="53">
        <v>0.41726618705035973</v>
      </c>
      <c r="F2241" s="3"/>
    </row>
    <row r="2242" spans="2:6" x14ac:dyDescent="0.2">
      <c r="B2242" s="50">
        <v>155</v>
      </c>
      <c r="C2242" s="51">
        <v>0.40855104568130529</v>
      </c>
      <c r="D2242" s="52">
        <v>270</v>
      </c>
      <c r="E2242" s="53">
        <v>0.42446043165467628</v>
      </c>
      <c r="F2242" s="3"/>
    </row>
    <row r="2243" spans="2:6" x14ac:dyDescent="0.2">
      <c r="B2243" s="50">
        <v>156</v>
      </c>
      <c r="C2243" s="51">
        <v>0.44524464406093234</v>
      </c>
      <c r="D2243" s="52">
        <v>270</v>
      </c>
      <c r="E2243" s="53">
        <v>0.18705035971223022</v>
      </c>
      <c r="F2243" s="3"/>
    </row>
    <row r="2244" spans="2:6" x14ac:dyDescent="0.2">
      <c r="B2244" s="50">
        <v>152</v>
      </c>
      <c r="C2244" s="51">
        <v>0.50086735205284749</v>
      </c>
      <c r="D2244" s="52">
        <v>271</v>
      </c>
      <c r="E2244" s="53">
        <v>0.30935251798561153</v>
      </c>
      <c r="F2244" s="3"/>
    </row>
    <row r="2245" spans="2:6" x14ac:dyDescent="0.2">
      <c r="B2245" s="50">
        <v>154</v>
      </c>
      <c r="C2245" s="51">
        <v>0.52847185497717664</v>
      </c>
      <c r="D2245" s="52">
        <v>271</v>
      </c>
      <c r="E2245" s="53">
        <v>0.2733812949640288</v>
      </c>
      <c r="F2245" s="3"/>
    </row>
    <row r="2246" spans="2:6" x14ac:dyDescent="0.2">
      <c r="B2246" s="50">
        <v>151</v>
      </c>
      <c r="C2246" s="51">
        <v>0.51315705931181621</v>
      </c>
      <c r="D2246" s="52">
        <v>272</v>
      </c>
      <c r="E2246" s="53">
        <v>0.32374100719424459</v>
      </c>
      <c r="F2246" s="3"/>
    </row>
    <row r="2247" spans="2:6" x14ac:dyDescent="0.2">
      <c r="B2247" s="50">
        <v>150</v>
      </c>
      <c r="C2247" s="51">
        <v>0.53668528964395878</v>
      </c>
      <c r="D2247" s="52">
        <v>272</v>
      </c>
      <c r="E2247" s="53">
        <v>0.30935251798561153</v>
      </c>
      <c r="F2247" s="3"/>
    </row>
    <row r="2248" spans="2:6" x14ac:dyDescent="0.2">
      <c r="B2248" s="50">
        <v>153</v>
      </c>
      <c r="C2248" s="51">
        <v>0.54383227618730334</v>
      </c>
      <c r="D2248" s="52">
        <v>272</v>
      </c>
      <c r="E2248" s="53">
        <v>0.33812949640287771</v>
      </c>
      <c r="F2248" s="3"/>
    </row>
    <row r="2249" spans="2:6" x14ac:dyDescent="0.2">
      <c r="B2249" s="50">
        <v>175</v>
      </c>
      <c r="C2249" s="51">
        <v>0.2690392331953555</v>
      </c>
      <c r="D2249" s="52">
        <v>274</v>
      </c>
      <c r="E2249" s="53">
        <v>0.16546762589928057</v>
      </c>
      <c r="F2249" s="3"/>
    </row>
    <row r="2250" spans="2:6" x14ac:dyDescent="0.2">
      <c r="B2250" s="50">
        <v>110</v>
      </c>
      <c r="C2250" s="51">
        <v>0.27439417786431386</v>
      </c>
      <c r="D2250" s="52">
        <v>274</v>
      </c>
      <c r="E2250" s="53">
        <v>0.16546762589928057</v>
      </c>
      <c r="F2250" s="3"/>
    </row>
    <row r="2251" spans="2:6" x14ac:dyDescent="0.2">
      <c r="B2251" s="50">
        <v>1266</v>
      </c>
      <c r="C2251" s="51">
        <v>0.27439417786431386</v>
      </c>
      <c r="D2251" s="52">
        <v>274</v>
      </c>
      <c r="E2251" s="53">
        <v>0.16546762589928057</v>
      </c>
      <c r="F2251" s="3"/>
    </row>
    <row r="2252" spans="2:6" x14ac:dyDescent="0.2">
      <c r="B2252" s="50">
        <v>106</v>
      </c>
      <c r="C2252" s="51">
        <v>0.28011421532438519</v>
      </c>
      <c r="D2252" s="52">
        <v>278</v>
      </c>
      <c r="E2252" s="53">
        <v>0.22302158273381295</v>
      </c>
      <c r="F2252" s="3"/>
    </row>
    <row r="2253" spans="2:6" x14ac:dyDescent="0.2">
      <c r="B2253" s="50">
        <v>1432</v>
      </c>
      <c r="C2253" s="51">
        <v>0.28011421532438519</v>
      </c>
      <c r="D2253" s="52">
        <v>278</v>
      </c>
      <c r="E2253" s="53">
        <v>0.22302158273381295</v>
      </c>
      <c r="F2253" s="3"/>
    </row>
    <row r="2254" spans="2:6" x14ac:dyDescent="0.2">
      <c r="B2254" s="50">
        <v>171</v>
      </c>
      <c r="C2254" s="51">
        <v>0.27612395581537941</v>
      </c>
      <c r="D2254" s="52">
        <v>280</v>
      </c>
      <c r="E2254" s="53">
        <v>0.22302158273381295</v>
      </c>
      <c r="F2254" s="3"/>
    </row>
  </sheetData>
  <autoFilter ref="B42:E2254" xr:uid="{00000000-0009-0000-0000-000002000000}"/>
  <sortState xmlns:xlrd2="http://schemas.microsoft.com/office/spreadsheetml/2017/richdata2" ref="B44:E5043">
    <sortCondition ref="D44:D5043"/>
    <sortCondition ref="C44:C5043"/>
    <sortCondition descending="1" ref="E44:E5043"/>
  </sortState>
  <mergeCells count="32">
    <mergeCell ref="B36:B38"/>
    <mergeCell ref="C6:D6"/>
    <mergeCell ref="C38:D38"/>
    <mergeCell ref="C37:D37"/>
    <mergeCell ref="C36:D36"/>
    <mergeCell ref="C35:D35"/>
    <mergeCell ref="C34:D34"/>
    <mergeCell ref="C18:D18"/>
    <mergeCell ref="C17:D17"/>
    <mergeCell ref="C16:D16"/>
    <mergeCell ref="C15:D15"/>
    <mergeCell ref="C23:D23"/>
    <mergeCell ref="C22:D22"/>
    <mergeCell ref="C21:D21"/>
    <mergeCell ref="C20:D20"/>
    <mergeCell ref="B33:D33"/>
    <mergeCell ref="Z5:AB5"/>
    <mergeCell ref="D31:E31"/>
    <mergeCell ref="D29:E29"/>
    <mergeCell ref="AC5:AE5"/>
    <mergeCell ref="B15:B18"/>
    <mergeCell ref="B19:B23"/>
    <mergeCell ref="C13:H13"/>
    <mergeCell ref="T5:V5"/>
    <mergeCell ref="W5:Y5"/>
    <mergeCell ref="O5:S5"/>
    <mergeCell ref="J5:N5"/>
    <mergeCell ref="E5:I5"/>
    <mergeCell ref="C14:E14"/>
    <mergeCell ref="D28:E28"/>
    <mergeCell ref="C19:D19"/>
    <mergeCell ref="D26:H26"/>
  </mergeCells>
  <conditionalFormatting sqref="F1935:F225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4:E225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Dupla.GenerarDupla">
                <anchor moveWithCells="1" sizeWithCells="1">
                  <from>
                    <xdr:col>5</xdr:col>
                    <xdr:colOff>171450</xdr:colOff>
                    <xdr:row>38</xdr:row>
                    <xdr:rowOff>114300</xdr:rowOff>
                  </from>
                  <to>
                    <xdr:col>5</xdr:col>
                    <xdr:colOff>1428750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ódulo2.BuscarYActualizar">
                <anchor moveWithCells="1" sizeWithCells="1">
                  <from>
                    <xdr:col>6</xdr:col>
                    <xdr:colOff>904875</xdr:colOff>
                    <xdr:row>39</xdr:row>
                    <xdr:rowOff>171450</xdr:rowOff>
                  </from>
                  <to>
                    <xdr:col>7</xdr:col>
                    <xdr:colOff>323850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scarYSustituirSuperior">
                <anchor moveWithCells="1" sizeWithCells="1">
                  <from>
                    <xdr:col>6</xdr:col>
                    <xdr:colOff>923925</xdr:colOff>
                    <xdr:row>37</xdr:row>
                    <xdr:rowOff>123825</xdr:rowOff>
                  </from>
                  <to>
                    <xdr:col>7</xdr:col>
                    <xdr:colOff>323850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gistrarEnColumnaH">
                <anchor moveWithCells="1" sizeWithCells="1">
                  <from>
                    <xdr:col>7</xdr:col>
                    <xdr:colOff>733425</xdr:colOff>
                    <xdr:row>37</xdr:row>
                    <xdr:rowOff>133350</xdr:rowOff>
                  </from>
                  <to>
                    <xdr:col>8</xdr:col>
                    <xdr:colOff>200025</xdr:colOff>
                    <xdr:row>40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74083085F3E4741954568EF2FEF3C05" ma:contentTypeVersion="3" ma:contentTypeDescription="Crear nuevo documento." ma:contentTypeScope="" ma:versionID="cfbea24897c5d025d673dc922510abdf">
  <xsd:schema xmlns:xsd="http://www.w3.org/2001/XMLSchema" xmlns:xs="http://www.w3.org/2001/XMLSchema" xmlns:p="http://schemas.microsoft.com/office/2006/metadata/properties" xmlns:ns2="629f2d2f-b6b6-44db-ab00-3edb937bbcef" targetNamespace="http://schemas.microsoft.com/office/2006/metadata/properties" ma:root="true" ma:fieldsID="5a6fdb78d685c65998dae7f1c3d40807" ns2:_="">
    <xsd:import namespace="629f2d2f-b6b6-44db-ab00-3edb937bbc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9f2d2f-b6b6-44db-ab00-3edb937bb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077F74-5D03-42EC-82B2-BA175F9F63A4}">
  <ds:schemaRefs>
    <ds:schemaRef ds:uri="http://schemas.microsoft.com/office/2006/metadata/properties"/>
    <ds:schemaRef ds:uri="http://schemas.microsoft.com/office/infopath/2007/PartnerControls"/>
    <ds:schemaRef ds:uri="7bdd27cf-7101-4f7e-88cf-5265bdbba175"/>
    <ds:schemaRef ds:uri="526d47bb-a981-4043-8b1c-42129ee95ca5"/>
  </ds:schemaRefs>
</ds:datastoreItem>
</file>

<file path=customXml/itemProps2.xml><?xml version="1.0" encoding="utf-8"?>
<ds:datastoreItem xmlns:ds="http://schemas.openxmlformats.org/officeDocument/2006/customXml" ds:itemID="{83304FB2-6ABE-4EBE-B286-CCA21B3D4C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FB4FF9-4B0B-4E26-82B7-16150C9FBF0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Duplas</vt:lpstr>
      <vt:lpstr>Datos</vt:lpstr>
      <vt:lpstr>Regresiones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Royman SHR</dc:creator>
  <cp:keywords/>
  <dc:description/>
  <cp:lastModifiedBy>Andres Lopez</cp:lastModifiedBy>
  <cp:revision/>
  <dcterms:created xsi:type="dcterms:W3CDTF">2020-09-22T20:20:43Z</dcterms:created>
  <dcterms:modified xsi:type="dcterms:W3CDTF">2025-08-06T19:09:28Z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0x010100274083085F3E4741954568EF2FEF3C05</vt:lpwstr>
  </property>
  <property fmtid="{D5CDD505-2E9C-101B-9397-08002B2CF9AE}" pid="3" name="MediaServiceImageTags">
    <vt:lpwstr/>
  </property>
</Properties>
</file>